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.10.92\ForShare\Tahun 2024\08. AGUSTUS\Daily Report\"/>
    </mc:Choice>
  </mc:AlternateContent>
  <bookViews>
    <workbookView xWindow="0" yWindow="0" windowWidth="24576" windowHeight="9660" firstSheet="10" activeTab="10"/>
  </bookViews>
  <sheets>
    <sheet name="Daily All PIT" sheetId="15" state="hidden" r:id="rId1"/>
    <sheet name="Fleet.1" sheetId="20" state="hidden" r:id="rId2"/>
    <sheet name="PIT GAR 42" sheetId="11" state="hidden" r:id="rId3"/>
    <sheet name="Sheet1" sheetId="24" state="hidden" r:id="rId4"/>
    <sheet name="Sheet2" sheetId="25" state="hidden" r:id="rId5"/>
    <sheet name="Sheet4" sheetId="27" state="hidden" r:id="rId6"/>
    <sheet name="42" sheetId="28" state="hidden" r:id="rId7"/>
    <sheet name="Sheet3" sheetId="31" state="hidden" r:id="rId8"/>
    <sheet name="Sheet5" sheetId="32" state="hidden" r:id="rId9"/>
    <sheet name="Sheet6" sheetId="33" state="hidden" r:id="rId10"/>
    <sheet name="55 REV-" sheetId="38" r:id="rId11"/>
    <sheet name="50 REV" sheetId="37" r:id="rId12"/>
    <sheet name="50 -ed" sheetId="39" state="hidden" r:id="rId13"/>
    <sheet name="55 -ed" sheetId="40" state="hidden" r:id="rId14"/>
    <sheet name="Sheet7" sheetId="34" state="hidden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xlnm._FilterDatabase" localSheetId="14" hidden="1">Sheet7!$D$23:$D$62</definedName>
    <definedName name="_xlnm.Print_Area" localSheetId="6">'42'!$B$2:$AI$56</definedName>
    <definedName name="_xlnm.Print_Area" localSheetId="12">'50 -ed'!$B$1:$AG$60</definedName>
    <definedName name="_xlnm.Print_Area" localSheetId="11">'50 REV'!$B$1:$AG$60</definedName>
    <definedName name="_xlnm.Print_Area" localSheetId="13">'55 -ed'!$B$2:$AJ$57</definedName>
    <definedName name="_xlnm.Print_Area" localSheetId="10">'55 REV-'!$A$1:$AJ$61</definedName>
    <definedName name="_xlnm.Print_Area" localSheetId="0">'Daily All PIT'!$A$1:$AI$56</definedName>
    <definedName name="_xlnm.Print_Area" localSheetId="1">Fleet.1!$A$1:$S$30</definedName>
    <definedName name="_xlnm.Print_Area" localSheetId="2">'PIT GAR 42'!$A$1:$AE$47</definedName>
  </definedNames>
  <calcPr calcId="152511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41" i="38" l="1"/>
  <c r="AC52" i="38" l="1"/>
  <c r="AC51" i="38"/>
  <c r="D25" i="37" l="1"/>
  <c r="D18" i="37"/>
  <c r="D11" i="37"/>
  <c r="Z53" i="37" s="1"/>
  <c r="O32" i="37"/>
  <c r="O25" i="37"/>
  <c r="O18" i="37"/>
  <c r="O11" i="37"/>
  <c r="Z54" i="37" s="1"/>
  <c r="O39" i="37" l="1"/>
  <c r="Z45" i="37"/>
  <c r="Z44" i="37"/>
  <c r="S44" i="37"/>
  <c r="S43" i="37"/>
  <c r="D39" i="37" l="1"/>
  <c r="Y38" i="37" l="1"/>
  <c r="S38" i="37" l="1"/>
  <c r="T38" i="37" s="1"/>
  <c r="I39" i="37" l="1"/>
  <c r="F39" i="37"/>
  <c r="L38" i="37" l="1"/>
  <c r="L30" i="37" l="1"/>
  <c r="AC45" i="38" l="1"/>
  <c r="AC44" i="38"/>
  <c r="V44" i="38"/>
  <c r="V43" i="38"/>
  <c r="AG39" i="38"/>
  <c r="AF39" i="38"/>
  <c r="AB39" i="38"/>
  <c r="V39" i="38"/>
  <c r="W39" i="38" s="1"/>
  <c r="M39" i="38"/>
  <c r="AD39" i="38" l="1"/>
  <c r="AH39" i="38"/>
  <c r="X39" i="38"/>
  <c r="P39" i="38"/>
  <c r="O39" i="38"/>
  <c r="AA38" i="37" l="1"/>
  <c r="AC38" i="37"/>
  <c r="AD38" i="37"/>
  <c r="AE38" i="37"/>
  <c r="U38" i="37"/>
  <c r="N38" i="37"/>
  <c r="M38" i="37"/>
  <c r="AB38" i="37" l="1"/>
  <c r="Y35" i="37"/>
  <c r="AC35" i="37"/>
  <c r="AD35" i="37"/>
  <c r="M31" i="38" l="1"/>
  <c r="M27" i="38" l="1"/>
  <c r="L21" i="37" l="1"/>
  <c r="N21" i="37" l="1"/>
  <c r="AD21" i="37"/>
  <c r="AD22" i="37"/>
  <c r="AD23" i="37"/>
  <c r="AD24" i="37"/>
  <c r="AD25" i="37"/>
  <c r="AD26" i="37"/>
  <c r="AD27" i="37"/>
  <c r="AD28" i="37"/>
  <c r="AD29" i="37"/>
  <c r="AD30" i="37"/>
  <c r="AD31" i="37"/>
  <c r="AD32" i="37"/>
  <c r="AD33" i="37"/>
  <c r="AD34" i="37"/>
  <c r="AD36" i="37"/>
  <c r="AD37" i="37"/>
  <c r="AC21" i="37"/>
  <c r="AC22" i="37"/>
  <c r="AC23" i="37"/>
  <c r="AC24" i="37"/>
  <c r="AC25" i="37"/>
  <c r="AC26" i="37"/>
  <c r="AC27" i="37"/>
  <c r="AC28" i="37"/>
  <c r="AC29" i="37"/>
  <c r="AC30" i="37"/>
  <c r="AC31" i="37"/>
  <c r="AC32" i="37"/>
  <c r="AC33" i="37"/>
  <c r="AC34" i="37"/>
  <c r="AC36" i="37"/>
  <c r="AC37" i="37"/>
  <c r="M21" i="37" l="1"/>
  <c r="E9" i="38" l="1"/>
  <c r="E10" i="38" s="1"/>
  <c r="E11" i="38" s="1"/>
  <c r="E12" i="38" s="1"/>
  <c r="E13" i="38" s="1"/>
  <c r="E14" i="38" s="1"/>
  <c r="E15" i="38" s="1"/>
  <c r="E16" i="38" s="1"/>
  <c r="E17" i="38" s="1"/>
  <c r="E18" i="38" s="1"/>
  <c r="E19" i="38" s="1"/>
  <c r="E20" i="38" s="1"/>
  <c r="E21" i="38" s="1"/>
  <c r="E22" i="38" s="1"/>
  <c r="E23" i="38" s="1"/>
  <c r="E24" i="38" s="1"/>
  <c r="E25" i="38" s="1"/>
  <c r="E26" i="38" s="1"/>
  <c r="E27" i="38" s="1"/>
  <c r="E28" i="38" s="1"/>
  <c r="E29" i="38" s="1"/>
  <c r="E30" i="38" s="1"/>
  <c r="E31" i="38" s="1"/>
  <c r="E32" i="38" s="1"/>
  <c r="E33" i="38" s="1"/>
  <c r="E34" i="38" s="1"/>
  <c r="E35" i="38" s="1"/>
  <c r="E36" i="38" s="1"/>
  <c r="E37" i="38" s="1"/>
  <c r="E38" i="38" s="1"/>
  <c r="E39" i="38" s="1"/>
  <c r="AJ40" i="38" l="1"/>
  <c r="AI40" i="38"/>
  <c r="AA40" i="38"/>
  <c r="Z40" i="38"/>
  <c r="U40" i="38"/>
  <c r="T40" i="38"/>
  <c r="R40" i="38"/>
  <c r="K40" i="38"/>
  <c r="J40" i="38"/>
  <c r="H40" i="38"/>
  <c r="G40" i="38"/>
  <c r="D40" i="38"/>
  <c r="AG39" i="37" l="1"/>
  <c r="AF39" i="37"/>
  <c r="L31" i="37" l="1"/>
  <c r="S14" i="37" l="1"/>
  <c r="Q10" i="38" l="1"/>
  <c r="Q11" i="38" s="1"/>
  <c r="Q12" i="38" s="1"/>
  <c r="Q13" i="38" s="1"/>
  <c r="Q14" i="38" s="1"/>
  <c r="Q15" i="38" s="1"/>
  <c r="Q16" i="38" s="1"/>
  <c r="Q17" i="38" s="1"/>
  <c r="Q18" i="38" s="1"/>
  <c r="Q19" i="38" s="1"/>
  <c r="Q20" i="38" s="1"/>
  <c r="Q21" i="38" s="1"/>
  <c r="Q22" i="38" s="1"/>
  <c r="Q23" i="38" s="1"/>
  <c r="Q24" i="38" s="1"/>
  <c r="Q25" i="38" s="1"/>
  <c r="Q26" i="38" s="1"/>
  <c r="Q27" i="38" s="1"/>
  <c r="Q28" i="38" s="1"/>
  <c r="Q29" i="38" s="1"/>
  <c r="Q30" i="38" s="1"/>
  <c r="P36" i="40" l="1"/>
  <c r="Z275" i="40"/>
  <c r="Z245" i="40"/>
  <c r="AV61" i="40"/>
  <c r="AC51" i="40"/>
  <c r="AC50" i="40"/>
  <c r="AP46" i="40"/>
  <c r="AP44" i="40"/>
  <c r="AC44" i="40"/>
  <c r="AP43" i="40"/>
  <c r="AN43" i="40"/>
  <c r="AC43" i="40"/>
  <c r="V43" i="40"/>
  <c r="V42" i="40"/>
  <c r="AJ39" i="40"/>
  <c r="T42" i="40" s="1"/>
  <c r="AI39" i="40"/>
  <c r="T41" i="40" s="1"/>
  <c r="AA39" i="40"/>
  <c r="Z39" i="40"/>
  <c r="T39" i="40"/>
  <c r="O43" i="40" s="1"/>
  <c r="R39" i="40"/>
  <c r="K39" i="40"/>
  <c r="J39" i="40"/>
  <c r="O42" i="40" s="1"/>
  <c r="H39" i="40"/>
  <c r="G39" i="40"/>
  <c r="O41" i="40" s="1"/>
  <c r="D39" i="40"/>
  <c r="AG38" i="40"/>
  <c r="AF38" i="40"/>
  <c r="AC38" i="40"/>
  <c r="AB38" i="40"/>
  <c r="AH38" i="40" s="1"/>
  <c r="X38" i="40"/>
  <c r="P38" i="40"/>
  <c r="AG37" i="40"/>
  <c r="AF37" i="40"/>
  <c r="AB37" i="40"/>
  <c r="AH37" i="40" s="1"/>
  <c r="X37" i="40"/>
  <c r="W37" i="40"/>
  <c r="P37" i="40"/>
  <c r="O37" i="40"/>
  <c r="AG36" i="40"/>
  <c r="AF36" i="40"/>
  <c r="AB36" i="40"/>
  <c r="AH36" i="40" s="1"/>
  <c r="W36" i="40"/>
  <c r="O36" i="40"/>
  <c r="AG35" i="40"/>
  <c r="AF35" i="40"/>
  <c r="AB35" i="40"/>
  <c r="AH35" i="40" s="1"/>
  <c r="X35" i="40"/>
  <c r="P35" i="40"/>
  <c r="O35" i="40"/>
  <c r="AQ34" i="40"/>
  <c r="AO34" i="40" s="1"/>
  <c r="AP34" i="40"/>
  <c r="AN34" i="40" s="1"/>
  <c r="AG34" i="40"/>
  <c r="AF34" i="40"/>
  <c r="AC34" i="40"/>
  <c r="AB34" i="40"/>
  <c r="P34" i="40"/>
  <c r="O34" i="40"/>
  <c r="AQ33" i="40"/>
  <c r="AO33" i="40" s="1"/>
  <c r="AP33" i="40"/>
  <c r="AN33" i="40" s="1"/>
  <c r="AG33" i="40"/>
  <c r="AF33" i="40"/>
  <c r="AC33" i="40"/>
  <c r="AB33" i="40"/>
  <c r="AH33" i="40" s="1"/>
  <c r="P33" i="40"/>
  <c r="O33" i="40"/>
  <c r="N33" i="40"/>
  <c r="AQ32" i="40"/>
  <c r="AO32" i="40" s="1"/>
  <c r="AP32" i="40"/>
  <c r="AN32" i="40" s="1"/>
  <c r="AG32" i="40"/>
  <c r="AF32" i="40"/>
  <c r="AC32" i="40"/>
  <c r="AB32" i="40"/>
  <c r="AH32" i="40" s="1"/>
  <c r="X32" i="40"/>
  <c r="AD32" i="40"/>
  <c r="P32" i="40"/>
  <c r="O32" i="40"/>
  <c r="N32" i="40"/>
  <c r="AQ31" i="40"/>
  <c r="AO31" i="40" s="1"/>
  <c r="AP31" i="40"/>
  <c r="AN31" i="40" s="1"/>
  <c r="AG31" i="40"/>
  <c r="AF31" i="40"/>
  <c r="AC31" i="40"/>
  <c r="AB31" i="40"/>
  <c r="P31" i="40"/>
  <c r="O31" i="40"/>
  <c r="N31" i="40"/>
  <c r="AQ30" i="40"/>
  <c r="AO30" i="40" s="1"/>
  <c r="AP30" i="40"/>
  <c r="AN30" i="40" s="1"/>
  <c r="AG30" i="40"/>
  <c r="AF30" i="40"/>
  <c r="AC30" i="40"/>
  <c r="AB30" i="40"/>
  <c r="AH30" i="40" s="1"/>
  <c r="X30" i="40"/>
  <c r="AD30" i="40"/>
  <c r="P30" i="40"/>
  <c r="O30" i="40"/>
  <c r="N30" i="40"/>
  <c r="AQ29" i="40"/>
  <c r="AO29" i="40" s="1"/>
  <c r="AP29" i="40"/>
  <c r="AN29" i="40" s="1"/>
  <c r="AG29" i="40"/>
  <c r="AF29" i="40"/>
  <c r="AC29" i="40"/>
  <c r="AB29" i="40"/>
  <c r="AH29" i="40" s="1"/>
  <c r="P29" i="40"/>
  <c r="O29" i="40"/>
  <c r="N29" i="40"/>
  <c r="AV28" i="40"/>
  <c r="AQ28" i="40"/>
  <c r="AP28" i="40"/>
  <c r="AN28" i="40" s="1"/>
  <c r="AG28" i="40"/>
  <c r="AF28" i="40"/>
  <c r="AC28" i="40"/>
  <c r="AB28" i="40"/>
  <c r="AH28" i="40" s="1"/>
  <c r="X28" i="40"/>
  <c r="P28" i="40"/>
  <c r="O28" i="40"/>
  <c r="N28" i="40"/>
  <c r="AQ27" i="40"/>
  <c r="AP27" i="40"/>
  <c r="AN27" i="40" s="1"/>
  <c r="AG27" i="40"/>
  <c r="AF27" i="40"/>
  <c r="AD27" i="40"/>
  <c r="AC27" i="40"/>
  <c r="AB27" i="40"/>
  <c r="AH27" i="40" s="1"/>
  <c r="X27" i="40"/>
  <c r="W27" i="40"/>
  <c r="P27" i="40"/>
  <c r="O27" i="40"/>
  <c r="N27" i="40"/>
  <c r="AQ26" i="40"/>
  <c r="AO26" i="40" s="1"/>
  <c r="AP26" i="40"/>
  <c r="AG26" i="40"/>
  <c r="AF26" i="40"/>
  <c r="AC26" i="40"/>
  <c r="AB26" i="40"/>
  <c r="V26" i="40"/>
  <c r="X26" i="40" s="1"/>
  <c r="M26" i="40"/>
  <c r="P26" i="40" s="1"/>
  <c r="AQ25" i="40"/>
  <c r="AP25" i="40"/>
  <c r="AN25" i="40" s="1"/>
  <c r="AG25" i="40"/>
  <c r="AF25" i="40"/>
  <c r="AC25" i="40"/>
  <c r="AB25" i="40"/>
  <c r="V25" i="40"/>
  <c r="M25" i="40"/>
  <c r="AQ24" i="40"/>
  <c r="AO24" i="40" s="1"/>
  <c r="AP24" i="40"/>
  <c r="AN24" i="40" s="1"/>
  <c r="AK24" i="40"/>
  <c r="AK39" i="40" s="1"/>
  <c r="AG24" i="40"/>
  <c r="AF24" i="40"/>
  <c r="AC24" i="40"/>
  <c r="AB24" i="40"/>
  <c r="V24" i="40"/>
  <c r="M24" i="40"/>
  <c r="O24" i="40" s="1"/>
  <c r="AQ23" i="40"/>
  <c r="AO23" i="40" s="1"/>
  <c r="AP23" i="40"/>
  <c r="AN23" i="40" s="1"/>
  <c r="AL23" i="40"/>
  <c r="AG23" i="40"/>
  <c r="AF23" i="40"/>
  <c r="AC23" i="40"/>
  <c r="AB23" i="40"/>
  <c r="V23" i="40"/>
  <c r="W23" i="40" s="1"/>
  <c r="M23" i="40"/>
  <c r="P23" i="40" s="1"/>
  <c r="C24" i="40" s="1"/>
  <c r="AQ22" i="40"/>
  <c r="AO22" i="40" s="1"/>
  <c r="AP22" i="40"/>
  <c r="AN22" i="40" s="1"/>
  <c r="AG22" i="40"/>
  <c r="AF22" i="40"/>
  <c r="AC22" i="40"/>
  <c r="AB22" i="40"/>
  <c r="V22" i="40"/>
  <c r="W22" i="40" s="1"/>
  <c r="M22" i="40"/>
  <c r="P22" i="40" s="1"/>
  <c r="C23" i="40" s="1"/>
  <c r="AQ21" i="40"/>
  <c r="AO21" i="40" s="1"/>
  <c r="AP21" i="40"/>
  <c r="AN21" i="40" s="1"/>
  <c r="AL21" i="40"/>
  <c r="AL22" i="40" s="1"/>
  <c r="AG21" i="40"/>
  <c r="AF21" i="40"/>
  <c r="AC21" i="40"/>
  <c r="AB21" i="40"/>
  <c r="V21" i="40"/>
  <c r="W21" i="40" s="1"/>
  <c r="M21" i="40"/>
  <c r="P21" i="40" s="1"/>
  <c r="C22" i="40" s="1"/>
  <c r="AQ20" i="40"/>
  <c r="AO20" i="40" s="1"/>
  <c r="AP20" i="40"/>
  <c r="AN20" i="40" s="1"/>
  <c r="AG20" i="40"/>
  <c r="AF20" i="40"/>
  <c r="AC20" i="40"/>
  <c r="AB20" i="40"/>
  <c r="V20" i="40"/>
  <c r="X20" i="40" s="1"/>
  <c r="Q21" i="40" s="1"/>
  <c r="M20" i="40"/>
  <c r="N20" i="40" s="1"/>
  <c r="AQ19" i="40"/>
  <c r="AP19" i="40"/>
  <c r="AN19" i="40" s="1"/>
  <c r="AG19" i="40"/>
  <c r="AF19" i="40"/>
  <c r="AC19" i="40"/>
  <c r="AB19" i="40"/>
  <c r="V19" i="40"/>
  <c r="W19" i="40" s="1"/>
  <c r="M19" i="40"/>
  <c r="AQ18" i="40"/>
  <c r="AO18" i="40" s="1"/>
  <c r="AP18" i="40"/>
  <c r="AN18" i="40" s="1"/>
  <c r="AG18" i="40"/>
  <c r="AF18" i="40"/>
  <c r="AC18" i="40"/>
  <c r="AB18" i="40"/>
  <c r="V18" i="40"/>
  <c r="W18" i="40" s="1"/>
  <c r="M18" i="40"/>
  <c r="O18" i="40" s="1"/>
  <c r="AQ17" i="40"/>
  <c r="AP17" i="40"/>
  <c r="AN17" i="40" s="1"/>
  <c r="AG17" i="40"/>
  <c r="AF17" i="40"/>
  <c r="AC17" i="40"/>
  <c r="AB17" i="40"/>
  <c r="V17" i="40"/>
  <c r="X17" i="40" s="1"/>
  <c r="Q18" i="40" s="1"/>
  <c r="M17" i="40"/>
  <c r="N17" i="40" s="1"/>
  <c r="AQ16" i="40"/>
  <c r="AO16" i="40" s="1"/>
  <c r="AP16" i="40"/>
  <c r="AN16" i="40" s="1"/>
  <c r="AG16" i="40"/>
  <c r="AF16" i="40"/>
  <c r="AC16" i="40"/>
  <c r="AB16" i="40"/>
  <c r="V16" i="40"/>
  <c r="W16" i="40" s="1"/>
  <c r="M16" i="40"/>
  <c r="AQ15" i="40"/>
  <c r="AO15" i="40" s="1"/>
  <c r="AP15" i="40"/>
  <c r="AN15" i="40" s="1"/>
  <c r="AG15" i="40"/>
  <c r="AF15" i="40"/>
  <c r="AC15" i="40"/>
  <c r="AB15" i="40"/>
  <c r="V15" i="40"/>
  <c r="W15" i="40" s="1"/>
  <c r="M15" i="40"/>
  <c r="AQ14" i="40"/>
  <c r="AO14" i="40" s="1"/>
  <c r="AP14" i="40"/>
  <c r="AN14" i="40" s="1"/>
  <c r="AG14" i="40"/>
  <c r="AF14" i="40"/>
  <c r="AC14" i="40"/>
  <c r="AB14" i="40"/>
  <c r="V14" i="40"/>
  <c r="W14" i="40" s="1"/>
  <c r="M14" i="40"/>
  <c r="N14" i="40" s="1"/>
  <c r="AP13" i="40"/>
  <c r="AN13" i="40" s="1"/>
  <c r="AF13" i="40"/>
  <c r="AC13" i="40"/>
  <c r="AB13" i="40"/>
  <c r="U13" i="40"/>
  <c r="U39" i="40" s="1"/>
  <c r="M13" i="40"/>
  <c r="AQ12" i="40"/>
  <c r="AO12" i="40" s="1"/>
  <c r="AP12" i="40"/>
  <c r="AN12" i="40" s="1"/>
  <c r="AG12" i="40"/>
  <c r="AF12" i="40"/>
  <c r="AC12" i="40"/>
  <c r="AB12" i="40"/>
  <c r="V12" i="40"/>
  <c r="W12" i="40" s="1"/>
  <c r="M12" i="40"/>
  <c r="N12" i="40" s="1"/>
  <c r="AQ11" i="40"/>
  <c r="AO11" i="40" s="1"/>
  <c r="AP11" i="40"/>
  <c r="AN11" i="40" s="1"/>
  <c r="AG11" i="40"/>
  <c r="AF11" i="40"/>
  <c r="AC11" i="40"/>
  <c r="AB11" i="40"/>
  <c r="V11" i="40"/>
  <c r="W11" i="40" s="1"/>
  <c r="M11" i="40"/>
  <c r="H66" i="40" s="1"/>
  <c r="AQ10" i="40"/>
  <c r="AO10" i="40" s="1"/>
  <c r="AP10" i="40"/>
  <c r="AN10" i="40" s="1"/>
  <c r="AL10" i="40"/>
  <c r="AG10" i="40"/>
  <c r="AF10" i="40"/>
  <c r="AC10" i="40"/>
  <c r="AB10" i="40"/>
  <c r="V10" i="40"/>
  <c r="W10" i="40" s="1"/>
  <c r="M10" i="40"/>
  <c r="H65" i="40" s="1"/>
  <c r="B10" i="40"/>
  <c r="B11" i="40" s="1"/>
  <c r="B12" i="40" s="1"/>
  <c r="B13" i="40" s="1"/>
  <c r="B14" i="40" s="1"/>
  <c r="B15" i="40" s="1"/>
  <c r="B16" i="40" s="1"/>
  <c r="B17" i="40" s="1"/>
  <c r="B18" i="40" s="1"/>
  <c r="B19" i="40" s="1"/>
  <c r="B20" i="40" s="1"/>
  <c r="B21" i="40" s="1"/>
  <c r="B22" i="40" s="1"/>
  <c r="B23" i="40" s="1"/>
  <c r="B24" i="40" s="1"/>
  <c r="B25" i="40" s="1"/>
  <c r="B26" i="40" s="1"/>
  <c r="B27" i="40" s="1"/>
  <c r="B28" i="40" s="1"/>
  <c r="B29" i="40" s="1"/>
  <c r="B30" i="40" s="1"/>
  <c r="B31" i="40" s="1"/>
  <c r="B32" i="40" s="1"/>
  <c r="B33" i="40" s="1"/>
  <c r="B34" i="40" s="1"/>
  <c r="B35" i="40" s="1"/>
  <c r="B36" i="40" s="1"/>
  <c r="B37" i="40" s="1"/>
  <c r="B38" i="40" s="1"/>
  <c r="AQ9" i="40"/>
  <c r="AP9" i="40"/>
  <c r="AN9" i="40" s="1"/>
  <c r="AL9" i="40"/>
  <c r="AG9" i="40"/>
  <c r="AF9" i="40"/>
  <c r="AC9" i="40"/>
  <c r="AB9" i="40"/>
  <c r="V9" i="40"/>
  <c r="W9" i="40" s="1"/>
  <c r="S9" i="40"/>
  <c r="S10" i="40" s="1"/>
  <c r="S11" i="40" s="1"/>
  <c r="S12" i="40" s="1"/>
  <c r="S13" i="40" s="1"/>
  <c r="S14" i="40" s="1"/>
  <c r="S15" i="40" s="1"/>
  <c r="S16" i="40" s="1"/>
  <c r="S17" i="40" s="1"/>
  <c r="S18" i="40" s="1"/>
  <c r="S19" i="40" s="1"/>
  <c r="S20" i="40" s="1"/>
  <c r="S21" i="40" s="1"/>
  <c r="S22" i="40" s="1"/>
  <c r="S23" i="40" s="1"/>
  <c r="S24" i="40" s="1"/>
  <c r="S25" i="40" s="1"/>
  <c r="S26" i="40" s="1"/>
  <c r="S27" i="40" s="1"/>
  <c r="S28" i="40" s="1"/>
  <c r="S29" i="40" s="1"/>
  <c r="S30" i="40" s="1"/>
  <c r="S31" i="40" s="1"/>
  <c r="S32" i="40" s="1"/>
  <c r="S33" i="40" s="1"/>
  <c r="S34" i="40" s="1"/>
  <c r="S35" i="40" s="1"/>
  <c r="S36" i="40" s="1"/>
  <c r="S37" i="40" s="1"/>
  <c r="S38" i="40" s="1"/>
  <c r="M9" i="40"/>
  <c r="N9" i="40" s="1"/>
  <c r="E9" i="40"/>
  <c r="E10" i="40" s="1"/>
  <c r="E11" i="40" s="1"/>
  <c r="E12" i="40" s="1"/>
  <c r="E13" i="40" s="1"/>
  <c r="E14" i="40" s="1"/>
  <c r="E15" i="40" s="1"/>
  <c r="E16" i="40" s="1"/>
  <c r="E17" i="40" s="1"/>
  <c r="E18" i="40" s="1"/>
  <c r="E19" i="40" s="1"/>
  <c r="E20" i="40" s="1"/>
  <c r="E21" i="40" s="1"/>
  <c r="E22" i="40" s="1"/>
  <c r="E23" i="40" s="1"/>
  <c r="E24" i="40" s="1"/>
  <c r="E25" i="40" s="1"/>
  <c r="E26" i="40" s="1"/>
  <c r="AC45" i="40" l="1"/>
  <c r="AM23" i="40"/>
  <c r="AR19" i="40"/>
  <c r="AS19" i="40" s="1"/>
  <c r="AM29" i="40"/>
  <c r="AM12" i="40"/>
  <c r="AD15" i="40"/>
  <c r="AR9" i="40"/>
  <c r="AS9" i="40" s="1"/>
  <c r="AQ13" i="40"/>
  <c r="AO13" i="40" s="1"/>
  <c r="AM13" i="40" s="1"/>
  <c r="O20" i="40"/>
  <c r="AR28" i="40"/>
  <c r="AT28" i="40" s="1"/>
  <c r="AR25" i="40"/>
  <c r="AT25" i="40" s="1"/>
  <c r="AR17" i="40"/>
  <c r="AT17" i="40" s="1"/>
  <c r="AF39" i="40"/>
  <c r="AR15" i="40"/>
  <c r="AT15" i="40" s="1"/>
  <c r="AC39" i="40"/>
  <c r="V44" i="40" s="1"/>
  <c r="AH9" i="40"/>
  <c r="W17" i="40"/>
  <c r="AM21" i="40"/>
  <c r="AM30" i="40"/>
  <c r="AL11" i="40"/>
  <c r="AL12" i="40" s="1"/>
  <c r="AH15" i="40"/>
  <c r="AM15" i="40"/>
  <c r="O9" i="40"/>
  <c r="X9" i="40"/>
  <c r="Q10" i="40" s="1"/>
  <c r="X10" i="40" s="1"/>
  <c r="Q11" i="40" s="1"/>
  <c r="X11" i="40" s="1"/>
  <c r="Q12" i="40" s="1"/>
  <c r="AD9" i="40"/>
  <c r="AO9" i="40"/>
  <c r="AM9" i="40" s="1"/>
  <c r="O15" i="40"/>
  <c r="AH18" i="40"/>
  <c r="AH26" i="40"/>
  <c r="G43" i="40" s="1"/>
  <c r="P9" i="40"/>
  <c r="Y9" i="40"/>
  <c r="Y10" i="40" s="1"/>
  <c r="Y11" i="40" s="1"/>
  <c r="Y12" i="40" s="1"/>
  <c r="P20" i="40"/>
  <c r="C21" i="40" s="1"/>
  <c r="AM24" i="40"/>
  <c r="AO25" i="40"/>
  <c r="AM25" i="40" s="1"/>
  <c r="N26" i="40"/>
  <c r="AD25" i="40"/>
  <c r="AR32" i="40"/>
  <c r="AT32" i="40" s="1"/>
  <c r="N15" i="40"/>
  <c r="AD16" i="40"/>
  <c r="AR16" i="40"/>
  <c r="AT16" i="40" s="1"/>
  <c r="AH17" i="40"/>
  <c r="X18" i="40"/>
  <c r="Q19" i="40" s="1"/>
  <c r="X21" i="40"/>
  <c r="Q22" i="40" s="1"/>
  <c r="X23" i="40"/>
  <c r="Q24" i="40" s="1"/>
  <c r="AM33" i="40"/>
  <c r="AM34" i="40"/>
  <c r="AM32" i="40"/>
  <c r="AH11" i="40"/>
  <c r="X12" i="40"/>
  <c r="Q13" i="40" s="1"/>
  <c r="X14" i="40"/>
  <c r="Q15" i="40" s="1"/>
  <c r="O16" i="40"/>
  <c r="AM16" i="40"/>
  <c r="AM18" i="40"/>
  <c r="AM20" i="40"/>
  <c r="AD21" i="40"/>
  <c r="AR21" i="40"/>
  <c r="AS21" i="40" s="1"/>
  <c r="AM22" i="40"/>
  <c r="AD23" i="40"/>
  <c r="AR23" i="40"/>
  <c r="N25" i="40"/>
  <c r="AR30" i="40"/>
  <c r="AS30" i="40" s="1"/>
  <c r="AM31" i="40"/>
  <c r="AH14" i="40"/>
  <c r="P16" i="40"/>
  <c r="C17" i="40" s="1"/>
  <c r="AD19" i="40"/>
  <c r="O25" i="40"/>
  <c r="AC52" i="40"/>
  <c r="AH12" i="40"/>
  <c r="N19" i="40"/>
  <c r="AM14" i="40"/>
  <c r="AM10" i="40"/>
  <c r="P15" i="40"/>
  <c r="C16" i="40" s="1"/>
  <c r="AH16" i="40"/>
  <c r="P17" i="40"/>
  <c r="C18" i="40" s="1"/>
  <c r="O19" i="40"/>
  <c r="AO19" i="40"/>
  <c r="AM19" i="40" s="1"/>
  <c r="O21" i="40"/>
  <c r="O23" i="40"/>
  <c r="N24" i="40"/>
  <c r="AH25" i="40"/>
  <c r="P19" i="40"/>
  <c r="C20" i="40" s="1"/>
  <c r="AH20" i="40"/>
  <c r="AD26" i="40"/>
  <c r="G45" i="40" s="1"/>
  <c r="AP45" i="40"/>
  <c r="AO28" i="40"/>
  <c r="AM28" i="40" s="1"/>
  <c r="AH10" i="40"/>
  <c r="AH19" i="40"/>
  <c r="AH23" i="40"/>
  <c r="AR24" i="40"/>
  <c r="AT24" i="40" s="1"/>
  <c r="O26" i="40"/>
  <c r="AM11" i="40"/>
  <c r="AD14" i="40"/>
  <c r="N13" i="40"/>
  <c r="AR14" i="40"/>
  <c r="AD17" i="40"/>
  <c r="AR10" i="40"/>
  <c r="O11" i="40"/>
  <c r="AR11" i="40"/>
  <c r="O12" i="40"/>
  <c r="AR12" i="40"/>
  <c r="O13" i="40"/>
  <c r="O14" i="40"/>
  <c r="X16" i="40"/>
  <c r="Q17" i="40" s="1"/>
  <c r="AD20" i="40"/>
  <c r="O22" i="40"/>
  <c r="X22" i="40"/>
  <c r="Q23" i="40" s="1"/>
  <c r="AR22" i="40"/>
  <c r="W26" i="40"/>
  <c r="AB39" i="40"/>
  <c r="P10" i="40"/>
  <c r="C11" i="40" s="1"/>
  <c r="P11" i="40" s="1"/>
  <c r="P13" i="40"/>
  <c r="C14" i="40" s="1"/>
  <c r="V13" i="40"/>
  <c r="AD13" i="40" s="1"/>
  <c r="AG13" i="40"/>
  <c r="P14" i="40"/>
  <c r="C15" i="40" s="1"/>
  <c r="X15" i="40"/>
  <c r="Q16" i="40" s="1"/>
  <c r="N16" i="40"/>
  <c r="O17" i="40"/>
  <c r="AO17" i="40"/>
  <c r="P18" i="40"/>
  <c r="C19" i="40" s="1"/>
  <c r="X19" i="40"/>
  <c r="Q20" i="40" s="1"/>
  <c r="N21" i="40"/>
  <c r="N23" i="40"/>
  <c r="AH24" i="40"/>
  <c r="X25" i="40"/>
  <c r="Q26" i="40" s="1"/>
  <c r="W25" i="40"/>
  <c r="AR27" i="40"/>
  <c r="AO27" i="40"/>
  <c r="AM27" i="40" s="1"/>
  <c r="AD11" i="40"/>
  <c r="AD12" i="40"/>
  <c r="AD18" i="40"/>
  <c r="AH22" i="40"/>
  <c r="AD24" i="40"/>
  <c r="P24" i="40"/>
  <c r="C25" i="40" s="1"/>
  <c r="AD31" i="40"/>
  <c r="W31" i="40"/>
  <c r="X31" i="40"/>
  <c r="N10" i="40"/>
  <c r="N18" i="40"/>
  <c r="W20" i="40"/>
  <c r="N22" i="40"/>
  <c r="X24" i="40"/>
  <c r="Q25" i="40" s="1"/>
  <c r="W24" i="40"/>
  <c r="AR26" i="40"/>
  <c r="AN26" i="40"/>
  <c r="AM26" i="40" s="1"/>
  <c r="AH31" i="40"/>
  <c r="AD34" i="40"/>
  <c r="W34" i="40"/>
  <c r="AH34" i="40"/>
  <c r="X34" i="40"/>
  <c r="AD10" i="40"/>
  <c r="N11" i="40"/>
  <c r="AR18" i="40"/>
  <c r="AE50" i="40"/>
  <c r="H64" i="40"/>
  <c r="J64" i="40" s="1"/>
  <c r="J65" i="40" s="1"/>
  <c r="M39" i="40"/>
  <c r="O10" i="40"/>
  <c r="O44" i="40"/>
  <c r="AQ39" i="40"/>
  <c r="N44" i="40"/>
  <c r="AR20" i="40"/>
  <c r="AH21" i="40"/>
  <c r="AD22" i="40"/>
  <c r="AD29" i="40"/>
  <c r="W29" i="40"/>
  <c r="X29" i="40"/>
  <c r="AD33" i="40"/>
  <c r="W33" i="40"/>
  <c r="X33" i="40"/>
  <c r="P25" i="40"/>
  <c r="C26" i="40" s="1"/>
  <c r="W28" i="40"/>
  <c r="AD28" i="40"/>
  <c r="AR29" i="40"/>
  <c r="AR31" i="40"/>
  <c r="AR33" i="40"/>
  <c r="AT33" i="40" s="1"/>
  <c r="AR34" i="40"/>
  <c r="W35" i="40"/>
  <c r="X36" i="40"/>
  <c r="W38" i="40"/>
  <c r="AD38" i="40"/>
  <c r="N41" i="40"/>
  <c r="N42" i="40"/>
  <c r="W30" i="40"/>
  <c r="W32" i="40"/>
  <c r="AG39" i="40"/>
  <c r="AP39" i="40"/>
  <c r="N43" i="40"/>
  <c r="L35" i="39"/>
  <c r="AA35" i="39" s="1"/>
  <c r="L28" i="39"/>
  <c r="AA28" i="39" s="1"/>
  <c r="AK44" i="39"/>
  <c r="Y41" i="39"/>
  <c r="AG39" i="39"/>
  <c r="Q43" i="39" s="1"/>
  <c r="AF39" i="39"/>
  <c r="Q42" i="39" s="1"/>
  <c r="X39" i="39"/>
  <c r="W39" i="39"/>
  <c r="R39" i="39"/>
  <c r="M45" i="39" s="1"/>
  <c r="Q39" i="39"/>
  <c r="M44" i="39" s="1"/>
  <c r="J39" i="39"/>
  <c r="G39" i="39"/>
  <c r="AN38" i="39"/>
  <c r="AL38" i="39" s="1"/>
  <c r="AM38" i="39"/>
  <c r="AD38" i="39"/>
  <c r="AC38" i="39"/>
  <c r="Z38" i="39"/>
  <c r="Y38" i="39"/>
  <c r="S38" i="39"/>
  <c r="U38" i="39" s="1"/>
  <c r="L38" i="39"/>
  <c r="AN37" i="39"/>
  <c r="AL37" i="39" s="1"/>
  <c r="AM37" i="39"/>
  <c r="AD37" i="39"/>
  <c r="AC37" i="39"/>
  <c r="AA37" i="39"/>
  <c r="Z37" i="39"/>
  <c r="Y37" i="39"/>
  <c r="AE37" i="39" s="1"/>
  <c r="T37" i="39"/>
  <c r="U37" i="39"/>
  <c r="N37" i="39"/>
  <c r="M37" i="39"/>
  <c r="AN36" i="39"/>
  <c r="AL36" i="39" s="1"/>
  <c r="AM36" i="39"/>
  <c r="AK36" i="39" s="1"/>
  <c r="AD36" i="39"/>
  <c r="AC36" i="39"/>
  <c r="AA36" i="39"/>
  <c r="Z36" i="39"/>
  <c r="Y36" i="39"/>
  <c r="AE36" i="39" s="1"/>
  <c r="T36" i="39"/>
  <c r="U36" i="39"/>
  <c r="N36" i="39"/>
  <c r="M36" i="39"/>
  <c r="AN35" i="39"/>
  <c r="AL35" i="39" s="1"/>
  <c r="AM35" i="39"/>
  <c r="AD35" i="39"/>
  <c r="AC35" i="39"/>
  <c r="Y35" i="39"/>
  <c r="O35" i="39"/>
  <c r="U35" i="39" s="1"/>
  <c r="D35" i="39"/>
  <c r="AN34" i="39"/>
  <c r="AL34" i="39" s="1"/>
  <c r="AM34" i="39"/>
  <c r="AD34" i="39"/>
  <c r="AC34" i="39"/>
  <c r="AA34" i="39"/>
  <c r="Z34" i="39"/>
  <c r="Y34" i="39"/>
  <c r="AE34" i="39" s="1"/>
  <c r="U34" i="39"/>
  <c r="T34" i="39"/>
  <c r="N34" i="39"/>
  <c r="M34" i="39"/>
  <c r="AN33" i="39"/>
  <c r="AM33" i="39"/>
  <c r="AK33" i="39" s="1"/>
  <c r="AD33" i="39"/>
  <c r="AC33" i="39"/>
  <c r="Z33" i="39"/>
  <c r="Y33" i="39"/>
  <c r="AE33" i="39" s="1"/>
  <c r="U33" i="39"/>
  <c r="N33" i="39"/>
  <c r="M33" i="39"/>
  <c r="AD32" i="39"/>
  <c r="AC32" i="39"/>
  <c r="AA32" i="39"/>
  <c r="Z32" i="39"/>
  <c r="Y32" i="39"/>
  <c r="AE32" i="39" s="1"/>
  <c r="T32" i="39"/>
  <c r="U32" i="39"/>
  <c r="N32" i="39"/>
  <c r="M32" i="39"/>
  <c r="AN31" i="39"/>
  <c r="AL31" i="39" s="1"/>
  <c r="AM31" i="39"/>
  <c r="AD31" i="39"/>
  <c r="AC31" i="39"/>
  <c r="AA31" i="39"/>
  <c r="Z31" i="39"/>
  <c r="Y31" i="39"/>
  <c r="AE31" i="39" s="1"/>
  <c r="U31" i="39"/>
  <c r="T31" i="39"/>
  <c r="N31" i="39"/>
  <c r="M31" i="39"/>
  <c r="AN30" i="39"/>
  <c r="AL30" i="39" s="1"/>
  <c r="AM30" i="39"/>
  <c r="AD30" i="39"/>
  <c r="AC30" i="39"/>
  <c r="AA30" i="39"/>
  <c r="Z30" i="39"/>
  <c r="Y30" i="39"/>
  <c r="AE30" i="39" s="1"/>
  <c r="T30" i="39"/>
  <c r="U30" i="39"/>
  <c r="N30" i="39"/>
  <c r="M30" i="39"/>
  <c r="AN29" i="39"/>
  <c r="AL29" i="39" s="1"/>
  <c r="AM29" i="39"/>
  <c r="AK29" i="39" s="1"/>
  <c r="AD29" i="39"/>
  <c r="AC29" i="39"/>
  <c r="AA29" i="39"/>
  <c r="Z29" i="39"/>
  <c r="Y29" i="39"/>
  <c r="AE29" i="39" s="1"/>
  <c r="U29" i="39"/>
  <c r="T29" i="39"/>
  <c r="N29" i="39"/>
  <c r="M29" i="39"/>
  <c r="AN28" i="39"/>
  <c r="AL28" i="39" s="1"/>
  <c r="AM28" i="39"/>
  <c r="AK28" i="39" s="1"/>
  <c r="AD28" i="39"/>
  <c r="AC28" i="39"/>
  <c r="Y28" i="39"/>
  <c r="O28" i="39"/>
  <c r="T28" i="39" s="1"/>
  <c r="D28" i="39"/>
  <c r="AS27" i="39"/>
  <c r="AS67" i="39" s="1"/>
  <c r="AN27" i="39"/>
  <c r="AL27" i="39" s="1"/>
  <c r="AM27" i="39"/>
  <c r="AK27" i="39" s="1"/>
  <c r="AD27" i="39"/>
  <c r="AC27" i="39"/>
  <c r="AA27" i="39"/>
  <c r="Z27" i="39"/>
  <c r="Y27" i="39"/>
  <c r="AE27" i="39" s="1"/>
  <c r="U27" i="39"/>
  <c r="T27" i="39"/>
  <c r="N27" i="39"/>
  <c r="M27" i="39"/>
  <c r="AN26" i="39"/>
  <c r="AL26" i="39" s="1"/>
  <c r="AM26" i="39"/>
  <c r="AK26" i="39" s="1"/>
  <c r="AD26" i="39"/>
  <c r="AC26" i="39"/>
  <c r="Z26" i="39"/>
  <c r="Y26" i="39"/>
  <c r="AE26" i="39" s="1"/>
  <c r="U26" i="39"/>
  <c r="N26" i="39"/>
  <c r="M26" i="39"/>
  <c r="AN25" i="39"/>
  <c r="AM25" i="39"/>
  <c r="AK25" i="39" s="1"/>
  <c r="AD25" i="39"/>
  <c r="AC25" i="39"/>
  <c r="Z25" i="39"/>
  <c r="Y25" i="39"/>
  <c r="S25" i="39"/>
  <c r="T25" i="39" s="1"/>
  <c r="L25" i="39"/>
  <c r="AN24" i="39"/>
  <c r="AM24" i="39"/>
  <c r="AK24" i="39" s="1"/>
  <c r="AD24" i="39"/>
  <c r="AC24" i="39"/>
  <c r="Z24" i="39"/>
  <c r="Y24" i="39"/>
  <c r="S24" i="39"/>
  <c r="T24" i="39" s="1"/>
  <c r="L24" i="39"/>
  <c r="N24" i="39" s="1"/>
  <c r="AN23" i="39"/>
  <c r="AM23" i="39"/>
  <c r="AK23" i="39" s="1"/>
  <c r="AH23" i="39"/>
  <c r="AH39" i="39" s="1"/>
  <c r="AD23" i="39"/>
  <c r="AC23" i="39"/>
  <c r="Z23" i="39"/>
  <c r="Y23" i="39"/>
  <c r="S23" i="39"/>
  <c r="T23" i="39" s="1"/>
  <c r="L23" i="39"/>
  <c r="M23" i="39" s="1"/>
  <c r="AN22" i="39"/>
  <c r="AM22" i="39"/>
  <c r="Z22" i="39"/>
  <c r="Y22" i="39"/>
  <c r="S22" i="39"/>
  <c r="T22" i="39" s="1"/>
  <c r="I22" i="39"/>
  <c r="I39" i="39" s="1"/>
  <c r="M43" i="39" s="1"/>
  <c r="F22" i="39"/>
  <c r="F39" i="39" s="1"/>
  <c r="M42" i="39" s="1"/>
  <c r="AN21" i="39"/>
  <c r="AL21" i="39" s="1"/>
  <c r="AM21" i="39"/>
  <c r="AK21" i="39" s="1"/>
  <c r="AD21" i="39"/>
  <c r="AC21" i="39"/>
  <c r="Y21" i="39"/>
  <c r="S21" i="39"/>
  <c r="O21" i="39"/>
  <c r="L21" i="39"/>
  <c r="D21" i="39"/>
  <c r="AN20" i="39"/>
  <c r="AL20" i="39" s="1"/>
  <c r="AM20" i="39"/>
  <c r="AK20" i="39" s="1"/>
  <c r="AD20" i="39"/>
  <c r="AC20" i="39"/>
  <c r="Z20" i="39"/>
  <c r="Y20" i="39"/>
  <c r="S20" i="39"/>
  <c r="T20" i="39" s="1"/>
  <c r="L20" i="39"/>
  <c r="M20" i="39" s="1"/>
  <c r="AN19" i="39"/>
  <c r="AL19" i="39" s="1"/>
  <c r="AM19" i="39"/>
  <c r="AK19" i="39" s="1"/>
  <c r="AD19" i="39"/>
  <c r="AC19" i="39"/>
  <c r="Z19" i="39"/>
  <c r="Y19" i="39"/>
  <c r="S19" i="39"/>
  <c r="T19" i="39" s="1"/>
  <c r="L19" i="39"/>
  <c r="M19" i="39" s="1"/>
  <c r="AN18" i="39"/>
  <c r="AL18" i="39" s="1"/>
  <c r="AM18" i="39"/>
  <c r="AK18" i="39" s="1"/>
  <c r="AD18" i="39"/>
  <c r="AC18" i="39"/>
  <c r="Z18" i="39"/>
  <c r="Y18" i="39"/>
  <c r="S18" i="39"/>
  <c r="T18" i="39" s="1"/>
  <c r="L18" i="39"/>
  <c r="M18" i="39" s="1"/>
  <c r="AN17" i="39"/>
  <c r="AM17" i="39"/>
  <c r="AK17" i="39" s="1"/>
  <c r="AD17" i="39"/>
  <c r="AC17" i="39"/>
  <c r="Z17" i="39"/>
  <c r="Y17" i="39"/>
  <c r="S17" i="39"/>
  <c r="U17" i="39" s="1"/>
  <c r="L17" i="39"/>
  <c r="M17" i="39" s="1"/>
  <c r="AN16" i="39"/>
  <c r="AM16" i="39"/>
  <c r="AK16" i="39" s="1"/>
  <c r="AD16" i="39"/>
  <c r="AC16" i="39"/>
  <c r="Z16" i="39"/>
  <c r="Y16" i="39"/>
  <c r="S16" i="39"/>
  <c r="U16" i="39" s="1"/>
  <c r="L16" i="39"/>
  <c r="M16" i="39" s="1"/>
  <c r="AN15" i="39"/>
  <c r="AL15" i="39" s="1"/>
  <c r="AM15" i="39"/>
  <c r="AK15" i="39" s="1"/>
  <c r="AD15" i="39"/>
  <c r="AC15" i="39"/>
  <c r="Z15" i="39"/>
  <c r="Y15" i="39"/>
  <c r="S15" i="39"/>
  <c r="T15" i="39" s="1"/>
  <c r="L15" i="39"/>
  <c r="N15" i="39" s="1"/>
  <c r="AN14" i="39"/>
  <c r="AL14" i="39" s="1"/>
  <c r="AM14" i="39"/>
  <c r="AK14" i="39" s="1"/>
  <c r="AD14" i="39"/>
  <c r="AC14" i="39"/>
  <c r="Y14" i="39"/>
  <c r="S14" i="39"/>
  <c r="O14" i="39"/>
  <c r="L14" i="39"/>
  <c r="D14" i="39"/>
  <c r="AN13" i="39"/>
  <c r="AL13" i="39" s="1"/>
  <c r="AM13" i="39"/>
  <c r="AK13" i="39" s="1"/>
  <c r="AD13" i="39"/>
  <c r="AC13" i="39"/>
  <c r="Z13" i="39"/>
  <c r="Y13" i="39"/>
  <c r="S13" i="39"/>
  <c r="T13" i="39" s="1"/>
  <c r="L13" i="39"/>
  <c r="M13" i="39" s="1"/>
  <c r="AN12" i="39"/>
  <c r="AM12" i="39"/>
  <c r="AK12" i="39" s="1"/>
  <c r="AD12" i="39"/>
  <c r="AC12" i="39"/>
  <c r="Z12" i="39"/>
  <c r="Y12" i="39"/>
  <c r="S12" i="39"/>
  <c r="T12" i="39" s="1"/>
  <c r="L12" i="39"/>
  <c r="M12" i="39" s="1"/>
  <c r="AN11" i="39"/>
  <c r="AM11" i="39"/>
  <c r="AK11" i="39" s="1"/>
  <c r="AD11" i="39"/>
  <c r="AC11" i="39"/>
  <c r="Z11" i="39"/>
  <c r="Y11" i="39"/>
  <c r="S11" i="39"/>
  <c r="T11" i="39" s="1"/>
  <c r="L11" i="39"/>
  <c r="N11" i="39" s="1"/>
  <c r="AN10" i="39"/>
  <c r="AL10" i="39" s="1"/>
  <c r="AM10" i="39"/>
  <c r="AK10" i="39" s="1"/>
  <c r="AD10" i="39"/>
  <c r="AC10" i="39"/>
  <c r="Z10" i="39"/>
  <c r="Y10" i="39"/>
  <c r="S10" i="39"/>
  <c r="T10" i="39" s="1"/>
  <c r="L10" i="39"/>
  <c r="N10" i="39" s="1"/>
  <c r="AN9" i="39"/>
  <c r="AL9" i="39" s="1"/>
  <c r="AM9" i="39"/>
  <c r="AK9" i="39" s="1"/>
  <c r="AD9" i="39"/>
  <c r="AC9" i="39"/>
  <c r="Z9" i="39"/>
  <c r="Y9" i="39"/>
  <c r="S9" i="39"/>
  <c r="T9" i="39" s="1"/>
  <c r="L9" i="39"/>
  <c r="N9" i="39" s="1"/>
  <c r="AN8" i="39"/>
  <c r="AL8" i="39" s="1"/>
  <c r="AM8" i="39"/>
  <c r="AK8" i="39" s="1"/>
  <c r="AD8" i="39"/>
  <c r="AC8" i="39"/>
  <c r="Z8" i="39"/>
  <c r="Y8" i="39"/>
  <c r="S8" i="39"/>
  <c r="U8" i="39" s="1"/>
  <c r="P8" i="39"/>
  <c r="P9" i="39" s="1"/>
  <c r="P10" i="39" s="1"/>
  <c r="P11" i="39" s="1"/>
  <c r="P12" i="39" s="1"/>
  <c r="P13" i="39" s="1"/>
  <c r="L8" i="39"/>
  <c r="M8" i="39" s="1"/>
  <c r="E8" i="39"/>
  <c r="E9" i="39" s="1"/>
  <c r="E10" i="39" s="1"/>
  <c r="E11" i="39" s="1"/>
  <c r="E12" i="39" s="1"/>
  <c r="E13" i="39" s="1"/>
  <c r="M28" i="39" l="1"/>
  <c r="AT9" i="40"/>
  <c r="T8" i="39"/>
  <c r="AJ14" i="39"/>
  <c r="Z21" i="39"/>
  <c r="Z35" i="39"/>
  <c r="AB35" i="39" s="1"/>
  <c r="AT19" i="40"/>
  <c r="AR13" i="40"/>
  <c r="AS13" i="40" s="1"/>
  <c r="AU27" i="39"/>
  <c r="AA25" i="39"/>
  <c r="F46" i="39" s="1"/>
  <c r="AE35" i="39"/>
  <c r="AO30" i="39"/>
  <c r="AQ30" i="39" s="1"/>
  <c r="AS28" i="40"/>
  <c r="AJ20" i="39"/>
  <c r="AO22" i="39"/>
  <c r="AP22" i="39" s="1"/>
  <c r="U14" i="39"/>
  <c r="AS24" i="40"/>
  <c r="U21" i="39"/>
  <c r="AS16" i="40"/>
  <c r="P14" i="39"/>
  <c r="P15" i="39" s="1"/>
  <c r="P16" i="39" s="1"/>
  <c r="P17" i="39" s="1"/>
  <c r="P18" i="39" s="1"/>
  <c r="P19" i="39" s="1"/>
  <c r="P20" i="39" s="1"/>
  <c r="P21" i="39" s="1"/>
  <c r="P22" i="39" s="1"/>
  <c r="P23" i="39" s="1"/>
  <c r="P24" i="39" s="1"/>
  <c r="P25" i="39" s="1"/>
  <c r="P26" i="39" s="1"/>
  <c r="P27" i="39" s="1"/>
  <c r="P28" i="39" s="1"/>
  <c r="P29" i="39" s="1"/>
  <c r="P30" i="39" s="1"/>
  <c r="P31" i="39" s="1"/>
  <c r="P32" i="39" s="1"/>
  <c r="P33" i="39" s="1"/>
  <c r="P34" i="39" s="1"/>
  <c r="P35" i="39" s="1"/>
  <c r="P36" i="39" s="1"/>
  <c r="P37" i="39" s="1"/>
  <c r="AO11" i="39"/>
  <c r="AQ11" i="39" s="1"/>
  <c r="AS17" i="40"/>
  <c r="AJ27" i="39"/>
  <c r="AS25" i="40"/>
  <c r="AS15" i="40"/>
  <c r="AA8" i="39"/>
  <c r="AB8" i="39" s="1"/>
  <c r="M24" i="39"/>
  <c r="N8" i="39"/>
  <c r="N13" i="39"/>
  <c r="AE12" i="39"/>
  <c r="AE13" i="39"/>
  <c r="AO16" i="39"/>
  <c r="AP16" i="39" s="1"/>
  <c r="AO17" i="39"/>
  <c r="AQ17" i="39" s="1"/>
  <c r="Z28" i="39"/>
  <c r="AB28" i="39" s="1"/>
  <c r="U12" i="39"/>
  <c r="AA21" i="39"/>
  <c r="AO10" i="39"/>
  <c r="AP10" i="39" s="1"/>
  <c r="AB31" i="39"/>
  <c r="AO33" i="39"/>
  <c r="AQ33" i="39" s="1"/>
  <c r="E14" i="39"/>
  <c r="E15" i="39" s="1"/>
  <c r="E16" i="39" s="1"/>
  <c r="E17" i="39" s="1"/>
  <c r="E18" i="39" s="1"/>
  <c r="E19" i="39" s="1"/>
  <c r="E20" i="39" s="1"/>
  <c r="E21" i="39" s="1"/>
  <c r="E22" i="39" s="1"/>
  <c r="E23" i="39" s="1"/>
  <c r="E24" i="39" s="1"/>
  <c r="E25" i="39" s="1"/>
  <c r="E26" i="39" s="1"/>
  <c r="E27" i="39" s="1"/>
  <c r="E28" i="39" s="1"/>
  <c r="E29" i="39" s="1"/>
  <c r="E30" i="39" s="1"/>
  <c r="E31" i="39" s="1"/>
  <c r="E32" i="39" s="1"/>
  <c r="E33" i="39" s="1"/>
  <c r="E34" i="39" s="1"/>
  <c r="E35" i="39" s="1"/>
  <c r="E36" i="39" s="1"/>
  <c r="E37" i="39" s="1"/>
  <c r="AE8" i="39"/>
  <c r="AE10" i="39"/>
  <c r="M14" i="39"/>
  <c r="AO14" i="39"/>
  <c r="AP14" i="39" s="1"/>
  <c r="AJ15" i="39"/>
  <c r="AO23" i="39"/>
  <c r="AP23" i="39" s="1"/>
  <c r="AJ26" i="39"/>
  <c r="AB29" i="39"/>
  <c r="AB30" i="39"/>
  <c r="AO36" i="39"/>
  <c r="AQ36" i="39" s="1"/>
  <c r="N28" i="39"/>
  <c r="AS32" i="40"/>
  <c r="AT21" i="40"/>
  <c r="AO39" i="40"/>
  <c r="AE20" i="39"/>
  <c r="AJ13" i="39"/>
  <c r="AO15" i="39"/>
  <c r="AQ15" i="39" s="1"/>
  <c r="AJ18" i="39"/>
  <c r="N20" i="39"/>
  <c r="AO20" i="39"/>
  <c r="AP20" i="39" s="1"/>
  <c r="U25" i="39"/>
  <c r="AO26" i="39"/>
  <c r="AP26" i="39" s="1"/>
  <c r="AO28" i="39"/>
  <c r="AP28" i="39" s="1"/>
  <c r="AL33" i="39"/>
  <c r="AJ33" i="39" s="1"/>
  <c r="AO38" i="39"/>
  <c r="AQ38" i="39" s="1"/>
  <c r="AJ10" i="39"/>
  <c r="AB36" i="39"/>
  <c r="N35" i="39"/>
  <c r="U13" i="39"/>
  <c r="AB27" i="39"/>
  <c r="U9" i="39"/>
  <c r="N12" i="39"/>
  <c r="V13" i="39"/>
  <c r="V14" i="39" s="1"/>
  <c r="V15" i="39" s="1"/>
  <c r="V16" i="39" s="1"/>
  <c r="V17" i="39" s="1"/>
  <c r="V18" i="39" s="1"/>
  <c r="V19" i="39" s="1"/>
  <c r="V20" i="39" s="1"/>
  <c r="V21" i="39" s="1"/>
  <c r="V22" i="39" s="1"/>
  <c r="V23" i="39" s="1"/>
  <c r="V24" i="39" s="1"/>
  <c r="V25" i="39" s="1"/>
  <c r="AE15" i="39"/>
  <c r="AL16" i="39"/>
  <c r="AJ16" i="39" s="1"/>
  <c r="AO19" i="39"/>
  <c r="AP19" i="39" s="1"/>
  <c r="AJ21" i="39"/>
  <c r="AL23" i="39"/>
  <c r="AJ23" i="39" s="1"/>
  <c r="U24" i="39"/>
  <c r="M25" i="39"/>
  <c r="T35" i="39"/>
  <c r="M35" i="39"/>
  <c r="AA12" i="39"/>
  <c r="AB12" i="39" s="1"/>
  <c r="AE17" i="39"/>
  <c r="M21" i="39"/>
  <c r="AN39" i="40"/>
  <c r="AE9" i="39"/>
  <c r="AE19" i="39"/>
  <c r="N25" i="39"/>
  <c r="AJ28" i="39"/>
  <c r="AS23" i="40"/>
  <c r="AT23" i="40"/>
  <c r="AB34" i="39"/>
  <c r="U28" i="39"/>
  <c r="AO29" i="39"/>
  <c r="AP29" i="39" s="1"/>
  <c r="AT30" i="40"/>
  <c r="AE25" i="39"/>
  <c r="F44" i="39" s="1"/>
  <c r="AL11" i="39"/>
  <c r="AJ11" i="39" s="1"/>
  <c r="AO12" i="39"/>
  <c r="AP12" i="39" s="1"/>
  <c r="AA13" i="39"/>
  <c r="AB13" i="39" s="1"/>
  <c r="AE16" i="39"/>
  <c r="AL17" i="39"/>
  <c r="AJ17" i="39" s="1"/>
  <c r="AE21" i="39"/>
  <c r="AE23" i="39"/>
  <c r="AE24" i="39"/>
  <c r="AO25" i="39"/>
  <c r="AQ25" i="39" s="1"/>
  <c r="AB37" i="39"/>
  <c r="T38" i="39"/>
  <c r="AM17" i="40"/>
  <c r="AM39" i="40" s="1"/>
  <c r="AE14" i="39"/>
  <c r="AO24" i="39"/>
  <c r="AQ24" i="39" s="1"/>
  <c r="AJ9" i="39"/>
  <c r="AA9" i="39"/>
  <c r="AB9" i="39" s="1"/>
  <c r="AE28" i="39"/>
  <c r="AL22" i="39"/>
  <c r="C12" i="40"/>
  <c r="P12" i="40" s="1"/>
  <c r="C13" i="40" s="1"/>
  <c r="AS29" i="40"/>
  <c r="AT29" i="40"/>
  <c r="AR39" i="40"/>
  <c r="J66" i="40"/>
  <c r="K65" i="40"/>
  <c r="AE51" i="40"/>
  <c r="AE52" i="40" s="1"/>
  <c r="AJ52" i="40" s="1"/>
  <c r="AT12" i="40"/>
  <c r="AS12" i="40"/>
  <c r="AT10" i="40"/>
  <c r="AS10" i="40"/>
  <c r="AT34" i="40"/>
  <c r="AS34" i="40"/>
  <c r="AJ50" i="40"/>
  <c r="AI50" i="40"/>
  <c r="AT26" i="40"/>
  <c r="AS26" i="40"/>
  <c r="W13" i="40"/>
  <c r="X13" i="40"/>
  <c r="AH13" i="40"/>
  <c r="AT18" i="40"/>
  <c r="AS18" i="40"/>
  <c r="AT11" i="40"/>
  <c r="AS11" i="40"/>
  <c r="AS20" i="40"/>
  <c r="AT20" i="40"/>
  <c r="AS31" i="40"/>
  <c r="AT31" i="40"/>
  <c r="G41" i="40"/>
  <c r="O39" i="40"/>
  <c r="N39" i="40"/>
  <c r="AT27" i="40"/>
  <c r="AS27" i="40"/>
  <c r="V39" i="40"/>
  <c r="AS22" i="40"/>
  <c r="AT22" i="40"/>
  <c r="AT14" i="40"/>
  <c r="AS14" i="40"/>
  <c r="Y13" i="40"/>
  <c r="Y14" i="40" s="1"/>
  <c r="Y15" i="40" s="1"/>
  <c r="Y16" i="40" s="1"/>
  <c r="Y17" i="40" s="1"/>
  <c r="Y18" i="40" s="1"/>
  <c r="Y19" i="40" s="1"/>
  <c r="Y20" i="40" s="1"/>
  <c r="Y21" i="40" s="1"/>
  <c r="Y22" i="40" s="1"/>
  <c r="Y23" i="40" s="1"/>
  <c r="Y24" i="40" s="1"/>
  <c r="Y25" i="40" s="1"/>
  <c r="Y26" i="40" s="1"/>
  <c r="AJ8" i="39"/>
  <c r="AO9" i="39"/>
  <c r="M11" i="39"/>
  <c r="AE11" i="39"/>
  <c r="Z44" i="39"/>
  <c r="D39" i="39"/>
  <c r="Z53" i="39"/>
  <c r="S43" i="39"/>
  <c r="T14" i="39"/>
  <c r="T16" i="39"/>
  <c r="T17" i="39"/>
  <c r="AE18" i="39"/>
  <c r="N19" i="39"/>
  <c r="Y39" i="39"/>
  <c r="AO8" i="39"/>
  <c r="M10" i="39"/>
  <c r="AA10" i="39"/>
  <c r="AB10" i="39" s="1"/>
  <c r="U11" i="39"/>
  <c r="AO13" i="39"/>
  <c r="Z45" i="39"/>
  <c r="O39" i="39"/>
  <c r="Z54" i="39"/>
  <c r="S44" i="39"/>
  <c r="AA14" i="39"/>
  <c r="U15" i="39"/>
  <c r="AA15" i="39"/>
  <c r="AB15" i="39" s="1"/>
  <c r="N16" i="39"/>
  <c r="AA16" i="39"/>
  <c r="AB16" i="39" s="1"/>
  <c r="N17" i="39"/>
  <c r="AA17" i="39"/>
  <c r="AB17" i="39" s="1"/>
  <c r="N18" i="39"/>
  <c r="AO18" i="39"/>
  <c r="AJ19" i="39"/>
  <c r="AO21" i="39"/>
  <c r="L22" i="39"/>
  <c r="AA23" i="39"/>
  <c r="AB23" i="39" s="1"/>
  <c r="AO27" i="39"/>
  <c r="AJ29" i="39"/>
  <c r="AK30" i="39"/>
  <c r="AJ30" i="39" s="1"/>
  <c r="AO35" i="39"/>
  <c r="AK35" i="39"/>
  <c r="AJ35" i="39" s="1"/>
  <c r="AC39" i="39"/>
  <c r="AB54" i="39"/>
  <c r="S39" i="39"/>
  <c r="M9" i="39"/>
  <c r="U10" i="39"/>
  <c r="AL12" i="39"/>
  <c r="AJ12" i="39" s="1"/>
  <c r="U19" i="39"/>
  <c r="T21" i="39"/>
  <c r="AK22" i="39"/>
  <c r="U23" i="39"/>
  <c r="AL24" i="39"/>
  <c r="AJ24" i="39" s="1"/>
  <c r="AL25" i="39"/>
  <c r="AJ25" i="39" s="1"/>
  <c r="AJ36" i="39"/>
  <c r="N38" i="39"/>
  <c r="M38" i="39"/>
  <c r="AE38" i="39"/>
  <c r="AA38" i="39"/>
  <c r="AB38" i="39" s="1"/>
  <c r="AD39" i="39"/>
  <c r="AS69" i="39"/>
  <c r="AS68" i="39"/>
  <c r="AO31" i="39"/>
  <c r="AK31" i="39"/>
  <c r="AJ31" i="39" s="1"/>
  <c r="AA11" i="39"/>
  <c r="AB11" i="39" s="1"/>
  <c r="M15" i="39"/>
  <c r="AA18" i="39"/>
  <c r="AB18" i="39" s="1"/>
  <c r="U22" i="39"/>
  <c r="N14" i="39"/>
  <c r="Z14" i="39"/>
  <c r="U18" i="39"/>
  <c r="AA20" i="39"/>
  <c r="AB20" i="39" s="1"/>
  <c r="AC22" i="39"/>
  <c r="N23" i="39"/>
  <c r="AO34" i="39"/>
  <c r="AK34" i="39"/>
  <c r="AJ34" i="39" s="1"/>
  <c r="AO37" i="39"/>
  <c r="AQ37" i="39" s="1"/>
  <c r="AK37" i="39"/>
  <c r="AJ37" i="39" s="1"/>
  <c r="AA19" i="39"/>
  <c r="AB19" i="39" s="1"/>
  <c r="U20" i="39"/>
  <c r="AA26" i="39"/>
  <c r="T26" i="39"/>
  <c r="AD22" i="39"/>
  <c r="T33" i="39"/>
  <c r="AA33" i="39"/>
  <c r="AM39" i="39"/>
  <c r="AN39" i="39"/>
  <c r="N21" i="39"/>
  <c r="AA24" i="39"/>
  <c r="AB24" i="39" s="1"/>
  <c r="AP30" i="39" l="1"/>
  <c r="N39" i="39"/>
  <c r="AP15" i="39"/>
  <c r="AQ10" i="39"/>
  <c r="AP36" i="39"/>
  <c r="AB21" i="39"/>
  <c r="AP24" i="39"/>
  <c r="AB25" i="39"/>
  <c r="AP17" i="39"/>
  <c r="AQ14" i="39"/>
  <c r="AT13" i="40"/>
  <c r="AP11" i="39"/>
  <c r="AP25" i="39"/>
  <c r="AP33" i="39"/>
  <c r="AQ16" i="39"/>
  <c r="AO39" i="39"/>
  <c r="AP39" i="39" s="1"/>
  <c r="AQ26" i="39"/>
  <c r="AQ23" i="39"/>
  <c r="AQ28" i="39"/>
  <c r="AJ22" i="39"/>
  <c r="AJ39" i="39" s="1"/>
  <c r="AQ29" i="39"/>
  <c r="AQ19" i="39"/>
  <c r="AQ20" i="39"/>
  <c r="AQ12" i="39"/>
  <c r="U39" i="39"/>
  <c r="P39" i="40"/>
  <c r="G42" i="40"/>
  <c r="W39" i="40"/>
  <c r="AH39" i="40"/>
  <c r="G44" i="40" s="1"/>
  <c r="AD39" i="40"/>
  <c r="G46" i="40" s="1"/>
  <c r="W44" i="40" s="1"/>
  <c r="Q14" i="40"/>
  <c r="X39" i="40"/>
  <c r="AT39" i="40"/>
  <c r="AS39" i="40"/>
  <c r="AE43" i="40"/>
  <c r="W42" i="40"/>
  <c r="AJ51" i="40"/>
  <c r="AI51" i="40"/>
  <c r="AF54" i="39"/>
  <c r="AG54" i="39"/>
  <c r="M22" i="39"/>
  <c r="AA22" i="39"/>
  <c r="AB22" i="39" s="1"/>
  <c r="N22" i="39"/>
  <c r="AP18" i="39"/>
  <c r="AQ18" i="39"/>
  <c r="AQ8" i="39"/>
  <c r="AP8" i="39"/>
  <c r="AQ22" i="39"/>
  <c r="AL39" i="39"/>
  <c r="AP31" i="39"/>
  <c r="AQ31" i="39"/>
  <c r="L39" i="39"/>
  <c r="AP21" i="39"/>
  <c r="AQ21" i="39"/>
  <c r="Z55" i="39"/>
  <c r="AB53" i="39"/>
  <c r="AB14" i="39"/>
  <c r="Z39" i="39"/>
  <c r="AP9" i="39"/>
  <c r="AQ9" i="39"/>
  <c r="AE22" i="39"/>
  <c r="AK39" i="39"/>
  <c r="AP34" i="39"/>
  <c r="AQ34" i="39"/>
  <c r="T39" i="39"/>
  <c r="F43" i="39"/>
  <c r="AP35" i="39"/>
  <c r="AQ35" i="39"/>
  <c r="AP27" i="39"/>
  <c r="AQ27" i="39"/>
  <c r="AP13" i="39"/>
  <c r="AQ13" i="39"/>
  <c r="Z46" i="39"/>
  <c r="S24" i="37"/>
  <c r="AQ39" i="39" l="1"/>
  <c r="AE39" i="39"/>
  <c r="AC56" i="39" s="1"/>
  <c r="AG56" i="39" s="1"/>
  <c r="W45" i="40"/>
  <c r="AF46" i="40"/>
  <c r="AJ46" i="40" s="1"/>
  <c r="AF53" i="40"/>
  <c r="AJ53" i="40" s="1"/>
  <c r="AN45" i="40"/>
  <c r="AJ43" i="40"/>
  <c r="AB56" i="40" s="1"/>
  <c r="AI43" i="40"/>
  <c r="AB40" i="40"/>
  <c r="AE44" i="40"/>
  <c r="W43" i="40"/>
  <c r="T44" i="39"/>
  <c r="AB45" i="39"/>
  <c r="AF53" i="39"/>
  <c r="AB55" i="39"/>
  <c r="AG55" i="39" s="1"/>
  <c r="AG53" i="39"/>
  <c r="F42" i="39"/>
  <c r="AA39" i="39"/>
  <c r="M39" i="39"/>
  <c r="Y40" i="39" l="1"/>
  <c r="F45" i="39"/>
  <c r="T46" i="39" s="1"/>
  <c r="AI44" i="40"/>
  <c r="AJ44" i="40"/>
  <c r="AN46" i="40"/>
  <c r="AE45" i="40"/>
  <c r="AJ45" i="40" s="1"/>
  <c r="AB39" i="39"/>
  <c r="F47" i="39"/>
  <c r="T45" i="39" s="1"/>
  <c r="AG45" i="39"/>
  <c r="AF45" i="39"/>
  <c r="AK47" i="39"/>
  <c r="T43" i="39"/>
  <c r="AB44" i="39"/>
  <c r="AC47" i="39" l="1"/>
  <c r="AG47" i="39" s="1"/>
  <c r="AB46" i="39"/>
  <c r="AG46" i="39" s="1"/>
  <c r="AG44" i="39"/>
  <c r="Y60" i="39" s="1"/>
  <c r="AF44" i="39"/>
  <c r="AK46" i="39"/>
  <c r="V16" i="38" l="1"/>
  <c r="Y10" i="15" l="1"/>
  <c r="Y12" i="15"/>
  <c r="Y13" i="15"/>
  <c r="Y14" i="15"/>
  <c r="Y15" i="15"/>
  <c r="Y16" i="15"/>
  <c r="Y17" i="15"/>
  <c r="Y18" i="15"/>
  <c r="Y19" i="15"/>
  <c r="Y20" i="15"/>
  <c r="Y21" i="15"/>
  <c r="Y22" i="15"/>
  <c r="Y23" i="15"/>
  <c r="Y24" i="15"/>
  <c r="Y25" i="15"/>
  <c r="Y26" i="15"/>
  <c r="Y27" i="15"/>
  <c r="Y28" i="15"/>
  <c r="Y29" i="15"/>
  <c r="Y30" i="15"/>
  <c r="Y31" i="15"/>
  <c r="Y32" i="15"/>
  <c r="Y33" i="15"/>
  <c r="Y34" i="15"/>
  <c r="Y35" i="15"/>
  <c r="Y36" i="15"/>
  <c r="Y37" i="15"/>
  <c r="X10" i="15"/>
  <c r="X12" i="15"/>
  <c r="X13" i="15"/>
  <c r="X14" i="15"/>
  <c r="X15" i="15"/>
  <c r="X16" i="15"/>
  <c r="X17" i="15"/>
  <c r="X18" i="15"/>
  <c r="X19" i="15"/>
  <c r="X20" i="15"/>
  <c r="X21" i="15"/>
  <c r="X22" i="15"/>
  <c r="X23" i="15"/>
  <c r="X24" i="15"/>
  <c r="X25" i="15"/>
  <c r="X26" i="15"/>
  <c r="X27" i="15"/>
  <c r="X28" i="15"/>
  <c r="X29" i="15"/>
  <c r="X30" i="15"/>
  <c r="X31" i="15"/>
  <c r="X32" i="15"/>
  <c r="X33" i="15"/>
  <c r="X34" i="15"/>
  <c r="X35" i="15"/>
  <c r="X36" i="15"/>
  <c r="X37" i="15"/>
  <c r="Y8" i="15"/>
  <c r="X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8" i="15"/>
  <c r="M9" i="15"/>
  <c r="M10" i="15"/>
  <c r="M11" i="15"/>
  <c r="M12" i="15"/>
  <c r="M13" i="15"/>
  <c r="M15" i="15"/>
  <c r="M16" i="15"/>
  <c r="M17" i="15"/>
  <c r="M18" i="15"/>
  <c r="M19" i="15"/>
  <c r="M20" i="15"/>
  <c r="M22" i="15"/>
  <c r="M23" i="15"/>
  <c r="M24" i="15"/>
  <c r="M25" i="15"/>
  <c r="M26" i="15"/>
  <c r="M27" i="15"/>
  <c r="M29" i="15"/>
  <c r="M30" i="15"/>
  <c r="M31" i="15"/>
  <c r="M32" i="15"/>
  <c r="M33" i="15"/>
  <c r="M34" i="15"/>
  <c r="M36" i="15"/>
  <c r="M37" i="15"/>
  <c r="M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8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8" i="15"/>
  <c r="C9" i="15"/>
  <c r="C10" i="15"/>
  <c r="C11" i="15"/>
  <c r="C12" i="15"/>
  <c r="C13" i="15"/>
  <c r="C15" i="15"/>
  <c r="C16" i="15"/>
  <c r="C17" i="15"/>
  <c r="C18" i="15"/>
  <c r="C19" i="15"/>
  <c r="C20" i="15"/>
  <c r="C22" i="15"/>
  <c r="C23" i="15"/>
  <c r="C24" i="15"/>
  <c r="C25" i="15"/>
  <c r="C26" i="15"/>
  <c r="C27" i="15"/>
  <c r="C29" i="15"/>
  <c r="C30" i="15"/>
  <c r="C31" i="15"/>
  <c r="C32" i="15"/>
  <c r="C33" i="15"/>
  <c r="C34" i="15"/>
  <c r="C36" i="15"/>
  <c r="C37" i="15"/>
  <c r="C8" i="15"/>
  <c r="AI39" i="15"/>
  <c r="O39" i="15" l="1"/>
  <c r="N39" i="15"/>
  <c r="G13" i="15" l="1"/>
  <c r="G12" i="15" l="1"/>
  <c r="Y11" i="15" l="1"/>
  <c r="X11" i="15"/>
  <c r="G11" i="15"/>
  <c r="AV63" i="38" l="1"/>
  <c r="AC53" i="38"/>
  <c r="AP47" i="38"/>
  <c r="AP45" i="38"/>
  <c r="AP44" i="38"/>
  <c r="AN44" i="38"/>
  <c r="T43" i="38"/>
  <c r="T42" i="38"/>
  <c r="O45" i="38"/>
  <c r="O44" i="38"/>
  <c r="AG38" i="38"/>
  <c r="AF38" i="38"/>
  <c r="AB38" i="38"/>
  <c r="V38" i="38"/>
  <c r="M38" i="38"/>
  <c r="O38" i="38" s="1"/>
  <c r="AG37" i="38"/>
  <c r="AF37" i="38"/>
  <c r="AB37" i="38"/>
  <c r="V37" i="38"/>
  <c r="M37" i="38"/>
  <c r="AG36" i="38"/>
  <c r="AF36" i="38"/>
  <c r="AB36" i="38"/>
  <c r="V36" i="38"/>
  <c r="M36" i="38"/>
  <c r="AG35" i="38"/>
  <c r="AF35" i="38"/>
  <c r="AB35" i="38"/>
  <c r="V35" i="38"/>
  <c r="M35" i="38"/>
  <c r="AQ34" i="38"/>
  <c r="AP34" i="38"/>
  <c r="AN34" i="38" s="1"/>
  <c r="AG34" i="38"/>
  <c r="AF34" i="38"/>
  <c r="AB34" i="38"/>
  <c r="V34" i="38"/>
  <c r="M34" i="38"/>
  <c r="P34" i="38" s="1"/>
  <c r="AQ33" i="38"/>
  <c r="AO33" i="38" s="1"/>
  <c r="AP33" i="38"/>
  <c r="AN33" i="38" s="1"/>
  <c r="AG33" i="38"/>
  <c r="AF33" i="38"/>
  <c r="AB33" i="38"/>
  <c r="V33" i="38"/>
  <c r="M33" i="38"/>
  <c r="P33" i="38" s="1"/>
  <c r="AQ32" i="38"/>
  <c r="AP32" i="38"/>
  <c r="AN32" i="38" s="1"/>
  <c r="AG32" i="38"/>
  <c r="AF32" i="38"/>
  <c r="AB32" i="38"/>
  <c r="V32" i="38"/>
  <c r="M32" i="38"/>
  <c r="N32" i="38" s="1"/>
  <c r="AQ31" i="38"/>
  <c r="AP31" i="38"/>
  <c r="AN31" i="38" s="1"/>
  <c r="AG31" i="38"/>
  <c r="AF31" i="38"/>
  <c r="AB31" i="38"/>
  <c r="V31" i="38"/>
  <c r="N31" i="38"/>
  <c r="AQ30" i="38"/>
  <c r="AO30" i="38" s="1"/>
  <c r="AP30" i="38"/>
  <c r="AN30" i="38" s="1"/>
  <c r="AG30" i="38"/>
  <c r="AF30" i="38"/>
  <c r="AB30" i="38"/>
  <c r="V30" i="38"/>
  <c r="M30" i="38"/>
  <c r="N30" i="38" s="1"/>
  <c r="AQ29" i="38"/>
  <c r="AO29" i="38" s="1"/>
  <c r="AP29" i="38"/>
  <c r="AN29" i="38" s="1"/>
  <c r="AG29" i="38"/>
  <c r="AF29" i="38"/>
  <c r="AB29" i="38"/>
  <c r="V29" i="38"/>
  <c r="W29" i="38" s="1"/>
  <c r="M29" i="38"/>
  <c r="N29" i="38" s="1"/>
  <c r="AV28" i="38"/>
  <c r="AQ28" i="38"/>
  <c r="AO28" i="38" s="1"/>
  <c r="AP28" i="38"/>
  <c r="AN28" i="38" s="1"/>
  <c r="AG28" i="38"/>
  <c r="AF28" i="38"/>
  <c r="AB28" i="38"/>
  <c r="V28" i="38"/>
  <c r="M28" i="38"/>
  <c r="AQ27" i="38"/>
  <c r="AO27" i="38" s="1"/>
  <c r="AP27" i="38"/>
  <c r="AG27" i="38"/>
  <c r="AF27" i="38"/>
  <c r="AB27" i="38"/>
  <c r="V27" i="38"/>
  <c r="AQ26" i="38"/>
  <c r="AO26" i="38" s="1"/>
  <c r="AP26" i="38"/>
  <c r="AG26" i="38"/>
  <c r="AF26" i="38"/>
  <c r="AB26" i="38"/>
  <c r="V26" i="38"/>
  <c r="M26" i="38"/>
  <c r="AQ25" i="38"/>
  <c r="AP25" i="38"/>
  <c r="AN25" i="38" s="1"/>
  <c r="AG25" i="38"/>
  <c r="AF25" i="38"/>
  <c r="AB25" i="38"/>
  <c r="V25" i="38"/>
  <c r="M25" i="38"/>
  <c r="P25" i="38" s="1"/>
  <c r="C26" i="38" s="1"/>
  <c r="AQ24" i="38"/>
  <c r="AO24" i="38" s="1"/>
  <c r="AP24" i="38"/>
  <c r="AN24" i="38" s="1"/>
  <c r="AK24" i="38"/>
  <c r="AK40" i="38" s="1"/>
  <c r="AG24" i="38"/>
  <c r="AF24" i="38"/>
  <c r="AB24" i="38"/>
  <c r="V24" i="38"/>
  <c r="M24" i="38"/>
  <c r="P24" i="38" s="1"/>
  <c r="C25" i="38" s="1"/>
  <c r="AQ23" i="38"/>
  <c r="AP23" i="38"/>
  <c r="AN23" i="38" s="1"/>
  <c r="AL23" i="38"/>
  <c r="AG23" i="38"/>
  <c r="AF23" i="38"/>
  <c r="AB23" i="38"/>
  <c r="V23" i="38"/>
  <c r="M23" i="38"/>
  <c r="AQ22" i="38"/>
  <c r="AO22" i="38" s="1"/>
  <c r="AP22" i="38"/>
  <c r="AN22" i="38" s="1"/>
  <c r="AG22" i="38"/>
  <c r="AF22" i="38"/>
  <c r="AB22" i="38"/>
  <c r="V22" i="38"/>
  <c r="X22" i="38" s="1"/>
  <c r="M22" i="38"/>
  <c r="AQ21" i="38"/>
  <c r="AP21" i="38"/>
  <c r="AN21" i="38" s="1"/>
  <c r="AL21" i="38"/>
  <c r="AL22" i="38" s="1"/>
  <c r="AG21" i="38"/>
  <c r="AF21" i="38"/>
  <c r="AB21" i="38"/>
  <c r="V21" i="38"/>
  <c r="M21" i="38"/>
  <c r="AQ20" i="38"/>
  <c r="AO20" i="38" s="1"/>
  <c r="AP20" i="38"/>
  <c r="AN20" i="38" s="1"/>
  <c r="AG20" i="38"/>
  <c r="AF20" i="38"/>
  <c r="AB20" i="38"/>
  <c r="V20" i="38"/>
  <c r="M20" i="38"/>
  <c r="AQ19" i="38"/>
  <c r="AO19" i="38" s="1"/>
  <c r="AP19" i="38"/>
  <c r="AN19" i="38" s="1"/>
  <c r="AG19" i="38"/>
  <c r="AF19" i="38"/>
  <c r="AB19" i="38"/>
  <c r="V19" i="38"/>
  <c r="M19" i="38"/>
  <c r="AQ18" i="38"/>
  <c r="AP18" i="38"/>
  <c r="AN18" i="38" s="1"/>
  <c r="AG18" i="38"/>
  <c r="AF18" i="38"/>
  <c r="AB18" i="38"/>
  <c r="V18" i="38"/>
  <c r="M18" i="38"/>
  <c r="AQ17" i="38"/>
  <c r="AP17" i="38"/>
  <c r="AN17" i="38" s="1"/>
  <c r="AG17" i="38"/>
  <c r="AF17" i="38"/>
  <c r="AB17" i="38"/>
  <c r="V17" i="38"/>
  <c r="X17" i="38" s="1"/>
  <c r="M17" i="38"/>
  <c r="P17" i="38" s="1"/>
  <c r="C18" i="38" s="1"/>
  <c r="AQ16" i="38"/>
  <c r="AO16" i="38" s="1"/>
  <c r="AP16" i="38"/>
  <c r="AN16" i="38" s="1"/>
  <c r="AG16" i="38"/>
  <c r="AF16" i="38"/>
  <c r="AB16" i="38"/>
  <c r="X16" i="38"/>
  <c r="W16" i="38"/>
  <c r="M16" i="38"/>
  <c r="N16" i="38" s="1"/>
  <c r="AQ15" i="38"/>
  <c r="AP15" i="38"/>
  <c r="AN15" i="38" s="1"/>
  <c r="AG15" i="38"/>
  <c r="AF15" i="38"/>
  <c r="AB15" i="38"/>
  <c r="V15" i="38"/>
  <c r="M15" i="38"/>
  <c r="AQ14" i="38"/>
  <c r="AO14" i="38" s="1"/>
  <c r="AP14" i="38"/>
  <c r="AN14" i="38" s="1"/>
  <c r="AG14" i="38"/>
  <c r="AF14" i="38"/>
  <c r="AB14" i="38"/>
  <c r="V14" i="38"/>
  <c r="M14" i="38"/>
  <c r="AQ13" i="38"/>
  <c r="AO13" i="38" s="1"/>
  <c r="AP13" i="38"/>
  <c r="AN13" i="38" s="1"/>
  <c r="AG13" i="38"/>
  <c r="AF13" i="38"/>
  <c r="AB13" i="38"/>
  <c r="V13" i="38"/>
  <c r="M13" i="38"/>
  <c r="N13" i="38" s="1"/>
  <c r="AQ12" i="38"/>
  <c r="AP12" i="38"/>
  <c r="AN12" i="38" s="1"/>
  <c r="AG12" i="38"/>
  <c r="AF12" i="38"/>
  <c r="AB12" i="38"/>
  <c r="V12" i="38"/>
  <c r="M12" i="38"/>
  <c r="AQ11" i="38"/>
  <c r="AO11" i="38" s="1"/>
  <c r="AP11" i="38"/>
  <c r="AN11" i="38" s="1"/>
  <c r="AG11" i="38"/>
  <c r="AF11" i="38"/>
  <c r="AB11" i="38"/>
  <c r="V11" i="38"/>
  <c r="M11" i="38"/>
  <c r="AQ10" i="38"/>
  <c r="AP10" i="38"/>
  <c r="AN10" i="38" s="1"/>
  <c r="AL10" i="38"/>
  <c r="AG10" i="38"/>
  <c r="AF10" i="38"/>
  <c r="AB10" i="38"/>
  <c r="V10" i="38"/>
  <c r="Y10" i="38" s="1"/>
  <c r="Y11" i="38" s="1"/>
  <c r="Y12" i="38" s="1"/>
  <c r="M10" i="38"/>
  <c r="B10" i="38"/>
  <c r="AQ9" i="38"/>
  <c r="AP9" i="38"/>
  <c r="AL9" i="38"/>
  <c r="AB9" i="38"/>
  <c r="V9" i="38"/>
  <c r="Y9" i="38" s="1"/>
  <c r="S9" i="38"/>
  <c r="S10" i="38" s="1"/>
  <c r="S11" i="38" s="1"/>
  <c r="S12" i="38" s="1"/>
  <c r="S13" i="38" s="1"/>
  <c r="S14" i="38" s="1"/>
  <c r="S15" i="38" s="1"/>
  <c r="S16" i="38" s="1"/>
  <c r="S17" i="38" s="1"/>
  <c r="S18" i="38" s="1"/>
  <c r="S19" i="38" s="1"/>
  <c r="S20" i="38" s="1"/>
  <c r="S21" i="38" s="1"/>
  <c r="S22" i="38" s="1"/>
  <c r="S23" i="38" s="1"/>
  <c r="S24" i="38" s="1"/>
  <c r="S25" i="38" s="1"/>
  <c r="S26" i="38" s="1"/>
  <c r="S27" i="38" s="1"/>
  <c r="S28" i="38" s="1"/>
  <c r="S29" i="38" s="1"/>
  <c r="S30" i="38" s="1"/>
  <c r="S31" i="38" s="1"/>
  <c r="S32" i="38" s="1"/>
  <c r="S33" i="38" s="1"/>
  <c r="S34" i="38" s="1"/>
  <c r="S35" i="38" s="1"/>
  <c r="S36" i="38" s="1"/>
  <c r="S37" i="38" s="1"/>
  <c r="S38" i="38" s="1"/>
  <c r="S39" i="38" s="1"/>
  <c r="Y13" i="38" l="1"/>
  <c r="Y14" i="38"/>
  <c r="Y15" i="38" s="1"/>
  <c r="Y16" i="38" s="1"/>
  <c r="Y17" i="38" s="1"/>
  <c r="Y18" i="38" s="1"/>
  <c r="Y19" i="38" s="1"/>
  <c r="Y20" i="38" s="1"/>
  <c r="AC59" i="38" s="1"/>
  <c r="W28" i="38"/>
  <c r="X23" i="38"/>
  <c r="AD21" i="38"/>
  <c r="X11" i="38"/>
  <c r="X24" i="38"/>
  <c r="AH21" i="38"/>
  <c r="B11" i="38"/>
  <c r="B12" i="38" s="1"/>
  <c r="B13" i="38" s="1"/>
  <c r="B14" i="38" s="1"/>
  <c r="B15" i="38" s="1"/>
  <c r="B16" i="38" s="1"/>
  <c r="B17" i="38" s="1"/>
  <c r="B18" i="38" s="1"/>
  <c r="B19" i="38" s="1"/>
  <c r="B20" i="38" s="1"/>
  <c r="B21" i="38" s="1"/>
  <c r="B22" i="38" s="1"/>
  <c r="B23" i="38" s="1"/>
  <c r="B24" i="38" s="1"/>
  <c r="B25" i="38" s="1"/>
  <c r="B26" i="38" s="1"/>
  <c r="B27" i="38" s="1"/>
  <c r="B28" i="38" s="1"/>
  <c r="B29" i="38" s="1"/>
  <c r="B30" i="38" s="1"/>
  <c r="B31" i="38" s="1"/>
  <c r="B32" i="38" s="1"/>
  <c r="B33" i="38" s="1"/>
  <c r="B34" i="38" s="1"/>
  <c r="B35" i="38" s="1"/>
  <c r="B36" i="38" s="1"/>
  <c r="O19" i="38"/>
  <c r="AD19" i="38"/>
  <c r="AB40" i="38"/>
  <c r="X9" i="38"/>
  <c r="AE52" i="38"/>
  <c r="V40" i="38"/>
  <c r="P38" i="38"/>
  <c r="AD37" i="38"/>
  <c r="X36" i="38"/>
  <c r="X31" i="38"/>
  <c r="AM29" i="38"/>
  <c r="W25" i="38"/>
  <c r="AR25" i="38"/>
  <c r="AT25" i="38" s="1"/>
  <c r="AO25" i="38"/>
  <c r="AM25" i="38" s="1"/>
  <c r="W18" i="38"/>
  <c r="O18" i="38"/>
  <c r="O15" i="38"/>
  <c r="W12" i="38"/>
  <c r="W11" i="38"/>
  <c r="W10" i="38"/>
  <c r="AR10" i="38"/>
  <c r="AS10" i="38" s="1"/>
  <c r="AR9" i="38"/>
  <c r="AS9" i="38" s="1"/>
  <c r="W13" i="38"/>
  <c r="AR18" i="38"/>
  <c r="AS18" i="38" s="1"/>
  <c r="AO10" i="38"/>
  <c r="AM10" i="38" s="1"/>
  <c r="AR11" i="38"/>
  <c r="AS11" i="38" s="1"/>
  <c r="X19" i="38"/>
  <c r="W19" i="38"/>
  <c r="AR24" i="38"/>
  <c r="AS24" i="38" s="1"/>
  <c r="AR30" i="38"/>
  <c r="AT30" i="38" s="1"/>
  <c r="AR31" i="38"/>
  <c r="AT31" i="38" s="1"/>
  <c r="AR34" i="38"/>
  <c r="AS34" i="38" s="1"/>
  <c r="W37" i="38"/>
  <c r="AM19" i="38"/>
  <c r="AD35" i="38"/>
  <c r="P36" i="38"/>
  <c r="AD36" i="38"/>
  <c r="AH25" i="38"/>
  <c r="O30" i="38"/>
  <c r="AH11" i="38"/>
  <c r="W38" i="38"/>
  <c r="X38" i="38"/>
  <c r="AD38" i="38"/>
  <c r="AH38" i="38"/>
  <c r="O37" i="38"/>
  <c r="AH35" i="38"/>
  <c r="AD34" i="38"/>
  <c r="W36" i="38"/>
  <c r="AH36" i="38"/>
  <c r="O36" i="38"/>
  <c r="X35" i="38"/>
  <c r="W35" i="38"/>
  <c r="O34" i="38"/>
  <c r="X34" i="38"/>
  <c r="AH34" i="38"/>
  <c r="AM33" i="38"/>
  <c r="AH33" i="38"/>
  <c r="O33" i="38"/>
  <c r="AR33" i="38"/>
  <c r="AT33" i="38" s="1"/>
  <c r="N33" i="38"/>
  <c r="W33" i="38"/>
  <c r="AD33" i="38"/>
  <c r="X33" i="38"/>
  <c r="W32" i="38"/>
  <c r="X32" i="38"/>
  <c r="AR32" i="38"/>
  <c r="AT32" i="38" s="1"/>
  <c r="P32" i="38"/>
  <c r="AH32" i="38"/>
  <c r="AO32" i="38"/>
  <c r="AM32" i="38" s="1"/>
  <c r="W31" i="38"/>
  <c r="AL11" i="38"/>
  <c r="AL12" i="38" s="1"/>
  <c r="W30" i="38"/>
  <c r="AD30" i="38"/>
  <c r="X30" i="38"/>
  <c r="X29" i="38"/>
  <c r="O29" i="38"/>
  <c r="AH29" i="38"/>
  <c r="P29" i="38"/>
  <c r="C30" i="38" s="1"/>
  <c r="AR29" i="38"/>
  <c r="AD29" i="38"/>
  <c r="AM28" i="38"/>
  <c r="AR28" i="38"/>
  <c r="AT28" i="38" s="1"/>
  <c r="AH28" i="38"/>
  <c r="P28" i="38"/>
  <c r="C29" i="38" s="1"/>
  <c r="W27" i="38"/>
  <c r="X27" i="38"/>
  <c r="N27" i="38"/>
  <c r="AH27" i="38"/>
  <c r="P27" i="38"/>
  <c r="C28" i="38" s="1"/>
  <c r="AR27" i="38"/>
  <c r="AT27" i="38" s="1"/>
  <c r="N26" i="38"/>
  <c r="W26" i="38"/>
  <c r="X26" i="38"/>
  <c r="AH26" i="38"/>
  <c r="AR26" i="38"/>
  <c r="AS26" i="38" s="1"/>
  <c r="N22" i="38"/>
  <c r="AH24" i="38"/>
  <c r="AM24" i="38"/>
  <c r="N23" i="38"/>
  <c r="W23" i="38"/>
  <c r="AD23" i="38"/>
  <c r="O23" i="38"/>
  <c r="AR23" i="38"/>
  <c r="AT23" i="38" s="1"/>
  <c r="P23" i="38"/>
  <c r="C24" i="38" s="1"/>
  <c r="AH23" i="38"/>
  <c r="AM22" i="38"/>
  <c r="W22" i="38"/>
  <c r="P22" i="38"/>
  <c r="C23" i="38" s="1"/>
  <c r="AH22" i="38"/>
  <c r="W21" i="38"/>
  <c r="P21" i="38"/>
  <c r="C22" i="38" s="1"/>
  <c r="AR21" i="38"/>
  <c r="AS21" i="38" s="1"/>
  <c r="X20" i="38"/>
  <c r="O17" i="38"/>
  <c r="AH10" i="38"/>
  <c r="AH20" i="38"/>
  <c r="G44" i="38" s="1"/>
  <c r="AD20" i="38"/>
  <c r="G46" i="38" s="1"/>
  <c r="AR20" i="38"/>
  <c r="AS20" i="38" s="1"/>
  <c r="AH18" i="38"/>
  <c r="AO18" i="38"/>
  <c r="AM18" i="38" s="1"/>
  <c r="P18" i="38"/>
  <c r="C19" i="38" s="1"/>
  <c r="AM20" i="38"/>
  <c r="AR19" i="38"/>
  <c r="AS19" i="38" s="1"/>
  <c r="AH19" i="38"/>
  <c r="W17" i="38"/>
  <c r="AH17" i="38"/>
  <c r="N17" i="38"/>
  <c r="AD17" i="38"/>
  <c r="AR17" i="38"/>
  <c r="AT17" i="38" s="1"/>
  <c r="AO17" i="38"/>
  <c r="AM17" i="38" s="1"/>
  <c r="P16" i="38"/>
  <c r="C17" i="38" s="1"/>
  <c r="O16" i="38"/>
  <c r="AH16" i="38"/>
  <c r="AM16" i="38"/>
  <c r="AD16" i="38"/>
  <c r="W15" i="38"/>
  <c r="X15" i="38"/>
  <c r="AR15" i="38"/>
  <c r="AT15" i="38" s="1"/>
  <c r="N15" i="38"/>
  <c r="AD15" i="38"/>
  <c r="P15" i="38"/>
  <c r="C16" i="38" s="1"/>
  <c r="AH15" i="38"/>
  <c r="N43" i="38"/>
  <c r="N14" i="38"/>
  <c r="AD12" i="38"/>
  <c r="P14" i="38"/>
  <c r="C15" i="38" s="1"/>
  <c r="AH14" i="38"/>
  <c r="W14" i="38"/>
  <c r="AD14" i="38"/>
  <c r="O14" i="38"/>
  <c r="X14" i="38"/>
  <c r="AM14" i="38"/>
  <c r="X13" i="38"/>
  <c r="O13" i="38"/>
  <c r="P13" i="38"/>
  <c r="C14" i="38" s="1"/>
  <c r="AP40" i="38"/>
  <c r="AD13" i="38"/>
  <c r="AM13" i="38"/>
  <c r="AH13" i="38"/>
  <c r="N44" i="38"/>
  <c r="AM11" i="38"/>
  <c r="AR12" i="38"/>
  <c r="AS12" i="38" s="1"/>
  <c r="X12" i="38"/>
  <c r="AQ40" i="38"/>
  <c r="N45" i="38"/>
  <c r="AH12" i="38"/>
  <c r="AN9" i="38"/>
  <c r="AO9" i="38"/>
  <c r="AG9" i="38"/>
  <c r="N42" i="38"/>
  <c r="O42" i="38"/>
  <c r="AM30" i="38"/>
  <c r="AD10" i="38"/>
  <c r="AR13" i="38"/>
  <c r="AR16" i="38"/>
  <c r="N18" i="38"/>
  <c r="N20" i="38"/>
  <c r="N10" i="38"/>
  <c r="N11" i="38"/>
  <c r="N12" i="38"/>
  <c r="AO12" i="38"/>
  <c r="AM12" i="38" s="1"/>
  <c r="AO15" i="38"/>
  <c r="AM15" i="38" s="1"/>
  <c r="AD18" i="38"/>
  <c r="W20" i="38"/>
  <c r="N21" i="38"/>
  <c r="AO23" i="38"/>
  <c r="AM23" i="38" s="1"/>
  <c r="O24" i="38"/>
  <c r="X25" i="38"/>
  <c r="AN27" i="38"/>
  <c r="AM27" i="38" s="1"/>
  <c r="AD28" i="38"/>
  <c r="O28" i="38"/>
  <c r="P30" i="38"/>
  <c r="M9" i="38"/>
  <c r="AE51" i="38" s="1"/>
  <c r="AF9" i="38"/>
  <c r="O10" i="38"/>
  <c r="O11" i="38"/>
  <c r="O12" i="38"/>
  <c r="X18" i="38"/>
  <c r="P19" i="38"/>
  <c r="C20" i="38" s="1"/>
  <c r="P20" i="38"/>
  <c r="C21" i="38" s="1"/>
  <c r="AO21" i="38"/>
  <c r="AM21" i="38" s="1"/>
  <c r="O22" i="38"/>
  <c r="AD22" i="38"/>
  <c r="AR22" i="38"/>
  <c r="AN26" i="38"/>
  <c r="AM26" i="38" s="1"/>
  <c r="AD27" i="38"/>
  <c r="O27" i="38"/>
  <c r="N28" i="38"/>
  <c r="X28" i="38"/>
  <c r="AH30" i="38"/>
  <c r="P31" i="38"/>
  <c r="AO31" i="38"/>
  <c r="AM31" i="38" s="1"/>
  <c r="O32" i="38"/>
  <c r="AD32" i="38"/>
  <c r="W34" i="38"/>
  <c r="AO34" i="38"/>
  <c r="AM34" i="38" s="1"/>
  <c r="P35" i="38"/>
  <c r="P37" i="38"/>
  <c r="AD24" i="38"/>
  <c r="AD26" i="38"/>
  <c r="O26" i="38"/>
  <c r="AH31" i="38"/>
  <c r="AP46" i="38"/>
  <c r="N19" i="38"/>
  <c r="O21" i="38"/>
  <c r="N24" i="38"/>
  <c r="AC40" i="38"/>
  <c r="W9" i="38"/>
  <c r="AD11" i="38"/>
  <c r="AR14" i="38"/>
  <c r="W24" i="38"/>
  <c r="AD25" i="38"/>
  <c r="O25" i="38"/>
  <c r="O20" i="38"/>
  <c r="X21" i="38"/>
  <c r="N25" i="38"/>
  <c r="P26" i="38"/>
  <c r="C27" i="38" s="1"/>
  <c r="O31" i="38"/>
  <c r="AD31" i="38"/>
  <c r="O35" i="38"/>
  <c r="X37" i="38"/>
  <c r="AH37" i="38"/>
  <c r="AF40" i="38"/>
  <c r="X40" i="38" l="1"/>
  <c r="W41" i="38"/>
  <c r="B37" i="38"/>
  <c r="B38" i="38" s="1"/>
  <c r="B39" i="38" s="1"/>
  <c r="AT10" i="38"/>
  <c r="AS30" i="38"/>
  <c r="AS23" i="38"/>
  <c r="AT34" i="38"/>
  <c r="G43" i="38"/>
  <c r="AS15" i="38"/>
  <c r="M40" i="38"/>
  <c r="P40" i="38" s="1"/>
  <c r="AT19" i="38"/>
  <c r="AT21" i="38"/>
  <c r="AS32" i="38"/>
  <c r="AS28" i="38"/>
  <c r="AT11" i="38"/>
  <c r="AT26" i="38"/>
  <c r="AS31" i="38"/>
  <c r="AS27" i="38"/>
  <c r="AS25" i="38"/>
  <c r="AT24" i="38"/>
  <c r="AT20" i="38"/>
  <c r="AT18" i="38"/>
  <c r="AT12" i="38"/>
  <c r="AT29" i="38"/>
  <c r="AS29" i="38"/>
  <c r="AS17" i="38"/>
  <c r="AG40" i="38"/>
  <c r="O43" i="38"/>
  <c r="AR40" i="38"/>
  <c r="AS40" i="38" s="1"/>
  <c r="AT9" i="38"/>
  <c r="AM9" i="38"/>
  <c r="AM40" i="38" s="1"/>
  <c r="W40" i="38"/>
  <c r="AT13" i="38"/>
  <c r="AS13" i="38"/>
  <c r="AN40" i="38"/>
  <c r="AS22" i="38"/>
  <c r="AT22" i="38"/>
  <c r="AJ52" i="38"/>
  <c r="AI52" i="38"/>
  <c r="AD9" i="38"/>
  <c r="P9" i="38"/>
  <c r="O9" i="38"/>
  <c r="N9" i="38"/>
  <c r="AO40" i="38"/>
  <c r="AT14" i="38"/>
  <c r="AS14" i="38"/>
  <c r="AT16" i="38"/>
  <c r="AS16" i="38"/>
  <c r="AH9" i="38"/>
  <c r="X10" i="38"/>
  <c r="G10" i="15"/>
  <c r="G42" i="38" l="1"/>
  <c r="AH40" i="38"/>
  <c r="G45" i="38" s="1"/>
  <c r="C10" i="38"/>
  <c r="P10" i="38" s="1"/>
  <c r="AJ51" i="38"/>
  <c r="AE53" i="38"/>
  <c r="AJ53" i="38" s="1"/>
  <c r="AI51" i="38"/>
  <c r="AE45" i="38"/>
  <c r="AC64" i="38" s="1"/>
  <c r="AG64" i="38" s="1"/>
  <c r="W44" i="38"/>
  <c r="AD40" i="38"/>
  <c r="G47" i="38" s="1"/>
  <c r="O40" i="38"/>
  <c r="N40" i="38"/>
  <c r="AT40" i="38"/>
  <c r="C11" i="38" l="1"/>
  <c r="P11" i="38" s="1"/>
  <c r="W45" i="38"/>
  <c r="AF54" i="38"/>
  <c r="AJ54" i="38" s="1"/>
  <c r="W46" i="38"/>
  <c r="AF47" i="38"/>
  <c r="AJ47" i="38" s="1"/>
  <c r="AB41" i="38"/>
  <c r="AI45" i="38"/>
  <c r="AJ45" i="38"/>
  <c r="AN47" i="38"/>
  <c r="AE44" i="38"/>
  <c r="AC63" i="38" s="1"/>
  <c r="AG63" i="38" s="1"/>
  <c r="W43" i="38"/>
  <c r="Y9" i="15"/>
  <c r="Y39" i="15" s="1"/>
  <c r="X9" i="15"/>
  <c r="X39" i="15" s="1"/>
  <c r="C12" i="38" l="1"/>
  <c r="P12" i="38" s="1"/>
  <c r="C13" i="38" s="1"/>
  <c r="AN46" i="38"/>
  <c r="AI44" i="38"/>
  <c r="AJ44" i="38"/>
  <c r="AE46" i="38"/>
  <c r="AJ46" i="38" s="1"/>
  <c r="G9" i="15"/>
  <c r="AF59" i="38" l="1"/>
  <c r="M35" i="15"/>
  <c r="M28" i="15"/>
  <c r="M21" i="15"/>
  <c r="C35" i="15"/>
  <c r="C28" i="15"/>
  <c r="C21" i="15"/>
  <c r="M14" i="15" l="1"/>
  <c r="P43" i="15" s="1"/>
  <c r="C14" i="15"/>
  <c r="P42" i="15" s="1"/>
  <c r="M39" i="15" l="1"/>
  <c r="AA44" i="15" s="1"/>
  <c r="C39" i="15"/>
  <c r="AA43" i="15" s="1"/>
  <c r="G8" i="15"/>
  <c r="G39" i="15" s="1"/>
  <c r="R39" i="37" l="1"/>
  <c r="Q39" i="37"/>
  <c r="J39" i="37"/>
  <c r="G39" i="37"/>
  <c r="AM37" i="37" l="1"/>
  <c r="AN37" i="37"/>
  <c r="AO37" i="37" l="1"/>
  <c r="AL37" i="37" l="1"/>
  <c r="AK37" i="37" l="1"/>
  <c r="AJ37" i="37" l="1"/>
  <c r="S35" i="37" l="1"/>
  <c r="AM35" i="37"/>
  <c r="AN35" i="37"/>
  <c r="T35" i="37" l="1"/>
  <c r="U35" i="37"/>
  <c r="AO35" i="37"/>
  <c r="AP35" i="37" s="1"/>
  <c r="AK35" i="37"/>
  <c r="L35" i="37"/>
  <c r="AE35" i="37" s="1"/>
  <c r="AL35" i="37"/>
  <c r="AA35" i="37" l="1"/>
  <c r="AB35" i="37" s="1"/>
  <c r="N35" i="37"/>
  <c r="D35" i="15"/>
  <c r="AQ35" i="37"/>
  <c r="AJ35" i="37"/>
  <c r="M35" i="37"/>
  <c r="H14" i="34" l="1"/>
  <c r="Z55" i="37"/>
  <c r="AK44" i="37"/>
  <c r="Q43" i="37"/>
  <c r="Q42" i="37"/>
  <c r="M45" i="37"/>
  <c r="M44" i="37"/>
  <c r="Y37" i="37"/>
  <c r="S37" i="37"/>
  <c r="L37" i="37"/>
  <c r="D37" i="15" s="1"/>
  <c r="AN36" i="37"/>
  <c r="AL36" i="37" s="1"/>
  <c r="AM36" i="37"/>
  <c r="Y36" i="37"/>
  <c r="S36" i="37"/>
  <c r="U36" i="37" s="1"/>
  <c r="L36" i="37"/>
  <c r="AN34" i="37"/>
  <c r="AM34" i="37"/>
  <c r="AK34" i="37" s="1"/>
  <c r="S34" i="37"/>
  <c r="AN33" i="37"/>
  <c r="AL33" i="37" s="1"/>
  <c r="AM33" i="37"/>
  <c r="S33" i="37"/>
  <c r="L33" i="37"/>
  <c r="S32" i="37"/>
  <c r="L32" i="37"/>
  <c r="D32" i="15" s="1"/>
  <c r="AN31" i="37"/>
  <c r="AL31" i="37" s="1"/>
  <c r="AM31" i="37"/>
  <c r="S31" i="37"/>
  <c r="U31" i="37" s="1"/>
  <c r="AN30" i="37"/>
  <c r="AM30" i="37"/>
  <c r="S30" i="37"/>
  <c r="AN29" i="37"/>
  <c r="AM29" i="37"/>
  <c r="S29" i="37"/>
  <c r="AN28" i="37"/>
  <c r="AL28" i="37" s="1"/>
  <c r="AM28" i="37"/>
  <c r="S28" i="37"/>
  <c r="AS27" i="37"/>
  <c r="AS67" i="37" s="1"/>
  <c r="AS69" i="37" s="1"/>
  <c r="AN27" i="37"/>
  <c r="AM27" i="37"/>
  <c r="AK27" i="37" s="1"/>
  <c r="S27" i="37"/>
  <c r="L27" i="37"/>
  <c r="AN26" i="37"/>
  <c r="AL26" i="37" s="1"/>
  <c r="AM26" i="37"/>
  <c r="AK26" i="37" s="1"/>
  <c r="S26" i="37"/>
  <c r="T26" i="37" s="1"/>
  <c r="L26" i="37"/>
  <c r="AN25" i="37"/>
  <c r="AM25" i="37"/>
  <c r="AK25" i="37" s="1"/>
  <c r="S25" i="37"/>
  <c r="U25" i="37" s="1"/>
  <c r="AN24" i="37"/>
  <c r="AL24" i="37" s="1"/>
  <c r="AM24" i="37"/>
  <c r="AK24" i="37" s="1"/>
  <c r="T24" i="37"/>
  <c r="AN23" i="37"/>
  <c r="AL23" i="37" s="1"/>
  <c r="AM23" i="37"/>
  <c r="AK23" i="37" s="1"/>
  <c r="AH23" i="37"/>
  <c r="AH39" i="37" s="1"/>
  <c r="S23" i="37"/>
  <c r="AN22" i="37"/>
  <c r="AM22" i="37"/>
  <c r="AK22" i="37" s="1"/>
  <c r="S22" i="37"/>
  <c r="AN21" i="37"/>
  <c r="AM21" i="37"/>
  <c r="S21" i="37"/>
  <c r="T21" i="37" s="1"/>
  <c r="AN20" i="37"/>
  <c r="AM20" i="37"/>
  <c r="AK20" i="37" s="1"/>
  <c r="S20" i="37"/>
  <c r="AN19" i="37"/>
  <c r="AL19" i="37" s="1"/>
  <c r="AM19" i="37"/>
  <c r="S19" i="37"/>
  <c r="AN18" i="37"/>
  <c r="AL18" i="37" s="1"/>
  <c r="AM18" i="37"/>
  <c r="AK18" i="37" s="1"/>
  <c r="S18" i="37"/>
  <c r="L18" i="37"/>
  <c r="AN17" i="37"/>
  <c r="AM17" i="37"/>
  <c r="AK17" i="37" s="1"/>
  <c r="S17" i="37"/>
  <c r="T17" i="37" s="1"/>
  <c r="AN16" i="37"/>
  <c r="AM16" i="37"/>
  <c r="S16" i="37"/>
  <c r="T16" i="37" s="1"/>
  <c r="AN15" i="37"/>
  <c r="AL15" i="37" s="1"/>
  <c r="AM15" i="37"/>
  <c r="S15" i="37"/>
  <c r="V15" i="37" s="1"/>
  <c r="AN14" i="37"/>
  <c r="AL14" i="37" s="1"/>
  <c r="AM14" i="37"/>
  <c r="AK14" i="37" s="1"/>
  <c r="T14" i="37"/>
  <c r="AN13" i="37"/>
  <c r="AL13" i="37" s="1"/>
  <c r="AM13" i="37"/>
  <c r="S13" i="37"/>
  <c r="U13" i="37" s="1"/>
  <c r="AN12" i="37"/>
  <c r="AM12" i="37"/>
  <c r="AK12" i="37" s="1"/>
  <c r="S12" i="37"/>
  <c r="AN11" i="37"/>
  <c r="AM11" i="37"/>
  <c r="S11" i="37"/>
  <c r="U11" i="37" s="1"/>
  <c r="AN10" i="37"/>
  <c r="AM10" i="37"/>
  <c r="S10" i="37"/>
  <c r="AN9" i="37"/>
  <c r="AL9" i="37" s="1"/>
  <c r="AM9" i="37"/>
  <c r="AK9" i="37" s="1"/>
  <c r="S9" i="37"/>
  <c r="AN8" i="37"/>
  <c r="AL8" i="37" s="1"/>
  <c r="AM8" i="37"/>
  <c r="S8" i="37"/>
  <c r="V8" i="37" s="1"/>
  <c r="P8" i="37"/>
  <c r="P9" i="37" s="1"/>
  <c r="P10" i="37" s="1"/>
  <c r="E8" i="37"/>
  <c r="E9" i="37" s="1"/>
  <c r="E10" i="37" s="1"/>
  <c r="E11" i="37" s="1"/>
  <c r="E12" i="37" s="1"/>
  <c r="E13" i="37" s="1"/>
  <c r="E14" i="37" s="1"/>
  <c r="E15" i="37" s="1"/>
  <c r="E16" i="37" s="1"/>
  <c r="E17" i="37" s="1"/>
  <c r="E18" i="37" s="1"/>
  <c r="E19" i="37" s="1"/>
  <c r="E20" i="37" s="1"/>
  <c r="E21" i="37" s="1"/>
  <c r="E22" i="37" s="1"/>
  <c r="E23" i="37" s="1"/>
  <c r="E24" i="37" s="1"/>
  <c r="E25" i="37" s="1"/>
  <c r="E26" i="37" s="1"/>
  <c r="E27" i="37" s="1"/>
  <c r="E28" i="37" s="1"/>
  <c r="E29" i="37" s="1"/>
  <c r="E30" i="37" s="1"/>
  <c r="E31" i="37" s="1"/>
  <c r="E32" i="37" s="1"/>
  <c r="E33" i="37" s="1"/>
  <c r="E34" i="37" s="1"/>
  <c r="E35" i="37" s="1"/>
  <c r="E36" i="37" s="1"/>
  <c r="E37" i="37" s="1"/>
  <c r="E38" i="37" s="1"/>
  <c r="H12" i="33"/>
  <c r="F13" i="32"/>
  <c r="Y37" i="31"/>
  <c r="X37" i="31"/>
  <c r="V37" i="31"/>
  <c r="U37" i="31"/>
  <c r="T37" i="31"/>
  <c r="S37" i="31"/>
  <c r="R37" i="31"/>
  <c r="L37" i="31"/>
  <c r="J37" i="31"/>
  <c r="H37" i="31"/>
  <c r="G37" i="31"/>
  <c r="D37" i="31"/>
  <c r="K7" i="31"/>
  <c r="K37" i="31" s="1"/>
  <c r="I7" i="31"/>
  <c r="I37" i="31" s="1"/>
  <c r="E7" i="31"/>
  <c r="E37" i="31" s="1"/>
  <c r="W6" i="31"/>
  <c r="W37" i="31" s="1"/>
  <c r="Q6" i="31"/>
  <c r="Q37" i="31" s="1"/>
  <c r="F6" i="31"/>
  <c r="F37" i="31" s="1"/>
  <c r="AB45" i="28"/>
  <c r="AM44" i="28"/>
  <c r="AB44" i="28"/>
  <c r="AI39" i="28"/>
  <c r="N43" i="28" s="1"/>
  <c r="AH39" i="28"/>
  <c r="N42" i="28" s="1"/>
  <c r="Z39" i="28"/>
  <c r="Y39" i="28"/>
  <c r="O39" i="28"/>
  <c r="AP39" i="28" s="1"/>
  <c r="N39" i="28"/>
  <c r="AO39" i="28" s="1"/>
  <c r="M39" i="28"/>
  <c r="P44" i="28" s="1"/>
  <c r="H39" i="28"/>
  <c r="G39" i="28"/>
  <c r="L43" i="28" s="1"/>
  <c r="E39" i="28"/>
  <c r="D39" i="28"/>
  <c r="K42" i="28" s="1"/>
  <c r="C39" i="28"/>
  <c r="P43" i="28" s="1"/>
  <c r="AP38" i="28"/>
  <c r="AO38" i="28"/>
  <c r="AM38" i="28" s="1"/>
  <c r="AF38" i="28"/>
  <c r="AE38" i="28"/>
  <c r="AB38" i="28"/>
  <c r="AA38" i="28"/>
  <c r="P38" i="28"/>
  <c r="X38" i="28" s="1"/>
  <c r="J38" i="28"/>
  <c r="L38" i="28" s="1"/>
  <c r="AP37" i="28"/>
  <c r="AO37" i="28"/>
  <c r="AM37" i="28" s="1"/>
  <c r="AF37" i="28"/>
  <c r="AE37" i="28"/>
  <c r="AB37" i="28"/>
  <c r="AA37" i="28"/>
  <c r="P37" i="28"/>
  <c r="X37" i="28" s="1"/>
  <c r="J37" i="28"/>
  <c r="L37" i="28" s="1"/>
  <c r="AP36" i="28"/>
  <c r="AN36" i="28" s="1"/>
  <c r="AO36" i="28"/>
  <c r="AM36" i="28" s="1"/>
  <c r="AF36" i="28"/>
  <c r="AE36" i="28"/>
  <c r="AB36" i="28"/>
  <c r="AA36" i="28"/>
  <c r="P36" i="28"/>
  <c r="X36" i="28" s="1"/>
  <c r="J36" i="28"/>
  <c r="AP35" i="28"/>
  <c r="AO35" i="28"/>
  <c r="AM35" i="28" s="1"/>
  <c r="AF35" i="28"/>
  <c r="AE35" i="28"/>
  <c r="AB35" i="28"/>
  <c r="AA35" i="28"/>
  <c r="V35" i="28"/>
  <c r="U35" i="28"/>
  <c r="R35" i="28"/>
  <c r="P35" i="28"/>
  <c r="Q35" i="28" s="1"/>
  <c r="J35" i="28"/>
  <c r="L35" i="28" s="1"/>
  <c r="AP34" i="28"/>
  <c r="AN34" i="28" s="1"/>
  <c r="AO34" i="28"/>
  <c r="AM34" i="28" s="1"/>
  <c r="AF34" i="28"/>
  <c r="AE34" i="28"/>
  <c r="AB34" i="28"/>
  <c r="AA34" i="28"/>
  <c r="V34" i="28"/>
  <c r="U34" i="28"/>
  <c r="R34" i="28"/>
  <c r="P34" i="28"/>
  <c r="S34" i="28" s="1"/>
  <c r="J34" i="28"/>
  <c r="AP33" i="28"/>
  <c r="AO33" i="28"/>
  <c r="AM33" i="28" s="1"/>
  <c r="AF33" i="28"/>
  <c r="AE33" i="28"/>
  <c r="AB33" i="28"/>
  <c r="AA33" i="28"/>
  <c r="V33" i="28"/>
  <c r="U33" i="28"/>
  <c r="R33" i="28"/>
  <c r="P33" i="28"/>
  <c r="X33" i="28" s="1"/>
  <c r="J33" i="28"/>
  <c r="L33" i="28" s="1"/>
  <c r="AP32" i="28"/>
  <c r="AO32" i="28"/>
  <c r="AM32" i="28" s="1"/>
  <c r="AF32" i="28"/>
  <c r="AE32" i="28"/>
  <c r="AB32" i="28"/>
  <c r="AA32" i="28"/>
  <c r="P32" i="28"/>
  <c r="X32" i="28" s="1"/>
  <c r="J32" i="28"/>
  <c r="L32" i="28" s="1"/>
  <c r="AP31" i="28"/>
  <c r="AN31" i="28" s="1"/>
  <c r="AO31" i="28"/>
  <c r="AF31" i="28"/>
  <c r="AE31" i="28"/>
  <c r="AB31" i="28"/>
  <c r="AA31" i="28"/>
  <c r="V31" i="28"/>
  <c r="U31" i="28"/>
  <c r="R31" i="28"/>
  <c r="P31" i="28"/>
  <c r="Q31" i="28" s="1"/>
  <c r="J31" i="28"/>
  <c r="L31" i="28" s="1"/>
  <c r="AP30" i="28"/>
  <c r="AN30" i="28" s="1"/>
  <c r="AO30" i="28"/>
  <c r="AM30" i="28" s="1"/>
  <c r="AF30" i="28"/>
  <c r="AE30" i="28"/>
  <c r="AB30" i="28"/>
  <c r="AA30" i="28"/>
  <c r="V30" i="28"/>
  <c r="U30" i="28"/>
  <c r="R30" i="28"/>
  <c r="P30" i="28"/>
  <c r="Q30" i="28" s="1"/>
  <c r="J30" i="28"/>
  <c r="AP29" i="28"/>
  <c r="AN29" i="28" s="1"/>
  <c r="AO29" i="28"/>
  <c r="AF29" i="28"/>
  <c r="AE29" i="28"/>
  <c r="AB29" i="28"/>
  <c r="AA29" i="28"/>
  <c r="V29" i="28"/>
  <c r="U29" i="28"/>
  <c r="R29" i="28"/>
  <c r="P29" i="28"/>
  <c r="J29" i="28"/>
  <c r="L29" i="28" s="1"/>
  <c r="AP28" i="28"/>
  <c r="AN28" i="28" s="1"/>
  <c r="AO28" i="28"/>
  <c r="AM28" i="28" s="1"/>
  <c r="AF28" i="28"/>
  <c r="AE28" i="28"/>
  <c r="AB28" i="28"/>
  <c r="AA28" i="28"/>
  <c r="V28" i="28"/>
  <c r="U28" i="28"/>
  <c r="R28" i="28"/>
  <c r="P28" i="28"/>
  <c r="X28" i="28" s="1"/>
  <c r="J28" i="28"/>
  <c r="L28" i="28" s="1"/>
  <c r="AU27" i="28"/>
  <c r="AU63" i="28" s="1"/>
  <c r="AP27" i="28"/>
  <c r="AN27" i="28" s="1"/>
  <c r="AO27" i="28"/>
  <c r="AF27" i="28"/>
  <c r="AE27" i="28"/>
  <c r="AB27" i="28"/>
  <c r="AA27" i="28"/>
  <c r="V27" i="28"/>
  <c r="U27" i="28"/>
  <c r="R27" i="28"/>
  <c r="P27" i="28"/>
  <c r="S27" i="28" s="1"/>
  <c r="J27" i="28"/>
  <c r="L27" i="28" s="1"/>
  <c r="AP26" i="28"/>
  <c r="AN26" i="28" s="1"/>
  <c r="AO26" i="28"/>
  <c r="AM26" i="28" s="1"/>
  <c r="AF26" i="28"/>
  <c r="AE26" i="28"/>
  <c r="AB26" i="28"/>
  <c r="AA26" i="28"/>
  <c r="V26" i="28"/>
  <c r="U26" i="28"/>
  <c r="R26" i="28"/>
  <c r="P26" i="28"/>
  <c r="S26" i="28" s="1"/>
  <c r="J26" i="28"/>
  <c r="L26" i="28" s="1"/>
  <c r="AP25" i="28"/>
  <c r="AN25" i="28" s="1"/>
  <c r="AO25" i="28"/>
  <c r="AM25" i="28" s="1"/>
  <c r="AF25" i="28"/>
  <c r="AE25" i="28"/>
  <c r="AB25" i="28"/>
  <c r="AA25" i="28"/>
  <c r="P25" i="28"/>
  <c r="Q25" i="28" s="1"/>
  <c r="J25" i="28"/>
  <c r="L25" i="28" s="1"/>
  <c r="AP24" i="28"/>
  <c r="AN24" i="28" s="1"/>
  <c r="AO24" i="28"/>
  <c r="AM24" i="28" s="1"/>
  <c r="AF24" i="28"/>
  <c r="AE24" i="28"/>
  <c r="AB24" i="28"/>
  <c r="AA24" i="28"/>
  <c r="P24" i="28"/>
  <c r="X24" i="28" s="1"/>
  <c r="J24" i="28"/>
  <c r="K24" i="28" s="1"/>
  <c r="AP23" i="28"/>
  <c r="AN23" i="28" s="1"/>
  <c r="AO23" i="28"/>
  <c r="AM23" i="28" s="1"/>
  <c r="AJ23" i="28"/>
  <c r="AJ39" i="28" s="1"/>
  <c r="AF23" i="28"/>
  <c r="AE23" i="28"/>
  <c r="AB23" i="28"/>
  <c r="AA23" i="28"/>
  <c r="P23" i="28"/>
  <c r="X23" i="28" s="1"/>
  <c r="J23" i="28"/>
  <c r="L23" i="28" s="1"/>
  <c r="AP22" i="28"/>
  <c r="AN22" i="28" s="1"/>
  <c r="AO22" i="28"/>
  <c r="AM22" i="28" s="1"/>
  <c r="AF22" i="28"/>
  <c r="AE22" i="28"/>
  <c r="AB22" i="28"/>
  <c r="AA22" i="28"/>
  <c r="P22" i="28"/>
  <c r="Q22" i="28" s="1"/>
  <c r="J22" i="28"/>
  <c r="AP21" i="28"/>
  <c r="AN21" i="28" s="1"/>
  <c r="AO21" i="28"/>
  <c r="AM21" i="28" s="1"/>
  <c r="AF21" i="28"/>
  <c r="AE21" i="28"/>
  <c r="AB21" i="28"/>
  <c r="AA21" i="28"/>
  <c r="V21" i="28"/>
  <c r="U21" i="28"/>
  <c r="R21" i="28"/>
  <c r="P21" i="28"/>
  <c r="S21" i="28" s="1"/>
  <c r="J21" i="28"/>
  <c r="L21" i="28" s="1"/>
  <c r="AP20" i="28"/>
  <c r="AN20" i="28" s="1"/>
  <c r="AO20" i="28"/>
  <c r="AM20" i="28" s="1"/>
  <c r="AF20" i="28"/>
  <c r="AE20" i="28"/>
  <c r="AB20" i="28"/>
  <c r="AA20" i="28"/>
  <c r="V20" i="28"/>
  <c r="U20" i="28"/>
  <c r="R20" i="28"/>
  <c r="P20" i="28"/>
  <c r="Q20" i="28" s="1"/>
  <c r="J20" i="28"/>
  <c r="AP19" i="28"/>
  <c r="AN19" i="28" s="1"/>
  <c r="AO19" i="28"/>
  <c r="AF19" i="28"/>
  <c r="AE19" i="28"/>
  <c r="AB19" i="28"/>
  <c r="AA19" i="28"/>
  <c r="V19" i="28"/>
  <c r="U19" i="28"/>
  <c r="R19" i="28"/>
  <c r="P19" i="28"/>
  <c r="X19" i="28" s="1"/>
  <c r="J19" i="28"/>
  <c r="L19" i="28" s="1"/>
  <c r="AP18" i="28"/>
  <c r="AN18" i="28" s="1"/>
  <c r="AO18" i="28"/>
  <c r="AM18" i="28" s="1"/>
  <c r="AF18" i="28"/>
  <c r="AE18" i="28"/>
  <c r="AB18" i="28"/>
  <c r="AA18" i="28"/>
  <c r="V18" i="28"/>
  <c r="U18" i="28"/>
  <c r="R18" i="28"/>
  <c r="P18" i="28"/>
  <c r="X18" i="28" s="1"/>
  <c r="J18" i="28"/>
  <c r="AP17" i="28"/>
  <c r="AN17" i="28" s="1"/>
  <c r="AO17" i="28"/>
  <c r="AM17" i="28" s="1"/>
  <c r="AF17" i="28"/>
  <c r="AE17" i="28"/>
  <c r="AB17" i="28"/>
  <c r="AA17" i="28"/>
  <c r="V17" i="28"/>
  <c r="U17" i="28"/>
  <c r="R17" i="28"/>
  <c r="P17" i="28"/>
  <c r="J17" i="28"/>
  <c r="AP16" i="28"/>
  <c r="AO16" i="28"/>
  <c r="AM16" i="28" s="1"/>
  <c r="AF16" i="28"/>
  <c r="AE16" i="28"/>
  <c r="AB16" i="28"/>
  <c r="AA16" i="28"/>
  <c r="V16" i="28"/>
  <c r="U16" i="28"/>
  <c r="R16" i="28"/>
  <c r="P16" i="28"/>
  <c r="X16" i="28" s="1"/>
  <c r="J16" i="28"/>
  <c r="L16" i="28" s="1"/>
  <c r="AP15" i="28"/>
  <c r="AO15" i="28"/>
  <c r="AM15" i="28" s="1"/>
  <c r="AF15" i="28"/>
  <c r="AE15" i="28"/>
  <c r="AB15" i="28"/>
  <c r="AA15" i="28"/>
  <c r="V15" i="28"/>
  <c r="U15" i="28"/>
  <c r="R15" i="28"/>
  <c r="P15" i="28"/>
  <c r="X15" i="28" s="1"/>
  <c r="J15" i="28"/>
  <c r="K15" i="28" s="1"/>
  <c r="AP14" i="28"/>
  <c r="AO14" i="28"/>
  <c r="AM14" i="28" s="1"/>
  <c r="AF14" i="28"/>
  <c r="AE14" i="28"/>
  <c r="AB14" i="28"/>
  <c r="AA14" i="28"/>
  <c r="V14" i="28"/>
  <c r="U14" i="28"/>
  <c r="R14" i="28"/>
  <c r="P14" i="28"/>
  <c r="S14" i="28" s="1"/>
  <c r="J14" i="28"/>
  <c r="L14" i="28" s="1"/>
  <c r="AP13" i="28"/>
  <c r="AO13" i="28"/>
  <c r="AM13" i="28" s="1"/>
  <c r="AF13" i="28"/>
  <c r="AE13" i="28"/>
  <c r="AB13" i="28"/>
  <c r="AA13" i="28"/>
  <c r="V13" i="28"/>
  <c r="U13" i="28"/>
  <c r="R13" i="28"/>
  <c r="P13" i="28"/>
  <c r="S13" i="28" s="1"/>
  <c r="J13" i="28"/>
  <c r="L13" i="28" s="1"/>
  <c r="AP12" i="28"/>
  <c r="AN12" i="28" s="1"/>
  <c r="AO12" i="28"/>
  <c r="AM12" i="28" s="1"/>
  <c r="AF12" i="28"/>
  <c r="AE12" i="28"/>
  <c r="AB12" i="28"/>
  <c r="AA12" i="28"/>
  <c r="V12" i="28"/>
  <c r="U12" i="28"/>
  <c r="R12" i="28"/>
  <c r="P12" i="28"/>
  <c r="Q12" i="28" s="1"/>
  <c r="J12" i="28"/>
  <c r="AP11" i="28"/>
  <c r="AN11" i="28" s="1"/>
  <c r="AO11" i="28"/>
  <c r="AF11" i="28"/>
  <c r="AE11" i="28"/>
  <c r="AB11" i="28"/>
  <c r="AA11" i="28"/>
  <c r="V11" i="28"/>
  <c r="U11" i="28"/>
  <c r="R11" i="28"/>
  <c r="P11" i="28"/>
  <c r="J11" i="28"/>
  <c r="K11" i="28" s="1"/>
  <c r="AP10" i="28"/>
  <c r="AN10" i="28" s="1"/>
  <c r="AO10" i="28"/>
  <c r="AM10" i="28" s="1"/>
  <c r="AF10" i="28"/>
  <c r="AE10" i="28"/>
  <c r="AB10" i="28"/>
  <c r="AA10" i="28"/>
  <c r="V10" i="28"/>
  <c r="U10" i="28"/>
  <c r="R10" i="28"/>
  <c r="P10" i="28"/>
  <c r="X10" i="28" s="1"/>
  <c r="J10" i="28"/>
  <c r="AP9" i="28"/>
  <c r="AN9" i="28" s="1"/>
  <c r="AO9" i="28"/>
  <c r="AM9" i="28" s="1"/>
  <c r="AF9" i="28"/>
  <c r="AE9" i="28"/>
  <c r="AB9" i="28"/>
  <c r="AA9" i="28"/>
  <c r="V9" i="28"/>
  <c r="U9" i="28"/>
  <c r="R9" i="28"/>
  <c r="P9" i="28"/>
  <c r="X9" i="28" s="1"/>
  <c r="J9" i="28"/>
  <c r="AP8" i="28"/>
  <c r="AO8" i="28"/>
  <c r="AM8" i="28" s="1"/>
  <c r="AF8" i="28"/>
  <c r="AE8" i="28"/>
  <c r="AB8" i="28"/>
  <c r="AA8" i="28"/>
  <c r="V8" i="28"/>
  <c r="V39" i="28" s="1"/>
  <c r="U8" i="28"/>
  <c r="U39" i="28" s="1"/>
  <c r="R8" i="28"/>
  <c r="P8" i="28"/>
  <c r="X8" i="28" s="1"/>
  <c r="J8" i="28"/>
  <c r="A52" i="27"/>
  <c r="C33" i="27"/>
  <c r="C35" i="27" s="1"/>
  <c r="F2" i="27"/>
  <c r="F1" i="27"/>
  <c r="H32" i="25"/>
  <c r="H31" i="25"/>
  <c r="J29" i="25"/>
  <c r="J30" i="25" s="1"/>
  <c r="J31" i="25" s="1"/>
  <c r="H29" i="25"/>
  <c r="H30" i="25" s="1"/>
  <c r="J27" i="25"/>
  <c r="J28" i="25" s="1"/>
  <c r="H27" i="25"/>
  <c r="H28" i="25" s="1"/>
  <c r="H25" i="25"/>
  <c r="H26" i="25" s="1"/>
  <c r="M22" i="25"/>
  <c r="H22" i="25"/>
  <c r="H23" i="25" s="1"/>
  <c r="I21" i="25"/>
  <c r="I20" i="25"/>
  <c r="H20" i="25"/>
  <c r="H19" i="25"/>
  <c r="G20" i="24"/>
  <c r="D46" i="11"/>
  <c r="X45" i="11"/>
  <c r="AH44" i="11"/>
  <c r="X44" i="11"/>
  <c r="D44" i="11"/>
  <c r="AE39" i="11"/>
  <c r="K43" i="11" s="1"/>
  <c r="AD39" i="11"/>
  <c r="K42" i="11" s="1"/>
  <c r="V39" i="11"/>
  <c r="U39" i="11"/>
  <c r="S39" i="11"/>
  <c r="R39" i="11"/>
  <c r="O39" i="11"/>
  <c r="M39" i="11"/>
  <c r="D43" i="11" s="1"/>
  <c r="Z45" i="11" s="1"/>
  <c r="L39" i="11"/>
  <c r="I45" i="11" s="1"/>
  <c r="K39" i="11"/>
  <c r="I44" i="11" s="1"/>
  <c r="J39" i="11"/>
  <c r="N44" i="11" s="1"/>
  <c r="H39" i="11"/>
  <c r="D42" i="11" s="1"/>
  <c r="F39" i="11"/>
  <c r="I43" i="11" s="1"/>
  <c r="D39" i="11"/>
  <c r="I42" i="11" s="1"/>
  <c r="C39" i="11"/>
  <c r="AI38" i="11"/>
  <c r="AB38" i="11" s="1"/>
  <c r="AH38" i="11"/>
  <c r="AA38" i="11" s="1"/>
  <c r="Y38" i="11"/>
  <c r="X38" i="11"/>
  <c r="W38" i="11"/>
  <c r="T38" i="11"/>
  <c r="AG38" i="11" s="1"/>
  <c r="P38" i="11"/>
  <c r="Q38" i="11" s="1"/>
  <c r="N38" i="11"/>
  <c r="I38" i="11"/>
  <c r="AI37" i="11"/>
  <c r="AB37" i="11" s="1"/>
  <c r="AH37" i="11"/>
  <c r="AA37" i="11" s="1"/>
  <c r="Y37" i="11"/>
  <c r="X37" i="11"/>
  <c r="W37" i="11"/>
  <c r="T37" i="11"/>
  <c r="AG37" i="11" s="1"/>
  <c r="P37" i="11"/>
  <c r="Q37" i="11" s="1"/>
  <c r="N37" i="11"/>
  <c r="I37" i="11"/>
  <c r="AI36" i="11"/>
  <c r="AB36" i="11" s="1"/>
  <c r="AH36" i="11"/>
  <c r="AA36" i="11" s="1"/>
  <c r="Y36" i="11"/>
  <c r="X36" i="11"/>
  <c r="W36" i="11"/>
  <c r="T36" i="11"/>
  <c r="AG36" i="11" s="1"/>
  <c r="P36" i="11"/>
  <c r="Q36" i="11" s="1"/>
  <c r="N36" i="11"/>
  <c r="I36" i="11"/>
  <c r="AI35" i="11"/>
  <c r="AB35" i="11" s="1"/>
  <c r="AH35" i="11"/>
  <c r="AA35" i="11" s="1"/>
  <c r="Y35" i="11"/>
  <c r="X35" i="11"/>
  <c r="W35" i="11"/>
  <c r="T35" i="11"/>
  <c r="AG35" i="11" s="1"/>
  <c r="P35" i="11"/>
  <c r="Q35" i="11" s="1"/>
  <c r="N35" i="11"/>
  <c r="I35" i="11"/>
  <c r="AI34" i="11"/>
  <c r="AB34" i="11" s="1"/>
  <c r="AH34" i="11"/>
  <c r="AA34" i="11" s="1"/>
  <c r="Y34" i="11"/>
  <c r="X34" i="11"/>
  <c r="W34" i="11"/>
  <c r="T34" i="11"/>
  <c r="AG34" i="11" s="1"/>
  <c r="P34" i="11"/>
  <c r="Q34" i="11" s="1"/>
  <c r="N34" i="11"/>
  <c r="I34" i="11"/>
  <c r="AI33" i="11"/>
  <c r="AB33" i="11" s="1"/>
  <c r="AH33" i="11"/>
  <c r="AA33" i="11" s="1"/>
  <c r="Y33" i="11"/>
  <c r="X33" i="11"/>
  <c r="W33" i="11"/>
  <c r="T33" i="11"/>
  <c r="AG33" i="11" s="1"/>
  <c r="P33" i="11"/>
  <c r="Q33" i="11" s="1"/>
  <c r="N33" i="11"/>
  <c r="I33" i="11"/>
  <c r="AI32" i="11"/>
  <c r="AB32" i="11" s="1"/>
  <c r="AH32" i="11"/>
  <c r="AA32" i="11" s="1"/>
  <c r="Y32" i="11"/>
  <c r="X32" i="11"/>
  <c r="W32" i="11"/>
  <c r="T32" i="11"/>
  <c r="AG32" i="11" s="1"/>
  <c r="P32" i="11"/>
  <c r="Q32" i="11" s="1"/>
  <c r="N32" i="11"/>
  <c r="I32" i="11"/>
  <c r="AI31" i="11"/>
  <c r="AB31" i="11" s="1"/>
  <c r="AH31" i="11"/>
  <c r="AA31" i="11" s="1"/>
  <c r="Y31" i="11"/>
  <c r="X31" i="11"/>
  <c r="W31" i="11"/>
  <c r="T31" i="11"/>
  <c r="AG31" i="11" s="1"/>
  <c r="P31" i="11"/>
  <c r="Q31" i="11" s="1"/>
  <c r="N31" i="11"/>
  <c r="I31" i="11"/>
  <c r="AI30" i="11"/>
  <c r="AB30" i="11" s="1"/>
  <c r="AH30" i="11"/>
  <c r="AA30" i="11" s="1"/>
  <c r="Y30" i="11"/>
  <c r="X30" i="11"/>
  <c r="W30" i="11"/>
  <c r="T30" i="11"/>
  <c r="AG30" i="11" s="1"/>
  <c r="P30" i="11"/>
  <c r="Q30" i="11" s="1"/>
  <c r="N30" i="11"/>
  <c r="I30" i="11"/>
  <c r="AI29" i="11"/>
  <c r="AB29" i="11" s="1"/>
  <c r="AH29" i="11"/>
  <c r="AA29" i="11" s="1"/>
  <c r="Y29" i="11"/>
  <c r="X29" i="11"/>
  <c r="W29" i="11"/>
  <c r="T29" i="11"/>
  <c r="AG29" i="11" s="1"/>
  <c r="P29" i="11"/>
  <c r="Q29" i="11" s="1"/>
  <c r="N29" i="11"/>
  <c r="I29" i="11"/>
  <c r="AI28" i="11"/>
  <c r="AB28" i="11" s="1"/>
  <c r="AH28" i="11"/>
  <c r="AA28" i="11" s="1"/>
  <c r="Y28" i="11"/>
  <c r="X28" i="11"/>
  <c r="W28" i="11"/>
  <c r="T28" i="11"/>
  <c r="AG28" i="11" s="1"/>
  <c r="P28" i="11"/>
  <c r="Q28" i="11" s="1"/>
  <c r="N28" i="11"/>
  <c r="I28" i="11"/>
  <c r="AI27" i="11"/>
  <c r="AB27" i="11" s="1"/>
  <c r="AH27" i="11"/>
  <c r="AA27" i="11" s="1"/>
  <c r="Y27" i="11"/>
  <c r="X27" i="11"/>
  <c r="W27" i="11"/>
  <c r="T27" i="11"/>
  <c r="AG27" i="11" s="1"/>
  <c r="P27" i="11"/>
  <c r="Q27" i="11" s="1"/>
  <c r="N27" i="11"/>
  <c r="I27" i="11"/>
  <c r="AI26" i="11"/>
  <c r="AB26" i="11" s="1"/>
  <c r="AH26" i="11"/>
  <c r="AA26" i="11" s="1"/>
  <c r="Y26" i="11"/>
  <c r="X26" i="11"/>
  <c r="W26" i="11"/>
  <c r="T26" i="11"/>
  <c r="AG26" i="11" s="1"/>
  <c r="P26" i="11"/>
  <c r="Q26" i="11" s="1"/>
  <c r="N26" i="11"/>
  <c r="I26" i="11"/>
  <c r="AI25" i="11"/>
  <c r="AB25" i="11" s="1"/>
  <c r="AH25" i="11"/>
  <c r="AA25" i="11" s="1"/>
  <c r="Y25" i="11"/>
  <c r="X25" i="11"/>
  <c r="W25" i="11"/>
  <c r="T25" i="11"/>
  <c r="AG25" i="11" s="1"/>
  <c r="P25" i="11"/>
  <c r="Q25" i="11" s="1"/>
  <c r="N25" i="11"/>
  <c r="I25" i="11"/>
  <c r="AI24" i="11"/>
  <c r="AB24" i="11" s="1"/>
  <c r="AH24" i="11"/>
  <c r="AA24" i="11" s="1"/>
  <c r="Y24" i="11"/>
  <c r="X24" i="11"/>
  <c r="W24" i="11"/>
  <c r="T24" i="11"/>
  <c r="AG24" i="11" s="1"/>
  <c r="P24" i="11"/>
  <c r="Q24" i="11" s="1"/>
  <c r="N24" i="11"/>
  <c r="I24" i="11"/>
  <c r="AI23" i="11"/>
  <c r="AB23" i="11" s="1"/>
  <c r="AH23" i="11"/>
  <c r="AA23" i="11" s="1"/>
  <c r="Y23" i="11"/>
  <c r="X23" i="11"/>
  <c r="W23" i="11"/>
  <c r="T23" i="11"/>
  <c r="AG23" i="11" s="1"/>
  <c r="P23" i="11"/>
  <c r="Q23" i="11" s="1"/>
  <c r="N23" i="11"/>
  <c r="I23" i="11"/>
  <c r="AI22" i="11"/>
  <c r="AB22" i="11" s="1"/>
  <c r="AH22" i="11"/>
  <c r="AA22" i="11" s="1"/>
  <c r="Y22" i="11"/>
  <c r="X22" i="11"/>
  <c r="W22" i="11"/>
  <c r="T22" i="11"/>
  <c r="AG22" i="11" s="1"/>
  <c r="P22" i="11"/>
  <c r="Q22" i="11" s="1"/>
  <c r="N22" i="11"/>
  <c r="I22" i="11"/>
  <c r="AI21" i="11"/>
  <c r="AB21" i="11" s="1"/>
  <c r="AH21" i="11"/>
  <c r="AA21" i="11" s="1"/>
  <c r="Y21" i="11"/>
  <c r="X21" i="11"/>
  <c r="W21" i="11"/>
  <c r="T21" i="11"/>
  <c r="AG21" i="11" s="1"/>
  <c r="P21" i="11"/>
  <c r="Q21" i="11" s="1"/>
  <c r="N21" i="11"/>
  <c r="I21" i="11"/>
  <c r="AI20" i="11"/>
  <c r="AB20" i="11" s="1"/>
  <c r="AH20" i="11"/>
  <c r="AA20" i="11" s="1"/>
  <c r="Y20" i="11"/>
  <c r="X20" i="11"/>
  <c r="W20" i="11"/>
  <c r="T20" i="11"/>
  <c r="AG20" i="11" s="1"/>
  <c r="P20" i="11"/>
  <c r="Q20" i="11" s="1"/>
  <c r="N20" i="11"/>
  <c r="I20" i="11"/>
  <c r="X19" i="11"/>
  <c r="N19" i="11"/>
  <c r="AI18" i="11"/>
  <c r="AB18" i="11" s="1"/>
  <c r="AH18" i="11"/>
  <c r="AA18" i="11" s="1"/>
  <c r="Y18" i="11"/>
  <c r="X18" i="11"/>
  <c r="W18" i="11"/>
  <c r="T18" i="11"/>
  <c r="AG18" i="11" s="1"/>
  <c r="P18" i="11"/>
  <c r="Q18" i="11" s="1"/>
  <c r="N18" i="11"/>
  <c r="AI17" i="11"/>
  <c r="AB17" i="11" s="1"/>
  <c r="AH17" i="11"/>
  <c r="AA17" i="11" s="1"/>
  <c r="Y17" i="11"/>
  <c r="X17" i="11"/>
  <c r="W17" i="11"/>
  <c r="T17" i="11"/>
  <c r="AG17" i="11" s="1"/>
  <c r="P17" i="11"/>
  <c r="Q17" i="11" s="1"/>
  <c r="N17" i="11"/>
  <c r="AI16" i="11"/>
  <c r="AB16" i="11" s="1"/>
  <c r="AH16" i="11"/>
  <c r="AA16" i="11" s="1"/>
  <c r="Y16" i="11"/>
  <c r="X16" i="11"/>
  <c r="W16" i="11"/>
  <c r="T16" i="11"/>
  <c r="P16" i="11"/>
  <c r="Q16" i="11" s="1"/>
  <c r="N16" i="11"/>
  <c r="X15" i="11"/>
  <c r="W15" i="11"/>
  <c r="N15" i="11"/>
  <c r="AI14" i="11"/>
  <c r="AB14" i="11" s="1"/>
  <c r="AH14" i="11"/>
  <c r="AA14" i="11" s="1"/>
  <c r="AG14" i="11"/>
  <c r="Y14" i="11"/>
  <c r="X14" i="11"/>
  <c r="W14" i="11"/>
  <c r="P14" i="11"/>
  <c r="Q14" i="11" s="1"/>
  <c r="N14" i="11"/>
  <c r="AI13" i="11"/>
  <c r="AB13" i="11" s="1"/>
  <c r="AH13" i="11"/>
  <c r="AA13" i="11" s="1"/>
  <c r="AG13" i="11"/>
  <c r="Y13" i="11"/>
  <c r="X13" i="11"/>
  <c r="W13" i="11"/>
  <c r="P13" i="11"/>
  <c r="Q13" i="11" s="1"/>
  <c r="N13" i="11"/>
  <c r="AI12" i="11"/>
  <c r="AB12" i="11" s="1"/>
  <c r="AH12" i="11"/>
  <c r="AA12" i="11" s="1"/>
  <c r="AG12" i="11"/>
  <c r="Y12" i="11"/>
  <c r="X12" i="11"/>
  <c r="W12" i="11"/>
  <c r="P12" i="11"/>
  <c r="Q12" i="11" s="1"/>
  <c r="N12" i="11"/>
  <c r="AI11" i="11"/>
  <c r="AB11" i="11" s="1"/>
  <c r="AH11" i="11"/>
  <c r="AA11" i="11" s="1"/>
  <c r="AG11" i="11"/>
  <c r="Y11" i="11"/>
  <c r="X11" i="11"/>
  <c r="W11" i="11"/>
  <c r="P11" i="11"/>
  <c r="Q11" i="11" s="1"/>
  <c r="N11" i="11"/>
  <c r="AI10" i="11"/>
  <c r="AB10" i="11" s="1"/>
  <c r="AH10" i="11"/>
  <c r="AA10" i="11" s="1"/>
  <c r="AG10" i="11"/>
  <c r="Y10" i="11"/>
  <c r="X10" i="11"/>
  <c r="W10" i="11"/>
  <c r="P10" i="11"/>
  <c r="Q10" i="11" s="1"/>
  <c r="N10" i="11"/>
  <c r="AI9" i="11"/>
  <c r="AB9" i="11" s="1"/>
  <c r="AH9" i="11"/>
  <c r="AA9" i="11" s="1"/>
  <c r="AG9" i="11"/>
  <c r="Y9" i="11"/>
  <c r="X9" i="11"/>
  <c r="W9" i="11"/>
  <c r="P9" i="11"/>
  <c r="Q9" i="11" s="1"/>
  <c r="N9" i="11"/>
  <c r="AI8" i="11"/>
  <c r="AH8" i="11"/>
  <c r="AG8" i="11"/>
  <c r="Y8" i="11"/>
  <c r="X8" i="11"/>
  <c r="W8" i="11"/>
  <c r="P8" i="11"/>
  <c r="Q8" i="11" s="1"/>
  <c r="N8" i="11"/>
  <c r="R24" i="20"/>
  <c r="G24" i="20"/>
  <c r="F24" i="20"/>
  <c r="R22" i="20"/>
  <c r="G22" i="20"/>
  <c r="F22" i="20"/>
  <c r="R21" i="20"/>
  <c r="G21" i="20"/>
  <c r="F21" i="20"/>
  <c r="R13" i="20"/>
  <c r="G13" i="20"/>
  <c r="F13" i="20"/>
  <c r="R11" i="20"/>
  <c r="G11" i="20"/>
  <c r="F11" i="20"/>
  <c r="R9" i="20"/>
  <c r="R8" i="20"/>
  <c r="G8" i="20"/>
  <c r="F8" i="20"/>
  <c r="R7" i="20"/>
  <c r="G7" i="20"/>
  <c r="F7" i="20"/>
  <c r="AD68" i="15"/>
  <c r="M44" i="15"/>
  <c r="AL43" i="15"/>
  <c r="AA45" i="15"/>
  <c r="AO39" i="15"/>
  <c r="AH39" i="15"/>
  <c r="AG39" i="15"/>
  <c r="K44" i="15"/>
  <c r="AN39" i="15"/>
  <c r="Z37" i="15"/>
  <c r="P37" i="15"/>
  <c r="AA37" i="15"/>
  <c r="Z36" i="15"/>
  <c r="AJ36" i="15" s="1"/>
  <c r="P36" i="15"/>
  <c r="AE36" i="15"/>
  <c r="AA36" i="15"/>
  <c r="AN35" i="15"/>
  <c r="Z35" i="15"/>
  <c r="AJ35" i="15" s="1"/>
  <c r="V35" i="15"/>
  <c r="U35" i="15"/>
  <c r="R35" i="15"/>
  <c r="P35" i="15"/>
  <c r="S35" i="15" s="1"/>
  <c r="AO35" i="15"/>
  <c r="AA35" i="15"/>
  <c r="AN34" i="15"/>
  <c r="Z34" i="15"/>
  <c r="AJ34" i="15" s="1"/>
  <c r="V34" i="15"/>
  <c r="U34" i="15"/>
  <c r="R34" i="15"/>
  <c r="P34" i="15"/>
  <c r="S34" i="15" s="1"/>
  <c r="AO34" i="15"/>
  <c r="AA34" i="15"/>
  <c r="Z33" i="15"/>
  <c r="AJ33" i="15" s="1"/>
  <c r="V33" i="15"/>
  <c r="U33" i="15"/>
  <c r="R33" i="15"/>
  <c r="AO33" i="15"/>
  <c r="AN33" i="15"/>
  <c r="AA33" i="15"/>
  <c r="Z32" i="15"/>
  <c r="AJ32" i="15" s="1"/>
  <c r="P32" i="15"/>
  <c r="Q32" i="15" s="1"/>
  <c r="AE32" i="15"/>
  <c r="AA32" i="15"/>
  <c r="AA31" i="15"/>
  <c r="Z31" i="15"/>
  <c r="AJ31" i="15" s="1"/>
  <c r="V31" i="15"/>
  <c r="U31" i="15"/>
  <c r="R31" i="15"/>
  <c r="AO31" i="15"/>
  <c r="AN31" i="15"/>
  <c r="Z30" i="15"/>
  <c r="AJ30" i="15" s="1"/>
  <c r="V30" i="15"/>
  <c r="U30" i="15"/>
  <c r="R30" i="15"/>
  <c r="AO30" i="15"/>
  <c r="AN30" i="15"/>
  <c r="AA30" i="15"/>
  <c r="AN29" i="15"/>
  <c r="Z29" i="15"/>
  <c r="AJ29" i="15" s="1"/>
  <c r="V29" i="15"/>
  <c r="U29" i="15"/>
  <c r="R29" i="15"/>
  <c r="P29" i="15"/>
  <c r="S29" i="15" s="1"/>
  <c r="AO29" i="15"/>
  <c r="AA29" i="15"/>
  <c r="AA28" i="15"/>
  <c r="V28" i="15"/>
  <c r="U28" i="15"/>
  <c r="R28" i="15"/>
  <c r="AO28" i="15"/>
  <c r="AN28" i="15"/>
  <c r="AT27" i="15"/>
  <c r="AT65" i="15" s="1"/>
  <c r="AT67" i="15" s="1"/>
  <c r="AA27" i="15"/>
  <c r="V27" i="15"/>
  <c r="U27" i="15"/>
  <c r="R27" i="15"/>
  <c r="P27" i="15"/>
  <c r="S27" i="15" s="1"/>
  <c r="AO27" i="15"/>
  <c r="AN27" i="15"/>
  <c r="AN26" i="15"/>
  <c r="V26" i="15"/>
  <c r="U26" i="15"/>
  <c r="R26" i="15"/>
  <c r="P26" i="15"/>
  <c r="S26" i="15" s="1"/>
  <c r="AO26" i="15"/>
  <c r="AA26" i="15"/>
  <c r="AO25" i="15"/>
  <c r="AN25" i="15"/>
  <c r="AA25" i="15"/>
  <c r="AN24" i="15"/>
  <c r="P24" i="15"/>
  <c r="Q24" i="15" s="1"/>
  <c r="AO24" i="15"/>
  <c r="AA24" i="15"/>
  <c r="AA23" i="15"/>
  <c r="AO23" i="15"/>
  <c r="AN23" i="15"/>
  <c r="AO22" i="15"/>
  <c r="P22" i="15"/>
  <c r="Q22" i="15" s="1"/>
  <c r="AN22" i="15"/>
  <c r="AA22" i="15"/>
  <c r="AO21" i="15"/>
  <c r="AN21" i="15"/>
  <c r="V21" i="15"/>
  <c r="U21" i="15"/>
  <c r="R21" i="15"/>
  <c r="P21" i="15"/>
  <c r="S21" i="15" s="1"/>
  <c r="AA21" i="15"/>
  <c r="AA20" i="15"/>
  <c r="V20" i="15"/>
  <c r="U20" i="15"/>
  <c r="R20" i="15"/>
  <c r="AO20" i="15"/>
  <c r="AN20" i="15"/>
  <c r="AO19" i="15"/>
  <c r="V19" i="15"/>
  <c r="U19" i="15"/>
  <c r="R19" i="15"/>
  <c r="P19" i="15"/>
  <c r="AN19" i="15"/>
  <c r="AA19" i="15"/>
  <c r="V18" i="15"/>
  <c r="U18" i="15"/>
  <c r="R18" i="15"/>
  <c r="P18" i="15"/>
  <c r="AN18" i="15"/>
  <c r="AA18" i="15"/>
  <c r="AA17" i="15"/>
  <c r="V17" i="15"/>
  <c r="U17" i="15"/>
  <c r="R17" i="15"/>
  <c r="AO17" i="15"/>
  <c r="AN17" i="15"/>
  <c r="V16" i="15"/>
  <c r="U16" i="15"/>
  <c r="R16" i="15"/>
  <c r="P16" i="15"/>
  <c r="AN16" i="15"/>
  <c r="AA16" i="15"/>
  <c r="AO15" i="15"/>
  <c r="V15" i="15"/>
  <c r="U15" i="15"/>
  <c r="R15" i="15"/>
  <c r="P15" i="15"/>
  <c r="AN15" i="15"/>
  <c r="AA15" i="15"/>
  <c r="AO14" i="15"/>
  <c r="AN14" i="15"/>
  <c r="V14" i="15"/>
  <c r="U14" i="15"/>
  <c r="R14" i="15"/>
  <c r="P14" i="15"/>
  <c r="AA14" i="15"/>
  <c r="V13" i="15"/>
  <c r="U13" i="15"/>
  <c r="R13" i="15"/>
  <c r="P13" i="15"/>
  <c r="AN13" i="15"/>
  <c r="AA13" i="15"/>
  <c r="AO12" i="15"/>
  <c r="AN12" i="15"/>
  <c r="V12" i="15"/>
  <c r="U12" i="15"/>
  <c r="R12" i="15"/>
  <c r="P12" i="15"/>
  <c r="AA12" i="15"/>
  <c r="AN11" i="15"/>
  <c r="V11" i="15"/>
  <c r="U11" i="15"/>
  <c r="R11" i="15"/>
  <c r="P11" i="15"/>
  <c r="S11" i="15" s="1"/>
  <c r="AO11" i="15"/>
  <c r="AA11" i="15"/>
  <c r="AN10" i="15"/>
  <c r="V10" i="15"/>
  <c r="U10" i="15"/>
  <c r="R10" i="15"/>
  <c r="P10" i="15"/>
  <c r="S10" i="15" s="1"/>
  <c r="AO10" i="15"/>
  <c r="AA10" i="15"/>
  <c r="AN9" i="15"/>
  <c r="V9" i="15"/>
  <c r="U9" i="15"/>
  <c r="R9" i="15"/>
  <c r="P9" i="15"/>
  <c r="S9" i="15" s="1"/>
  <c r="AO9" i="15"/>
  <c r="AA9" i="15"/>
  <c r="AA8" i="15"/>
  <c r="V8" i="15"/>
  <c r="V39" i="15" s="1"/>
  <c r="U8" i="15"/>
  <c r="R8" i="15"/>
  <c r="P8" i="15"/>
  <c r="S8" i="15" s="1"/>
  <c r="AO8" i="15"/>
  <c r="AN8" i="15"/>
  <c r="AJ2" i="15"/>
  <c r="V16" i="37" l="1"/>
  <c r="V17" i="37" s="1"/>
  <c r="V18" i="37" s="1"/>
  <c r="Z61" i="37" s="1"/>
  <c r="V9" i="37"/>
  <c r="V10" i="37" s="1"/>
  <c r="V11" i="37" s="1"/>
  <c r="V12" i="37" s="1"/>
  <c r="V13" i="37" s="1"/>
  <c r="AQ29" i="28"/>
  <c r="Z27" i="11"/>
  <c r="AL17" i="28"/>
  <c r="Z34" i="11"/>
  <c r="Z38" i="11"/>
  <c r="Z32" i="11"/>
  <c r="AQ31" i="28"/>
  <c r="AS31" i="28" s="1"/>
  <c r="W34" i="28"/>
  <c r="K7" i="20"/>
  <c r="L7" i="20" s="1"/>
  <c r="W19" i="15"/>
  <c r="W28" i="15"/>
  <c r="W34" i="15"/>
  <c r="W35" i="15"/>
  <c r="K24" i="20"/>
  <c r="L24" i="20" s="1"/>
  <c r="Z28" i="11"/>
  <c r="Z20" i="11"/>
  <c r="U22" i="37"/>
  <c r="T10" i="37"/>
  <c r="U10" i="37"/>
  <c r="W11" i="15"/>
  <c r="K11" i="20"/>
  <c r="L11" i="20" s="1"/>
  <c r="AC26" i="11"/>
  <c r="AQ11" i="28"/>
  <c r="AS11" i="28" s="1"/>
  <c r="AC18" i="11"/>
  <c r="P11" i="37"/>
  <c r="P12" i="37" s="1"/>
  <c r="P13" i="37" s="1"/>
  <c r="P14" i="37" s="1"/>
  <c r="P15" i="37" s="1"/>
  <c r="P16" i="37" s="1"/>
  <c r="P17" i="37" s="1"/>
  <c r="P18" i="37" s="1"/>
  <c r="P19" i="37" s="1"/>
  <c r="P20" i="37" s="1"/>
  <c r="P21" i="37" s="1"/>
  <c r="P22" i="37" s="1"/>
  <c r="P23" i="37" s="1"/>
  <c r="P24" i="37" s="1"/>
  <c r="P25" i="37" s="1"/>
  <c r="P26" i="37" s="1"/>
  <c r="P27" i="37" s="1"/>
  <c r="P28" i="37" s="1"/>
  <c r="P29" i="37" s="1"/>
  <c r="AC12" i="11"/>
  <c r="AC13" i="11"/>
  <c r="AC14" i="11"/>
  <c r="W29" i="28"/>
  <c r="W16" i="15"/>
  <c r="R16" i="20"/>
  <c r="AL9" i="28"/>
  <c r="W11" i="28"/>
  <c r="W14" i="15"/>
  <c r="W15" i="15"/>
  <c r="Z26" i="11"/>
  <c r="AG22" i="28"/>
  <c r="AF39" i="28"/>
  <c r="U34" i="37"/>
  <c r="Z21" i="11"/>
  <c r="AQ33" i="28"/>
  <c r="Z18" i="11"/>
  <c r="AC29" i="11"/>
  <c r="AQ14" i="28"/>
  <c r="AS14" i="28" s="1"/>
  <c r="AQ16" i="28"/>
  <c r="AS16" i="28" s="1"/>
  <c r="W12" i="15"/>
  <c r="B52" i="27"/>
  <c r="W12" i="28"/>
  <c r="AC15" i="28"/>
  <c r="AD15" i="28" s="1"/>
  <c r="W16" i="28"/>
  <c r="K19" i="28"/>
  <c r="Q24" i="28"/>
  <c r="AQ21" i="28"/>
  <c r="AS21" i="28" s="1"/>
  <c r="K29" i="28"/>
  <c r="S20" i="28"/>
  <c r="T20" i="28" s="1"/>
  <c r="AG36" i="28"/>
  <c r="AQ20" i="28"/>
  <c r="AS20" i="28" s="1"/>
  <c r="AS29" i="28"/>
  <c r="W27" i="28"/>
  <c r="AG32" i="28"/>
  <c r="AC22" i="11"/>
  <c r="AC21" i="11"/>
  <c r="I39" i="11"/>
  <c r="X46" i="11"/>
  <c r="L15" i="28"/>
  <c r="X25" i="28"/>
  <c r="K32" i="28"/>
  <c r="AB46" i="28"/>
  <c r="T28" i="37"/>
  <c r="Z31" i="11"/>
  <c r="W10" i="28"/>
  <c r="AG11" i="28"/>
  <c r="AG21" i="28"/>
  <c r="AQ27" i="28"/>
  <c r="AS27" i="28" s="1"/>
  <c r="Z13" i="11"/>
  <c r="Q26" i="28"/>
  <c r="K13" i="20"/>
  <c r="L13" i="20" s="1"/>
  <c r="Z22" i="11"/>
  <c r="F3" i="27"/>
  <c r="F4" i="27" s="1"/>
  <c r="W8" i="28"/>
  <c r="W39" i="28" s="1"/>
  <c r="L11" i="28"/>
  <c r="AN14" i="28"/>
  <c r="AL14" i="28" s="1"/>
  <c r="AG20" i="28"/>
  <c r="T21" i="28"/>
  <c r="X22" i="28"/>
  <c r="AG27" i="28"/>
  <c r="Z14" i="11"/>
  <c r="AC32" i="11"/>
  <c r="Q14" i="28"/>
  <c r="AQ30" i="28"/>
  <c r="AS30" i="28" s="1"/>
  <c r="AQ34" i="28"/>
  <c r="AS34" i="28" s="1"/>
  <c r="Z8" i="11"/>
  <c r="Z9" i="11"/>
  <c r="Z37" i="11"/>
  <c r="Q13" i="28"/>
  <c r="W19" i="28"/>
  <c r="Q21" i="28"/>
  <c r="AG23" i="28"/>
  <c r="K28" i="28"/>
  <c r="Q33" i="28"/>
  <c r="AG34" i="28"/>
  <c r="AC11" i="11"/>
  <c r="W18" i="15"/>
  <c r="AC9" i="11"/>
  <c r="Z17" i="11"/>
  <c r="Z23" i="11"/>
  <c r="AC25" i="11"/>
  <c r="N39" i="11"/>
  <c r="J39" i="28"/>
  <c r="K39" i="28" s="1"/>
  <c r="T14" i="28"/>
  <c r="AG14" i="28"/>
  <c r="W15" i="28"/>
  <c r="K16" i="28"/>
  <c r="AL18" i="28"/>
  <c r="K25" i="28"/>
  <c r="AG26" i="28"/>
  <c r="Q28" i="28"/>
  <c r="T34" i="28"/>
  <c r="Z10" i="11"/>
  <c r="Z30" i="11"/>
  <c r="W17" i="15"/>
  <c r="W21" i="15"/>
  <c r="R29" i="20"/>
  <c r="Z11" i="11"/>
  <c r="Z12" i="11"/>
  <c r="Z24" i="11"/>
  <c r="AL10" i="28"/>
  <c r="K14" i="28"/>
  <c r="W18" i="28"/>
  <c r="AG19" i="28"/>
  <c r="W31" i="28"/>
  <c r="AL23" i="28"/>
  <c r="T13" i="28"/>
  <c r="AG15" i="28"/>
  <c r="AL26" i="28"/>
  <c r="AG33" i="28"/>
  <c r="W10" i="15"/>
  <c r="W27" i="15"/>
  <c r="W31" i="15"/>
  <c r="W33" i="15"/>
  <c r="F16" i="20"/>
  <c r="K21" i="20"/>
  <c r="L21" i="20" s="1"/>
  <c r="AC10" i="11"/>
  <c r="Z29" i="11"/>
  <c r="Z35" i="11"/>
  <c r="Y39" i="11"/>
  <c r="D47" i="11" s="1"/>
  <c r="N43" i="11"/>
  <c r="P43" i="11" s="1"/>
  <c r="P44" i="11"/>
  <c r="K8" i="28"/>
  <c r="S8" i="28"/>
  <c r="T8" i="28" s="1"/>
  <c r="Q10" i="28"/>
  <c r="W13" i="28"/>
  <c r="AQ13" i="28"/>
  <c r="AS13" i="28" s="1"/>
  <c r="W14" i="28"/>
  <c r="Q15" i="28"/>
  <c r="Q18" i="28"/>
  <c r="L20" i="28"/>
  <c r="AL20" i="28"/>
  <c r="W21" i="28"/>
  <c r="K22" i="28"/>
  <c r="Q23" i="28"/>
  <c r="AQ23" i="28"/>
  <c r="L24" i="28"/>
  <c r="AG24" i="28"/>
  <c r="AQ24" i="28"/>
  <c r="AS24" i="28" s="1"/>
  <c r="AQ25" i="28"/>
  <c r="AS25" i="28" s="1"/>
  <c r="K27" i="28"/>
  <c r="AG28" i="28"/>
  <c r="AC31" i="28"/>
  <c r="AD31" i="28" s="1"/>
  <c r="K33" i="28"/>
  <c r="S33" i="28"/>
  <c r="T33" i="28" s="1"/>
  <c r="AN33" i="28"/>
  <c r="AL33" i="28" s="1"/>
  <c r="K34" i="28"/>
  <c r="S35" i="28"/>
  <c r="T35" i="28" s="1"/>
  <c r="AG35" i="28"/>
  <c r="Q36" i="28"/>
  <c r="AL36" i="28"/>
  <c r="AC37" i="28"/>
  <c r="AD37" i="28" s="1"/>
  <c r="AQ37" i="28"/>
  <c r="AS37" i="28" s="1"/>
  <c r="AG38" i="28"/>
  <c r="AQ38" i="28"/>
  <c r="AS38" i="28" s="1"/>
  <c r="K44" i="28"/>
  <c r="AC10" i="28"/>
  <c r="AD10" i="28" s="1"/>
  <c r="AC18" i="28"/>
  <c r="AD18" i="28" s="1"/>
  <c r="W9" i="15"/>
  <c r="W20" i="15"/>
  <c r="W26" i="15"/>
  <c r="G16" i="20"/>
  <c r="AC27" i="11"/>
  <c r="AC28" i="11"/>
  <c r="AC31" i="11"/>
  <c r="AC33" i="11"/>
  <c r="AC38" i="11"/>
  <c r="L8" i="28"/>
  <c r="AQ9" i="28"/>
  <c r="AS9" i="28" s="1"/>
  <c r="S12" i="28"/>
  <c r="T12" i="28" s="1"/>
  <c r="AL12" i="28"/>
  <c r="AG17" i="28"/>
  <c r="AQ17" i="28"/>
  <c r="AS17" i="28" s="1"/>
  <c r="AG18" i="28"/>
  <c r="AQ18" i="28"/>
  <c r="AS18" i="28" s="1"/>
  <c r="AQ19" i="28"/>
  <c r="AS19" i="28" s="1"/>
  <c r="W20" i="28"/>
  <c r="L22" i="28"/>
  <c r="AG25" i="28"/>
  <c r="W26" i="28"/>
  <c r="AQ26" i="28"/>
  <c r="AS26" i="28" s="1"/>
  <c r="AM27" i="28"/>
  <c r="AL27" i="28" s="1"/>
  <c r="S28" i="28"/>
  <c r="T28" i="28" s="1"/>
  <c r="AM29" i="28"/>
  <c r="AL29" i="28" s="1"/>
  <c r="S30" i="28"/>
  <c r="T30" i="28" s="1"/>
  <c r="AG31" i="28"/>
  <c r="AM31" i="28"/>
  <c r="AL31" i="28" s="1"/>
  <c r="W33" i="28"/>
  <c r="AC33" i="28"/>
  <c r="AD33" i="28" s="1"/>
  <c r="L34" i="28"/>
  <c r="S36" i="28"/>
  <c r="T36" i="28" s="1"/>
  <c r="AE39" i="28"/>
  <c r="L44" i="28"/>
  <c r="W29" i="15"/>
  <c r="W30" i="15"/>
  <c r="F29" i="20"/>
  <c r="AC17" i="11"/>
  <c r="AC20" i="11"/>
  <c r="AC30" i="11"/>
  <c r="W9" i="28"/>
  <c r="S10" i="28"/>
  <c r="T10" i="28" s="1"/>
  <c r="AG13" i="28"/>
  <c r="S15" i="28"/>
  <c r="T15" i="28" s="1"/>
  <c r="S18" i="28"/>
  <c r="T18" i="28" s="1"/>
  <c r="AL21" i="28"/>
  <c r="W28" i="28"/>
  <c r="AC28" i="28"/>
  <c r="AD28" i="28" s="1"/>
  <c r="AL28" i="28"/>
  <c r="W30" i="28"/>
  <c r="AL34" i="28"/>
  <c r="W35" i="28"/>
  <c r="AC36" i="28"/>
  <c r="AD36" i="28" s="1"/>
  <c r="AQ36" i="28"/>
  <c r="AS36" i="28" s="1"/>
  <c r="AG37" i="28"/>
  <c r="AC38" i="28"/>
  <c r="AD38" i="28" s="1"/>
  <c r="AN38" i="28"/>
  <c r="AL38" i="28" s="1"/>
  <c r="AB54" i="37"/>
  <c r="AF54" i="37" s="1"/>
  <c r="AC23" i="11"/>
  <c r="W13" i="15"/>
  <c r="W39" i="11"/>
  <c r="AH39" i="11"/>
  <c r="AA39" i="11" s="1"/>
  <c r="AA8" i="11"/>
  <c r="Z25" i="11"/>
  <c r="K8" i="20"/>
  <c r="L8" i="20" s="1"/>
  <c r="AI39" i="11"/>
  <c r="AB39" i="11" s="1"/>
  <c r="AB8" i="11"/>
  <c r="AC35" i="11"/>
  <c r="U39" i="15"/>
  <c r="W8" i="15"/>
  <c r="W39" i="15" s="1"/>
  <c r="AT66" i="15"/>
  <c r="G29" i="20"/>
  <c r="K22" i="20"/>
  <c r="L22" i="20" s="1"/>
  <c r="Z16" i="11"/>
  <c r="Q39" i="11"/>
  <c r="AC8" i="11"/>
  <c r="AC24" i="11"/>
  <c r="AG16" i="28"/>
  <c r="S29" i="28"/>
  <c r="T29" i="28" s="1"/>
  <c r="Q29" i="28"/>
  <c r="AN32" i="28"/>
  <c r="AL32" i="28" s="1"/>
  <c r="AQ32" i="28"/>
  <c r="AS32" i="28" s="1"/>
  <c r="AN35" i="28"/>
  <c r="AL35" i="28" s="1"/>
  <c r="AQ35" i="28"/>
  <c r="AC11" i="28"/>
  <c r="AD11" i="28" s="1"/>
  <c r="S11" i="28"/>
  <c r="T11" i="28" s="1"/>
  <c r="Q11" i="28"/>
  <c r="K12" i="28"/>
  <c r="AC12" i="28"/>
  <c r="AD12" i="28" s="1"/>
  <c r="AN13" i="28"/>
  <c r="AL13" i="28" s="1"/>
  <c r="Q16" i="28"/>
  <c r="AC17" i="28"/>
  <c r="AD17" i="28" s="1"/>
  <c r="L17" i="28"/>
  <c r="AG30" i="28"/>
  <c r="L30" i="28"/>
  <c r="K30" i="28"/>
  <c r="AC30" i="28"/>
  <c r="AD30" i="28" s="1"/>
  <c r="L12" i="28"/>
  <c r="AQ12" i="28"/>
  <c r="AC16" i="28"/>
  <c r="AD16" i="28" s="1"/>
  <c r="K17" i="28"/>
  <c r="L18" i="28"/>
  <c r="K18" i="28"/>
  <c r="AL22" i="28"/>
  <c r="AG29" i="28"/>
  <c r="D44" i="28" s="1"/>
  <c r="Z44" i="11"/>
  <c r="AH46" i="11" s="1"/>
  <c r="AE45" i="11"/>
  <c r="AD45" i="11"/>
  <c r="AQ15" i="28"/>
  <c r="AN15" i="28"/>
  <c r="AL15" i="28" s="1"/>
  <c r="S16" i="28"/>
  <c r="T16" i="28" s="1"/>
  <c r="S17" i="28"/>
  <c r="T17" i="28" s="1"/>
  <c r="Q17" i="28"/>
  <c r="AQ39" i="28"/>
  <c r="AC36" i="11"/>
  <c r="Z36" i="11"/>
  <c r="AC37" i="11"/>
  <c r="P39" i="28"/>
  <c r="AA39" i="28"/>
  <c r="AG8" i="28"/>
  <c r="AQ8" i="28"/>
  <c r="AG9" i="28"/>
  <c r="AQ22" i="28"/>
  <c r="AU65" i="28"/>
  <c r="AU64" i="28"/>
  <c r="AQ28" i="28"/>
  <c r="L45" i="28"/>
  <c r="K45" i="28"/>
  <c r="Z33" i="11"/>
  <c r="P39" i="11"/>
  <c r="T39" i="11"/>
  <c r="AG16" i="11"/>
  <c r="AC16" i="11" s="1"/>
  <c r="AC34" i="11"/>
  <c r="AH47" i="11"/>
  <c r="H24" i="25"/>
  <c r="Q8" i="28"/>
  <c r="AC9" i="28"/>
  <c r="AD9" i="28" s="1"/>
  <c r="L9" i="28"/>
  <c r="AG10" i="28"/>
  <c r="AQ10" i="28"/>
  <c r="W17" i="28"/>
  <c r="AC19" i="28"/>
  <c r="AD19" i="28" s="1"/>
  <c r="S19" i="28"/>
  <c r="T19" i="28" s="1"/>
  <c r="Q19" i="28"/>
  <c r="K20" i="28"/>
  <c r="AC20" i="28"/>
  <c r="AD20" i="28" s="1"/>
  <c r="X29" i="28"/>
  <c r="AL30" i="28"/>
  <c r="AC8" i="28"/>
  <c r="AD8" i="28" s="1"/>
  <c r="K9" i="28"/>
  <c r="L10" i="28"/>
  <c r="K10" i="28"/>
  <c r="X11" i="28"/>
  <c r="AL25" i="28"/>
  <c r="S9" i="28"/>
  <c r="T9" i="28" s="1"/>
  <c r="Q9" i="28"/>
  <c r="AG12" i="28"/>
  <c r="X17" i="28"/>
  <c r="AL24" i="28"/>
  <c r="T27" i="28"/>
  <c r="X13" i="28"/>
  <c r="X21" i="28"/>
  <c r="AC22" i="28"/>
  <c r="AD22" i="28" s="1"/>
  <c r="AC25" i="28"/>
  <c r="AD25" i="28" s="1"/>
  <c r="X26" i="28"/>
  <c r="X31" i="28"/>
  <c r="AC32" i="28"/>
  <c r="AD32" i="28" s="1"/>
  <c r="AC35" i="28"/>
  <c r="AD35" i="28" s="1"/>
  <c r="AN37" i="28"/>
  <c r="AL37" i="28" s="1"/>
  <c r="L42" i="28"/>
  <c r="X34" i="28"/>
  <c r="U8" i="37"/>
  <c r="X39" i="11"/>
  <c r="N45" i="11" s="1"/>
  <c r="AN8" i="28"/>
  <c r="AM11" i="28"/>
  <c r="AL11" i="28" s="1"/>
  <c r="AC13" i="28"/>
  <c r="AD13" i="28" s="1"/>
  <c r="X14" i="28"/>
  <c r="AN16" i="28"/>
  <c r="AL16" i="28" s="1"/>
  <c r="AM19" i="28"/>
  <c r="AL19" i="28" s="1"/>
  <c r="AC21" i="28"/>
  <c r="AD21" i="28" s="1"/>
  <c r="AC24" i="28"/>
  <c r="AD24" i="28" s="1"/>
  <c r="AC26" i="28"/>
  <c r="AD26" i="28" s="1"/>
  <c r="X27" i="28"/>
  <c r="S31" i="28"/>
  <c r="Q34" i="28"/>
  <c r="K35" i="28"/>
  <c r="K43" i="28"/>
  <c r="T26" i="28"/>
  <c r="Q27" i="28"/>
  <c r="Q32" i="28"/>
  <c r="X12" i="28"/>
  <c r="X20" i="28"/>
  <c r="AC23" i="28"/>
  <c r="AD23" i="28" s="1"/>
  <c r="AC29" i="28"/>
  <c r="X30" i="28"/>
  <c r="AC34" i="28"/>
  <c r="AD34" i="28" s="1"/>
  <c r="X35" i="28"/>
  <c r="AB39" i="28"/>
  <c r="P45" i="28" s="1"/>
  <c r="K13" i="28"/>
  <c r="AC14" i="28"/>
  <c r="AD14" i="28" s="1"/>
  <c r="K21" i="28"/>
  <c r="K23" i="28"/>
  <c r="K26" i="28"/>
  <c r="AC27" i="28"/>
  <c r="AD27" i="28" s="1"/>
  <c r="K31" i="28"/>
  <c r="L36" i="28"/>
  <c r="T9" i="37"/>
  <c r="T27" i="37"/>
  <c r="T32" i="37"/>
  <c r="T30" i="37"/>
  <c r="T19" i="37"/>
  <c r="D18" i="15"/>
  <c r="AL18" i="15" s="1"/>
  <c r="U12" i="37"/>
  <c r="AO9" i="37"/>
  <c r="AP9" i="37" s="1"/>
  <c r="AP9" i="15"/>
  <c r="AQ9" i="15" s="1"/>
  <c r="AP10" i="15"/>
  <c r="AQ10" i="15" s="1"/>
  <c r="T37" i="37"/>
  <c r="U18" i="37"/>
  <c r="T18" i="37"/>
  <c r="AP26" i="15"/>
  <c r="AQ26" i="15" s="1"/>
  <c r="AP24" i="15"/>
  <c r="AQ24" i="15" s="1"/>
  <c r="N36" i="37"/>
  <c r="D36" i="15"/>
  <c r="AD36" i="15" s="1"/>
  <c r="AP35" i="15"/>
  <c r="AQ35" i="15" s="1"/>
  <c r="M33" i="37"/>
  <c r="D33" i="15"/>
  <c r="AL33" i="15" s="1"/>
  <c r="U23" i="37"/>
  <c r="AP31" i="15"/>
  <c r="N31" i="37"/>
  <c r="D31" i="15"/>
  <c r="AL31" i="15" s="1"/>
  <c r="U30" i="37"/>
  <c r="U29" i="37"/>
  <c r="AP29" i="15"/>
  <c r="AQ29" i="15" s="1"/>
  <c r="M27" i="37"/>
  <c r="D27" i="15"/>
  <c r="AL27" i="15" s="1"/>
  <c r="D26" i="15"/>
  <c r="AL26" i="15" s="1"/>
  <c r="R39" i="15"/>
  <c r="R39" i="28"/>
  <c r="T25" i="37"/>
  <c r="AO22" i="37"/>
  <c r="AP22" i="37" s="1"/>
  <c r="T20" i="37"/>
  <c r="T15" i="37"/>
  <c r="AP28" i="15"/>
  <c r="AP34" i="15"/>
  <c r="AQ34" i="15" s="1"/>
  <c r="AP25" i="15"/>
  <c r="AQ25" i="15" s="1"/>
  <c r="AP14" i="15"/>
  <c r="AP15" i="15"/>
  <c r="AP11" i="15"/>
  <c r="AQ11" i="15" s="1"/>
  <c r="AP12" i="15"/>
  <c r="AP20" i="15"/>
  <c r="AP8" i="15"/>
  <c r="AQ8" i="15" s="1"/>
  <c r="AP21" i="15"/>
  <c r="AQ21" i="15" s="1"/>
  <c r="AO14" i="37"/>
  <c r="AP14" i="37" s="1"/>
  <c r="T22" i="37"/>
  <c r="AO11" i="37"/>
  <c r="AP11" i="37" s="1"/>
  <c r="AO15" i="37"/>
  <c r="AP15" i="37" s="1"/>
  <c r="AO16" i="37"/>
  <c r="AP16" i="37" s="1"/>
  <c r="AO17" i="37"/>
  <c r="AP17" i="37" s="1"/>
  <c r="AO34" i="37"/>
  <c r="AP34" i="37" s="1"/>
  <c r="AO27" i="37"/>
  <c r="AP27" i="37" s="1"/>
  <c r="T12" i="37"/>
  <c r="AO13" i="37"/>
  <c r="AP13" i="37" s="1"/>
  <c r="U14" i="37"/>
  <c r="AO18" i="37"/>
  <c r="AP18" i="37" s="1"/>
  <c r="AO20" i="37"/>
  <c r="AP20" i="37" s="1"/>
  <c r="AO23" i="37"/>
  <c r="AP23" i="37" s="1"/>
  <c r="AO25" i="37"/>
  <c r="AP25" i="37" s="1"/>
  <c r="U26" i="37"/>
  <c r="AO26" i="37"/>
  <c r="AP26" i="37" s="1"/>
  <c r="U28" i="37"/>
  <c r="AA26" i="37"/>
  <c r="U24" i="37"/>
  <c r="AO24" i="37"/>
  <c r="AP24" i="37" s="1"/>
  <c r="AJ26" i="37"/>
  <c r="AL20" i="37"/>
  <c r="AJ20" i="37" s="1"/>
  <c r="T29" i="37"/>
  <c r="AO29" i="37"/>
  <c r="AP29" i="37" s="1"/>
  <c r="T11" i="37"/>
  <c r="T13" i="37"/>
  <c r="AO19" i="37"/>
  <c r="AP19" i="37" s="1"/>
  <c r="U20" i="37"/>
  <c r="T8" i="37"/>
  <c r="AO8" i="37"/>
  <c r="AP8" i="37" s="1"/>
  <c r="AO12" i="37"/>
  <c r="AP12" i="37" s="1"/>
  <c r="U15" i="37"/>
  <c r="AO21" i="37"/>
  <c r="AP21" i="37" s="1"/>
  <c r="AL25" i="37"/>
  <c r="AJ25" i="37" s="1"/>
  <c r="AO28" i="37"/>
  <c r="AP28" i="37" s="1"/>
  <c r="AO30" i="37"/>
  <c r="AP30" i="37" s="1"/>
  <c r="AO10" i="37"/>
  <c r="AP10" i="37" s="1"/>
  <c r="U9" i="37"/>
  <c r="Q13" i="15"/>
  <c r="S13" i="15"/>
  <c r="S12" i="15"/>
  <c r="Q12" i="15"/>
  <c r="Q14" i="15"/>
  <c r="S14" i="15"/>
  <c r="Q18" i="15"/>
  <c r="S18" i="15"/>
  <c r="Q19" i="15"/>
  <c r="S19" i="15"/>
  <c r="AP22" i="15"/>
  <c r="AQ22" i="15" s="1"/>
  <c r="AP33" i="15"/>
  <c r="AP27" i="15"/>
  <c r="AQ27" i="15" s="1"/>
  <c r="Q15" i="15"/>
  <c r="S15" i="15"/>
  <c r="Q16" i="15"/>
  <c r="S16" i="15"/>
  <c r="AP17" i="15"/>
  <c r="AP19" i="15"/>
  <c r="AP23" i="15"/>
  <c r="AQ23" i="15" s="1"/>
  <c r="AP30" i="15"/>
  <c r="AP39" i="15"/>
  <c r="AO16" i="15"/>
  <c r="AP16" i="15" s="1"/>
  <c r="AM33" i="15"/>
  <c r="Q9" i="15"/>
  <c r="Q10" i="15"/>
  <c r="Q11" i="15"/>
  <c r="AO13" i="15"/>
  <c r="AP13" i="15" s="1"/>
  <c r="P17" i="15"/>
  <c r="AO18" i="15"/>
  <c r="AP18" i="15" s="1"/>
  <c r="P20" i="15"/>
  <c r="Q21" i="15"/>
  <c r="P23" i="15"/>
  <c r="Q23" i="15" s="1"/>
  <c r="Q26" i="15"/>
  <c r="Q27" i="15"/>
  <c r="P28" i="15"/>
  <c r="Q29" i="15"/>
  <c r="AM31" i="15"/>
  <c r="P33" i="15"/>
  <c r="Q34" i="15"/>
  <c r="AL35" i="15"/>
  <c r="Q35" i="15"/>
  <c r="AE37" i="15"/>
  <c r="K43" i="15"/>
  <c r="Q8" i="15"/>
  <c r="AM14" i="15"/>
  <c r="P25" i="15"/>
  <c r="Q25" i="15" s="1"/>
  <c r="P30" i="15"/>
  <c r="P31" i="15"/>
  <c r="P39" i="15"/>
  <c r="M43" i="15"/>
  <c r="AD32" i="15"/>
  <c r="AE34" i="15"/>
  <c r="AM35" i="15"/>
  <c r="AD37" i="15"/>
  <c r="AJ18" i="37"/>
  <c r="AL10" i="37"/>
  <c r="AL16" i="37"/>
  <c r="U16" i="37"/>
  <c r="AL17" i="37"/>
  <c r="AJ17" i="37" s="1"/>
  <c r="U17" i="37"/>
  <c r="U19" i="37"/>
  <c r="AL21" i="37"/>
  <c r="U21" i="37"/>
  <c r="U27" i="37"/>
  <c r="AL27" i="37"/>
  <c r="AJ27" i="37" s="1"/>
  <c r="U33" i="37"/>
  <c r="T33" i="37"/>
  <c r="T23" i="37"/>
  <c r="U37" i="37"/>
  <c r="S39" i="37"/>
  <c r="F43" i="37" s="1"/>
  <c r="T44" i="37" s="1"/>
  <c r="AL11" i="37"/>
  <c r="AL12" i="37"/>
  <c r="AJ12" i="37" s="1"/>
  <c r="N26" i="37"/>
  <c r="M26" i="37"/>
  <c r="N18" i="37"/>
  <c r="N27" i="37"/>
  <c r="AA27" i="37"/>
  <c r="AB27" i="37" s="1"/>
  <c r="AA18" i="37"/>
  <c r="M18" i="37"/>
  <c r="AK28" i="37"/>
  <c r="AJ28" i="37" s="1"/>
  <c r="L28" i="37"/>
  <c r="D28" i="15" s="1"/>
  <c r="AL28" i="15" s="1"/>
  <c r="AE18" i="15"/>
  <c r="N37" i="37"/>
  <c r="AQ37" i="37"/>
  <c r="J37" i="15"/>
  <c r="AA37" i="37"/>
  <c r="M37" i="37"/>
  <c r="AE37" i="37"/>
  <c r="AO36" i="37"/>
  <c r="AP36" i="37" s="1"/>
  <c r="AA36" i="37"/>
  <c r="T36" i="37"/>
  <c r="AE36" i="37"/>
  <c r="AK36" i="37"/>
  <c r="AJ36" i="37" s="1"/>
  <c r="M36" i="37"/>
  <c r="AS68" i="37"/>
  <c r="AM19" i="15"/>
  <c r="J35" i="15"/>
  <c r="AD35" i="15"/>
  <c r="AE35" i="15"/>
  <c r="AM10" i="15"/>
  <c r="AM17" i="15"/>
  <c r="AM34" i="15"/>
  <c r="Z19" i="15"/>
  <c r="T34" i="37"/>
  <c r="AL30" i="37"/>
  <c r="AE31" i="15"/>
  <c r="AE33" i="15"/>
  <c r="AO33" i="37"/>
  <c r="AP33" i="37" s="1"/>
  <c r="AK33" i="37"/>
  <c r="AJ33" i="37" s="1"/>
  <c r="N33" i="37"/>
  <c r="AA33" i="37"/>
  <c r="AK29" i="37"/>
  <c r="AK30" i="37"/>
  <c r="J32" i="15"/>
  <c r="Z20" i="15"/>
  <c r="AJ20" i="15" s="1"/>
  <c r="AM24" i="15"/>
  <c r="U32" i="37"/>
  <c r="M32" i="37"/>
  <c r="AM11" i="15"/>
  <c r="AM25" i="15"/>
  <c r="AM12" i="15"/>
  <c r="AN39" i="37"/>
  <c r="AM39" i="37"/>
  <c r="N32" i="37"/>
  <c r="AJ24" i="37"/>
  <c r="AA32" i="37"/>
  <c r="Z27" i="15"/>
  <c r="AM21" i="15"/>
  <c r="AE13" i="15"/>
  <c r="Z24" i="15"/>
  <c r="L12" i="37"/>
  <c r="AO31" i="37"/>
  <c r="AP31" i="37" s="1"/>
  <c r="T31" i="37"/>
  <c r="AK31" i="37"/>
  <c r="AJ31" i="37" s="1"/>
  <c r="M31" i="37"/>
  <c r="AA31" i="37"/>
  <c r="AK21" i="37"/>
  <c r="Z16" i="15"/>
  <c r="AJ16" i="15" s="1"/>
  <c r="AM23" i="15"/>
  <c r="AM26" i="15"/>
  <c r="L23" i="37"/>
  <c r="AM9" i="15"/>
  <c r="AM8" i="15"/>
  <c r="AM15" i="15"/>
  <c r="AM22" i="15"/>
  <c r="L9" i="37"/>
  <c r="L14" i="37"/>
  <c r="AE14" i="15"/>
  <c r="AJ14" i="37"/>
  <c r="AK11" i="37"/>
  <c r="L11" i="37"/>
  <c r="N11" i="37" s="1"/>
  <c r="AJ23" i="37"/>
  <c r="L24" i="37"/>
  <c r="N24" i="37" s="1"/>
  <c r="L20" i="37"/>
  <c r="L29" i="37"/>
  <c r="Z14" i="15"/>
  <c r="AJ14" i="15" s="1"/>
  <c r="Z18" i="15"/>
  <c r="AE27" i="15"/>
  <c r="AJ9" i="37"/>
  <c r="AK13" i="37"/>
  <c r="AJ13" i="37" s="1"/>
  <c r="L13" i="37"/>
  <c r="M42" i="37"/>
  <c r="L16" i="37"/>
  <c r="N16" i="37" s="1"/>
  <c r="L17" i="37"/>
  <c r="L8" i="37"/>
  <c r="AK8" i="37"/>
  <c r="L15" i="37"/>
  <c r="AK15" i="37"/>
  <c r="AJ15" i="37" s="1"/>
  <c r="AK19" i="37"/>
  <c r="AJ19" i="37" s="1"/>
  <c r="L19" i="37"/>
  <c r="L22" i="37"/>
  <c r="AL22" i="37"/>
  <c r="AJ22" i="37" s="1"/>
  <c r="AK10" i="37"/>
  <c r="L10" i="37"/>
  <c r="AL29" i="37"/>
  <c r="L25" i="37"/>
  <c r="D25" i="15" s="1"/>
  <c r="AL25" i="15" s="1"/>
  <c r="Z8" i="15"/>
  <c r="AM27" i="15"/>
  <c r="Z28" i="15"/>
  <c r="Z9" i="15"/>
  <c r="Z11" i="15"/>
  <c r="Z13" i="15"/>
  <c r="Z21" i="15"/>
  <c r="Z23" i="15"/>
  <c r="Z25" i="15"/>
  <c r="AK16" i="37"/>
  <c r="AR14" i="28" l="1"/>
  <c r="AR31" i="28"/>
  <c r="AR30" i="28"/>
  <c r="AC61" i="37"/>
  <c r="AR33" i="28"/>
  <c r="AS33" i="28"/>
  <c r="AR21" i="28"/>
  <c r="AR29" i="28"/>
  <c r="D30" i="15"/>
  <c r="N30" i="37"/>
  <c r="AR13" i="28"/>
  <c r="D10" i="15"/>
  <c r="AD10" i="15" s="1"/>
  <c r="N10" i="37"/>
  <c r="P30" i="37"/>
  <c r="P31" i="37" s="1"/>
  <c r="P32" i="37" s="1"/>
  <c r="P33" i="37" s="1"/>
  <c r="P34" i="37" s="1"/>
  <c r="P35" i="37" s="1"/>
  <c r="P36" i="37" s="1"/>
  <c r="P37" i="37" s="1"/>
  <c r="P38" i="37" s="1"/>
  <c r="AR20" i="28"/>
  <c r="D42" i="28"/>
  <c r="Q43" i="28" s="1"/>
  <c r="P45" i="11"/>
  <c r="AR26" i="28"/>
  <c r="AC39" i="28"/>
  <c r="AD39" i="28" s="1"/>
  <c r="AR27" i="28"/>
  <c r="T31" i="28"/>
  <c r="AR24" i="28"/>
  <c r="AR18" i="28"/>
  <c r="AR34" i="28"/>
  <c r="X39" i="28"/>
  <c r="L39" i="28"/>
  <c r="AS23" i="28"/>
  <c r="AR23" i="28"/>
  <c r="AR9" i="28"/>
  <c r="AR25" i="28"/>
  <c r="AR36" i="28"/>
  <c r="AR11" i="28"/>
  <c r="AQ18" i="37"/>
  <c r="AK39" i="37"/>
  <c r="AD18" i="15"/>
  <c r="AS10" i="28"/>
  <c r="AR10" i="28"/>
  <c r="S39" i="28"/>
  <c r="T39" i="28" s="1"/>
  <c r="Q39" i="28"/>
  <c r="D43" i="28"/>
  <c r="AS35" i="28"/>
  <c r="AR35" i="28"/>
  <c r="AN39" i="28"/>
  <c r="AS22" i="28"/>
  <c r="AR22" i="28"/>
  <c r="J18" i="15"/>
  <c r="K18" i="15" s="1"/>
  <c r="AS15" i="28"/>
  <c r="AR15" i="28"/>
  <c r="AR16" i="28"/>
  <c r="AG39" i="11"/>
  <c r="AC39" i="11" s="1"/>
  <c r="D45" i="11" s="1"/>
  <c r="P46" i="11" s="1"/>
  <c r="Z39" i="11"/>
  <c r="AL8" i="28"/>
  <c r="AL39" i="28" s="1"/>
  <c r="AQ27" i="37"/>
  <c r="AD29" i="28"/>
  <c r="D46" i="28"/>
  <c r="AR8" i="28"/>
  <c r="AS8" i="28"/>
  <c r="AR19" i="28"/>
  <c r="AR12" i="28"/>
  <c r="AS12" i="28"/>
  <c r="AR17" i="28"/>
  <c r="AM39" i="28"/>
  <c r="AS39" i="28"/>
  <c r="AE44" i="11"/>
  <c r="Z46" i="11"/>
  <c r="AD44" i="11"/>
  <c r="AS28" i="28"/>
  <c r="AR28" i="28"/>
  <c r="AG39" i="28"/>
  <c r="D45" i="28" s="1"/>
  <c r="Q46" i="28" s="1"/>
  <c r="U39" i="37"/>
  <c r="AQ26" i="37"/>
  <c r="AQ18" i="15"/>
  <c r="D17" i="15"/>
  <c r="AL17" i="15" s="1"/>
  <c r="AK17" i="15" s="1"/>
  <c r="D15" i="15"/>
  <c r="AD15" i="15" s="1"/>
  <c r="AQ12" i="15"/>
  <c r="AQ15" i="15"/>
  <c r="AD33" i="15"/>
  <c r="AQ13" i="15"/>
  <c r="J36" i="15"/>
  <c r="L36" i="15" s="1"/>
  <c r="J33" i="15"/>
  <c r="AB33" i="15" s="1"/>
  <c r="AC33" i="15" s="1"/>
  <c r="AD31" i="15"/>
  <c r="AK33" i="15"/>
  <c r="J31" i="15"/>
  <c r="AR31" i="15" s="1"/>
  <c r="AA29" i="37"/>
  <c r="D29" i="15"/>
  <c r="AD28" i="15"/>
  <c r="J25" i="15"/>
  <c r="AB25" i="15" s="1"/>
  <c r="AC25" i="15" s="1"/>
  <c r="D24" i="15"/>
  <c r="AL24" i="15" s="1"/>
  <c r="AK24" i="15" s="1"/>
  <c r="AQ23" i="37"/>
  <c r="D23" i="15"/>
  <c r="J23" i="15" s="1"/>
  <c r="AF23" i="15" s="1"/>
  <c r="D22" i="15"/>
  <c r="J22" i="15" s="1"/>
  <c r="AJ21" i="37"/>
  <c r="D21" i="15"/>
  <c r="J21" i="15" s="1"/>
  <c r="K21" i="15" s="1"/>
  <c r="AQ20" i="37"/>
  <c r="D20" i="15"/>
  <c r="AL20" i="15" s="1"/>
  <c r="D19" i="15"/>
  <c r="AL19" i="15" s="1"/>
  <c r="AK19" i="15" s="1"/>
  <c r="AB18" i="37"/>
  <c r="AA16" i="37"/>
  <c r="D16" i="15"/>
  <c r="AL16" i="15" s="1"/>
  <c r="AM16" i="15"/>
  <c r="D8" i="15"/>
  <c r="AL8" i="15" s="1"/>
  <c r="AK8" i="15" s="1"/>
  <c r="AQ14" i="37"/>
  <c r="D14" i="15"/>
  <c r="J14" i="15" s="1"/>
  <c r="AB14" i="15" s="1"/>
  <c r="AC14" i="15" s="1"/>
  <c r="AQ14" i="15"/>
  <c r="M9" i="37"/>
  <c r="D9" i="15"/>
  <c r="AL9" i="15" s="1"/>
  <c r="AK9" i="15" s="1"/>
  <c r="M12" i="37"/>
  <c r="D12" i="15"/>
  <c r="J12" i="15" s="1"/>
  <c r="AR12" i="15" s="1"/>
  <c r="D13" i="15"/>
  <c r="AL13" i="15" s="1"/>
  <c r="D11" i="15"/>
  <c r="AK31" i="15"/>
  <c r="AK25" i="15"/>
  <c r="AK35" i="15"/>
  <c r="AJ29" i="37"/>
  <c r="AJ30" i="37"/>
  <c r="AQ12" i="37"/>
  <c r="AJ11" i="37"/>
  <c r="AQ21" i="37"/>
  <c r="N12" i="37"/>
  <c r="AA12" i="37"/>
  <c r="AQ36" i="37"/>
  <c r="Z15" i="15"/>
  <c r="Q28" i="15"/>
  <c r="S28" i="15"/>
  <c r="AQ28" i="15" s="1"/>
  <c r="Q17" i="15"/>
  <c r="S17" i="15"/>
  <c r="AQ17" i="15" s="1"/>
  <c r="AQ16" i="15"/>
  <c r="Q31" i="15"/>
  <c r="S31" i="15"/>
  <c r="AQ31" i="15" s="1"/>
  <c r="Q33" i="15"/>
  <c r="S33" i="15"/>
  <c r="AQ33" i="15" s="1"/>
  <c r="Q20" i="15"/>
  <c r="S20" i="15"/>
  <c r="AQ20" i="15" s="1"/>
  <c r="AM13" i="15"/>
  <c r="D42" i="15"/>
  <c r="Q39" i="15"/>
  <c r="S39" i="15"/>
  <c r="AQ39" i="15" s="1"/>
  <c r="Q30" i="15"/>
  <c r="S30" i="15"/>
  <c r="AQ30" i="15" s="1"/>
  <c r="AE17" i="15"/>
  <c r="AM18" i="15"/>
  <c r="AK18" i="15" s="1"/>
  <c r="AQ19" i="15"/>
  <c r="AA39" i="15"/>
  <c r="P44" i="15" s="1"/>
  <c r="AJ10" i="37"/>
  <c r="AQ33" i="37"/>
  <c r="L38" i="15"/>
  <c r="AJ8" i="37"/>
  <c r="AB37" i="37"/>
  <c r="AF37" i="15"/>
  <c r="AB37" i="15"/>
  <c r="AC37" i="15" s="1"/>
  <c r="L37" i="15"/>
  <c r="AD25" i="15"/>
  <c r="AB36" i="37"/>
  <c r="AE19" i="15"/>
  <c r="AK27" i="15"/>
  <c r="M14" i="37"/>
  <c r="N14" i="37"/>
  <c r="AR35" i="15"/>
  <c r="AF35" i="15"/>
  <c r="AB35" i="15"/>
  <c r="AC35" i="15" s="1"/>
  <c r="T35" i="15"/>
  <c r="L35" i="15"/>
  <c r="K35" i="15"/>
  <c r="AA14" i="37"/>
  <c r="AA11" i="37"/>
  <c r="AQ9" i="37"/>
  <c r="AE25" i="15"/>
  <c r="Z22" i="15"/>
  <c r="AJ22" i="15" s="1"/>
  <c r="AE24" i="15"/>
  <c r="AQ29" i="37"/>
  <c r="AE11" i="15"/>
  <c r="Z17" i="15"/>
  <c r="AJ17" i="15" s="1"/>
  <c r="L32" i="15"/>
  <c r="K32" i="15"/>
  <c r="AF32" i="15"/>
  <c r="AB32" i="15"/>
  <c r="AC32" i="15" s="1"/>
  <c r="AB45" i="37"/>
  <c r="AF45" i="37" s="1"/>
  <c r="AO39" i="37"/>
  <c r="AP39" i="37" s="1"/>
  <c r="AJ18" i="15"/>
  <c r="AQ16" i="37"/>
  <c r="Z12" i="15"/>
  <c r="AJ12" i="15" s="1"/>
  <c r="AG54" i="37"/>
  <c r="AA23" i="37"/>
  <c r="Z10" i="15"/>
  <c r="AJ10" i="15" s="1"/>
  <c r="N20" i="37"/>
  <c r="AA24" i="37"/>
  <c r="AA9" i="37"/>
  <c r="M16" i="37"/>
  <c r="AE16" i="15"/>
  <c r="N9" i="37"/>
  <c r="AE21" i="15"/>
  <c r="AA21" i="37"/>
  <c r="AE23" i="15"/>
  <c r="M29" i="37"/>
  <c r="AD27" i="15"/>
  <c r="N29" i="37"/>
  <c r="AE12" i="15"/>
  <c r="AE10" i="15"/>
  <c r="AE22" i="15"/>
  <c r="AK26" i="15"/>
  <c r="AE8" i="15"/>
  <c r="AB31" i="37"/>
  <c r="AQ31" i="37"/>
  <c r="T39" i="37"/>
  <c r="J27" i="15"/>
  <c r="AF27" i="15" s="1"/>
  <c r="AE26" i="15"/>
  <c r="AE15" i="15"/>
  <c r="J26" i="15"/>
  <c r="AE20" i="15"/>
  <c r="AM20" i="15"/>
  <c r="AE9" i="15"/>
  <c r="N23" i="37"/>
  <c r="M23" i="37"/>
  <c r="M11" i="37"/>
  <c r="AQ11" i="37"/>
  <c r="AA20" i="37"/>
  <c r="M20" i="37"/>
  <c r="AQ24" i="37"/>
  <c r="M24" i="37"/>
  <c r="AJ28" i="15"/>
  <c r="AA25" i="37"/>
  <c r="AQ25" i="37"/>
  <c r="N25" i="37"/>
  <c r="M25" i="37"/>
  <c r="AQ15" i="37"/>
  <c r="M15" i="37"/>
  <c r="AA15" i="37"/>
  <c r="N15" i="37"/>
  <c r="AQ17" i="37"/>
  <c r="M17" i="37"/>
  <c r="N17" i="37"/>
  <c r="AA17" i="37"/>
  <c r="AA13" i="37"/>
  <c r="N13" i="37"/>
  <c r="AQ13" i="37"/>
  <c r="M13" i="37"/>
  <c r="J28" i="15"/>
  <c r="AF28" i="15" s="1"/>
  <c r="D43" i="15" s="1"/>
  <c r="AM28" i="15"/>
  <c r="AK28" i="15" s="1"/>
  <c r="M10" i="37"/>
  <c r="AA10" i="37"/>
  <c r="AQ10" i="37"/>
  <c r="AQ22" i="37"/>
  <c r="N22" i="37"/>
  <c r="M22" i="37"/>
  <c r="AA22" i="37"/>
  <c r="M8" i="37"/>
  <c r="AA8" i="37"/>
  <c r="N8" i="37"/>
  <c r="AQ8" i="37"/>
  <c r="AJ27" i="15"/>
  <c r="AQ19" i="37"/>
  <c r="N19" i="37"/>
  <c r="M19" i="37"/>
  <c r="AA19" i="37"/>
  <c r="F46" i="37" s="1"/>
  <c r="M28" i="37"/>
  <c r="AA28" i="37"/>
  <c r="N28" i="37"/>
  <c r="AQ28" i="37"/>
  <c r="AE28" i="15"/>
  <c r="AD26" i="15"/>
  <c r="Z26" i="15"/>
  <c r="AQ30" i="37"/>
  <c r="AA30" i="37"/>
  <c r="M30" i="37"/>
  <c r="AJ9" i="15"/>
  <c r="AJ23" i="15"/>
  <c r="AJ19" i="15"/>
  <c r="AJ16" i="37"/>
  <c r="AJ24" i="15"/>
  <c r="AJ11" i="15"/>
  <c r="AJ8" i="15"/>
  <c r="AJ25" i="15"/>
  <c r="AJ21" i="15"/>
  <c r="AJ13" i="15"/>
  <c r="J10" i="15" l="1"/>
  <c r="AB10" i="15" s="1"/>
  <c r="AC10" i="15" s="1"/>
  <c r="AL10" i="15"/>
  <c r="AK10" i="15" s="1"/>
  <c r="AD44" i="28"/>
  <c r="AM46" i="28" s="1"/>
  <c r="AB36" i="15"/>
  <c r="AC36" i="15" s="1"/>
  <c r="D47" i="28"/>
  <c r="Q45" i="28" s="1"/>
  <c r="J8" i="15"/>
  <c r="AB8" i="15" s="1"/>
  <c r="AC8" i="15" s="1"/>
  <c r="AR39" i="28"/>
  <c r="AB24" i="37"/>
  <c r="AF18" i="15"/>
  <c r="T18" i="15"/>
  <c r="L18" i="15"/>
  <c r="AR18" i="15"/>
  <c r="AA40" i="28"/>
  <c r="AD24" i="15"/>
  <c r="J24" i="15"/>
  <c r="K24" i="15" s="1"/>
  <c r="AD9" i="15"/>
  <c r="J15" i="15"/>
  <c r="K15" i="15" s="1"/>
  <c r="J17" i="15"/>
  <c r="L17" i="15" s="1"/>
  <c r="AB18" i="15"/>
  <c r="AC18" i="15" s="1"/>
  <c r="L25" i="15"/>
  <c r="J19" i="15"/>
  <c r="AF19" i="15" s="1"/>
  <c r="AD19" i="15"/>
  <c r="AH44" i="28"/>
  <c r="AI44" i="28"/>
  <c r="AD46" i="11"/>
  <c r="AE46" i="11"/>
  <c r="Q44" i="28"/>
  <c r="AD45" i="28"/>
  <c r="AF36" i="15"/>
  <c r="K33" i="15"/>
  <c r="L33" i="15"/>
  <c r="AR33" i="15"/>
  <c r="L31" i="15"/>
  <c r="K25" i="15"/>
  <c r="AF25" i="15"/>
  <c r="AR25" i="15"/>
  <c r="AB21" i="37"/>
  <c r="AD17" i="15"/>
  <c r="AB17" i="37"/>
  <c r="AB16" i="37"/>
  <c r="AB15" i="37"/>
  <c r="AL15" i="15"/>
  <c r="AK15" i="15" s="1"/>
  <c r="L14" i="15"/>
  <c r="AB8" i="37"/>
  <c r="AD8" i="15"/>
  <c r="J9" i="15"/>
  <c r="L9" i="15" s="1"/>
  <c r="AB31" i="15"/>
  <c r="AC31" i="15" s="1"/>
  <c r="AF33" i="15"/>
  <c r="K31" i="15"/>
  <c r="AF31" i="15"/>
  <c r="T31" i="15"/>
  <c r="AB29" i="37"/>
  <c r="AB28" i="37"/>
  <c r="AB25" i="37"/>
  <c r="AB23" i="37"/>
  <c r="AL23" i="15"/>
  <c r="AK23" i="15" s="1"/>
  <c r="AD23" i="15"/>
  <c r="J20" i="15"/>
  <c r="L20" i="15" s="1"/>
  <c r="AK20" i="15"/>
  <c r="AB22" i="37"/>
  <c r="AL22" i="15"/>
  <c r="AK22" i="15" s="1"/>
  <c r="AD22" i="15"/>
  <c r="AF22" i="15"/>
  <c r="AB20" i="37"/>
  <c r="L21" i="15"/>
  <c r="AD21" i="15"/>
  <c r="AL21" i="15"/>
  <c r="AK21" i="15" s="1"/>
  <c r="AB21" i="15"/>
  <c r="AC21" i="15" s="1"/>
  <c r="AD20" i="15"/>
  <c r="AB19" i="37"/>
  <c r="J16" i="15"/>
  <c r="K16" i="15" s="1"/>
  <c r="AD16" i="15"/>
  <c r="AK16" i="15"/>
  <c r="AD14" i="15"/>
  <c r="AF14" i="15"/>
  <c r="AR14" i="15"/>
  <c r="AB14" i="37"/>
  <c r="T14" i="15"/>
  <c r="K14" i="15"/>
  <c r="AL14" i="15"/>
  <c r="AK14" i="15" s="1"/>
  <c r="AD13" i="15"/>
  <c r="J13" i="15"/>
  <c r="L13" i="15" s="1"/>
  <c r="AK13" i="15"/>
  <c r="AD12" i="15"/>
  <c r="AL12" i="15"/>
  <c r="AK12" i="15" s="1"/>
  <c r="AL11" i="15"/>
  <c r="AK11" i="15" s="1"/>
  <c r="AD11" i="15"/>
  <c r="J11" i="15"/>
  <c r="L11" i="15" s="1"/>
  <c r="AJ15" i="15"/>
  <c r="T33" i="15"/>
  <c r="AB13" i="37"/>
  <c r="AB12" i="37"/>
  <c r="AB11" i="37"/>
  <c r="AB10" i="37"/>
  <c r="AB9" i="37"/>
  <c r="AC44" i="15"/>
  <c r="Q43" i="15"/>
  <c r="L12" i="15"/>
  <c r="Z39" i="15"/>
  <c r="K12" i="15"/>
  <c r="T12" i="15"/>
  <c r="T21" i="15"/>
  <c r="AF21" i="15"/>
  <c r="AR21" i="15"/>
  <c r="AB12" i="15"/>
  <c r="AE30" i="15"/>
  <c r="AM30" i="15"/>
  <c r="AM29" i="15"/>
  <c r="AE29" i="15"/>
  <c r="AK47" i="37"/>
  <c r="AG45" i="37"/>
  <c r="AD29" i="15"/>
  <c r="J29" i="15"/>
  <c r="AL29" i="15"/>
  <c r="AL30" i="15"/>
  <c r="J30" i="15"/>
  <c r="AD30" i="15"/>
  <c r="AF12" i="15"/>
  <c r="L23" i="15"/>
  <c r="AB23" i="15"/>
  <c r="AC23" i="15" s="1"/>
  <c r="AR23" i="15"/>
  <c r="K23" i="15"/>
  <c r="T26" i="15"/>
  <c r="L26" i="15"/>
  <c r="AR26" i="15"/>
  <c r="AB26" i="15"/>
  <c r="AC26" i="15" s="1"/>
  <c r="K26" i="15"/>
  <c r="AR22" i="15"/>
  <c r="K22" i="15"/>
  <c r="AB22" i="15"/>
  <c r="AC22" i="15" s="1"/>
  <c r="L22" i="15"/>
  <c r="K27" i="15"/>
  <c r="AR27" i="15"/>
  <c r="AB27" i="15"/>
  <c r="AC27" i="15" s="1"/>
  <c r="T27" i="15"/>
  <c r="L27" i="15"/>
  <c r="AF26" i="15"/>
  <c r="AJ26" i="15"/>
  <c r="AE39" i="15"/>
  <c r="AB28" i="15"/>
  <c r="AC28" i="15" s="1"/>
  <c r="K28" i="15"/>
  <c r="AR28" i="15"/>
  <c r="T28" i="15"/>
  <c r="L28" i="15"/>
  <c r="K42" i="15"/>
  <c r="M42" i="15"/>
  <c r="AB30" i="37"/>
  <c r="AR10" i="15" l="1"/>
  <c r="L10" i="15"/>
  <c r="AF10" i="15"/>
  <c r="K10" i="15"/>
  <c r="T10" i="15"/>
  <c r="K8" i="15"/>
  <c r="AR8" i="15"/>
  <c r="T8" i="15"/>
  <c r="L8" i="15"/>
  <c r="AF8" i="15"/>
  <c r="AF17" i="15"/>
  <c r="T15" i="15"/>
  <c r="K19" i="15"/>
  <c r="AR24" i="15"/>
  <c r="AF24" i="15"/>
  <c r="L24" i="15"/>
  <c r="AB24" i="15"/>
  <c r="AC24" i="15" s="1"/>
  <c r="L19" i="15"/>
  <c r="K17" i="15"/>
  <c r="AR17" i="15"/>
  <c r="AB15" i="15"/>
  <c r="AC15" i="15" s="1"/>
  <c r="AF15" i="15"/>
  <c r="AR15" i="15"/>
  <c r="L15" i="15"/>
  <c r="AR19" i="15"/>
  <c r="AB17" i="15"/>
  <c r="AC17" i="15" s="1"/>
  <c r="T17" i="15"/>
  <c r="AB19" i="15"/>
  <c r="AC19" i="15" s="1"/>
  <c r="T19" i="15"/>
  <c r="AM47" i="28"/>
  <c r="AI45" i="28"/>
  <c r="AH45" i="28"/>
  <c r="AD46" i="28"/>
  <c r="AI46" i="28" s="1"/>
  <c r="K9" i="15"/>
  <c r="K13" i="15"/>
  <c r="T9" i="15"/>
  <c r="AR13" i="15"/>
  <c r="AB13" i="15"/>
  <c r="AC13" i="15" s="1"/>
  <c r="AR9" i="15"/>
  <c r="AF20" i="15"/>
  <c r="T20" i="15"/>
  <c r="AB9" i="15"/>
  <c r="AC9" i="15" s="1"/>
  <c r="AF9" i="15"/>
  <c r="AM39" i="15"/>
  <c r="AJ39" i="15"/>
  <c r="K20" i="15"/>
  <c r="AR20" i="15"/>
  <c r="AB20" i="15"/>
  <c r="AC20" i="15" s="1"/>
  <c r="L16" i="15"/>
  <c r="AB16" i="15"/>
  <c r="AC16" i="15" s="1"/>
  <c r="T16" i="15"/>
  <c r="AR16" i="15"/>
  <c r="AF16" i="15"/>
  <c r="AF13" i="15"/>
  <c r="T13" i="15"/>
  <c r="T11" i="15"/>
  <c r="AF11" i="15"/>
  <c r="AB11" i="15"/>
  <c r="AC11" i="15" s="1"/>
  <c r="K11" i="15"/>
  <c r="AC12" i="15"/>
  <c r="D45" i="15"/>
  <c r="AR11" i="15"/>
  <c r="AH44" i="15"/>
  <c r="AG44" i="15"/>
  <c r="AL46" i="15"/>
  <c r="AK30" i="15"/>
  <c r="AF30" i="15"/>
  <c r="AB30" i="15"/>
  <c r="AC30" i="15" s="1"/>
  <c r="T30" i="15"/>
  <c r="L30" i="15"/>
  <c r="AR30" i="15"/>
  <c r="K30" i="15"/>
  <c r="T29" i="15"/>
  <c r="AR29" i="15"/>
  <c r="L29" i="15"/>
  <c r="AF29" i="15"/>
  <c r="K29" i="15"/>
  <c r="AB29" i="15"/>
  <c r="AC29" i="15" s="1"/>
  <c r="AK29" i="15"/>
  <c r="AL34" i="37" l="1"/>
  <c r="AL39" i="37" s="1"/>
  <c r="L34" i="37"/>
  <c r="AB53" i="37" s="1"/>
  <c r="D34" i="15" l="1"/>
  <c r="D39" i="15" s="1"/>
  <c r="L39" i="37"/>
  <c r="M43" i="37"/>
  <c r="N34" i="37"/>
  <c r="AQ34" i="37"/>
  <c r="AA34" i="37"/>
  <c r="M34" i="37"/>
  <c r="AJ34" i="37"/>
  <c r="AJ39" i="37" s="1"/>
  <c r="N39" i="37" l="1"/>
  <c r="M39" i="37"/>
  <c r="AD34" i="15"/>
  <c r="J34" i="15"/>
  <c r="AR34" i="15" s="1"/>
  <c r="AL34" i="15"/>
  <c r="AK34" i="15" s="1"/>
  <c r="AK39" i="15" s="1"/>
  <c r="J39" i="15"/>
  <c r="M41" i="15"/>
  <c r="AD39" i="15"/>
  <c r="K41" i="15"/>
  <c r="AB55" i="37"/>
  <c r="AG55" i="37" s="1"/>
  <c r="AG53" i="37"/>
  <c r="AF53" i="37"/>
  <c r="AA39" i="37"/>
  <c r="F47" i="37" s="1"/>
  <c r="AQ39" i="37"/>
  <c r="F42" i="37"/>
  <c r="AB34" i="37"/>
  <c r="T34" i="15" l="1"/>
  <c r="AB34" i="15"/>
  <c r="AC34" i="15" s="1"/>
  <c r="K34" i="15"/>
  <c r="AF34" i="15"/>
  <c r="AL39" i="15"/>
  <c r="L34" i="15"/>
  <c r="D41" i="15"/>
  <c r="L39" i="15"/>
  <c r="AR39" i="15"/>
  <c r="K39" i="15"/>
  <c r="AF39" i="15"/>
  <c r="D44" i="15" s="1"/>
  <c r="Q45" i="15" s="1"/>
  <c r="AB39" i="15"/>
  <c r="T39" i="15"/>
  <c r="T45" i="37"/>
  <c r="AB39" i="37"/>
  <c r="AB44" i="37"/>
  <c r="T43" i="37"/>
  <c r="D46" i="15" l="1"/>
  <c r="Q44" i="15" s="1"/>
  <c r="AC39" i="15"/>
  <c r="AC43" i="15"/>
  <c r="Q42" i="15"/>
  <c r="AK46" i="37"/>
  <c r="AB46" i="37"/>
  <c r="AG46" i="37" s="1"/>
  <c r="AG44" i="37"/>
  <c r="AF44" i="37"/>
  <c r="AH43" i="15" l="1"/>
  <c r="AG43" i="15"/>
  <c r="AC45" i="15"/>
  <c r="AL45" i="15"/>
  <c r="AH45" i="15" l="1"/>
  <c r="AG45" i="15"/>
  <c r="AC19" i="37"/>
  <c r="AD11" i="37" l="1"/>
  <c r="AC14" i="37" l="1"/>
  <c r="AD9" i="37" l="1"/>
  <c r="AC9" i="37" l="1"/>
  <c r="Y9" i="37"/>
  <c r="AE9" i="37" s="1"/>
  <c r="Y31" i="37" l="1"/>
  <c r="AE31" i="37" l="1"/>
  <c r="AD13" i="37" l="1"/>
  <c r="AC8" i="37" l="1"/>
  <c r="Y8" i="37"/>
  <c r="AD8" i="37"/>
  <c r="AE8" i="37" l="1"/>
  <c r="AD10" i="37" l="1"/>
  <c r="AC10" i="37"/>
  <c r="Y10" i="37"/>
  <c r="AE10" i="37" l="1"/>
  <c r="AD15" i="37" l="1"/>
  <c r="AD16" i="37"/>
  <c r="AD17" i="37"/>
  <c r="AD18" i="37"/>
  <c r="AD20" i="37"/>
  <c r="Y30" i="37" l="1"/>
  <c r="AE30" i="37" s="1"/>
  <c r="Y26" i="37"/>
  <c r="AE26" i="37" s="1"/>
  <c r="Y24" i="37"/>
  <c r="AE24" i="37" s="1"/>
  <c r="AD14" i="37"/>
  <c r="Y14" i="37"/>
  <c r="AE14" i="37" s="1"/>
  <c r="Y34" i="37"/>
  <c r="AE34" i="37" s="1"/>
  <c r="Y33" i="37"/>
  <c r="AE33" i="37" s="1"/>
  <c r="Y28" i="37"/>
  <c r="AE28" i="37" s="1"/>
  <c r="Y27" i="37"/>
  <c r="AE27" i="37" s="1"/>
  <c r="AC18" i="37"/>
  <c r="Y18" i="37"/>
  <c r="AE18" i="37" s="1"/>
  <c r="AC17" i="37"/>
  <c r="Y17" i="37"/>
  <c r="AE17" i="37" s="1"/>
  <c r="Y16" i="37"/>
  <c r="AE16" i="37" s="1"/>
  <c r="AC16" i="37"/>
  <c r="AC15" i="37"/>
  <c r="Y15" i="37"/>
  <c r="AE15" i="37" s="1"/>
  <c r="Y32" i="37"/>
  <c r="AE32" i="37" s="1"/>
  <c r="Y29" i="37"/>
  <c r="AE29" i="37" s="1"/>
  <c r="Y25" i="37"/>
  <c r="AE25" i="37" s="1"/>
  <c r="Y23" i="37"/>
  <c r="AE23" i="37" s="1"/>
  <c r="Y22" i="37"/>
  <c r="AE22" i="37" s="1"/>
  <c r="AC20" i="37"/>
  <c r="Y20" i="37"/>
  <c r="AE20" i="37" s="1"/>
  <c r="AD19" i="37"/>
  <c r="Y19" i="37"/>
  <c r="AE19" i="37" s="1"/>
  <c r="F44" i="37" s="1"/>
  <c r="X39" i="37"/>
  <c r="Y12" i="37" l="1"/>
  <c r="AE12" i="37" s="1"/>
  <c r="AC12" i="37"/>
  <c r="AC11" i="37"/>
  <c r="Y11" i="37"/>
  <c r="AC13" i="37"/>
  <c r="Y13" i="37"/>
  <c r="AE13" i="37" s="1"/>
  <c r="AD12" i="37"/>
  <c r="AD39" i="37"/>
  <c r="W39" i="37" l="1"/>
  <c r="AC39" i="37" s="1"/>
  <c r="Y21" i="37"/>
  <c r="AE21" i="37" s="1"/>
  <c r="AE11" i="37"/>
  <c r="Y39" i="37" l="1"/>
  <c r="AE39" i="37" l="1"/>
  <c r="Y40" i="37" l="1"/>
  <c r="F45" i="37"/>
  <c r="T46" i="37" s="1"/>
  <c r="AC56" i="37"/>
  <c r="AG56" i="37" s="1"/>
  <c r="AC47" i="37" l="1"/>
  <c r="AG47" i="37" s="1"/>
  <c r="P37" i="31"/>
  <c r="C37" i="31"/>
</calcChain>
</file>

<file path=xl/comments1.xml><?xml version="1.0" encoding="utf-8"?>
<comments xmlns="http://schemas.openxmlformats.org/spreadsheetml/2006/main">
  <authors>
    <author>MCC-02</author>
  </authors>
  <commentList>
    <comment ref="G7" authorId="0" shapeId="0">
      <text>
        <r>
          <rPr>
            <b/>
            <sz val="8"/>
            <color indexed="81"/>
            <rFont val="Tahoma"/>
            <family val="2"/>
          </rPr>
          <t>MCC-02:</t>
        </r>
        <r>
          <rPr>
            <sz val="8"/>
            <color indexed="81"/>
            <rFont val="Tahoma"/>
            <family val="2"/>
          </rPr>
          <t xml:space="preserve">
OB = 164 x 24 = 3,936 BCM
Inpit = 4 x 24 = 96 BCM</t>
        </r>
      </text>
    </comment>
    <comment ref="G8" authorId="0" shapeId="0">
      <text>
        <r>
          <rPr>
            <b/>
            <sz val="8"/>
            <color indexed="81"/>
            <rFont val="Tahoma"/>
            <family val="2"/>
          </rPr>
          <t>MCC-02:</t>
        </r>
        <r>
          <rPr>
            <sz val="8"/>
            <color indexed="81"/>
            <rFont val="Tahoma"/>
            <family val="2"/>
          </rPr>
          <t xml:space="preserve">
OB = 195 x 24 = 4,680 BCM</t>
        </r>
      </text>
    </comment>
    <comment ref="G11" authorId="0" shapeId="0">
      <text>
        <r>
          <rPr>
            <b/>
            <sz val="8"/>
            <color indexed="81"/>
            <rFont val="Tahoma"/>
            <family val="2"/>
          </rPr>
          <t>MCC-02:</t>
        </r>
        <r>
          <rPr>
            <sz val="8"/>
            <color indexed="81"/>
            <rFont val="Tahoma"/>
            <family val="2"/>
          </rPr>
          <t xml:space="preserve">
OB = 135 x 24 = 3,240 BCM</t>
        </r>
      </text>
    </comment>
    <comment ref="G13" authorId="0" shapeId="0">
      <text>
        <r>
          <rPr>
            <b/>
            <sz val="8"/>
            <color indexed="81"/>
            <rFont val="Tahoma"/>
            <family val="2"/>
          </rPr>
          <t>MCC-02:</t>
        </r>
        <r>
          <rPr>
            <sz val="8"/>
            <color indexed="81"/>
            <rFont val="Tahoma"/>
            <family val="2"/>
          </rPr>
          <t xml:space="preserve">
OB = 81 x 24 = 1,944 BCM</t>
        </r>
      </text>
    </comment>
    <comment ref="G21" authorId="0" shapeId="0">
      <text>
        <r>
          <rPr>
            <b/>
            <sz val="8"/>
            <color indexed="81"/>
            <rFont val="Tahoma"/>
            <family val="2"/>
          </rPr>
          <t>MCC-02:</t>
        </r>
        <r>
          <rPr>
            <sz val="8"/>
            <color indexed="81"/>
            <rFont val="Tahoma"/>
            <family val="2"/>
          </rPr>
          <t xml:space="preserve">
OB = 151 x 24 = 3,624 BCM</t>
        </r>
      </text>
    </comment>
    <comment ref="G22" authorId="0" shapeId="0">
      <text>
        <r>
          <rPr>
            <b/>
            <sz val="8"/>
            <color indexed="81"/>
            <rFont val="Tahoma"/>
            <family val="2"/>
          </rPr>
          <t>MCC-02:</t>
        </r>
        <r>
          <rPr>
            <sz val="8"/>
            <color indexed="81"/>
            <rFont val="Tahoma"/>
            <family val="2"/>
          </rPr>
          <t xml:space="preserve">
OB = 226 x 24 = 5,424 BCM</t>
        </r>
      </text>
    </comment>
    <comment ref="G24" authorId="0" shapeId="0">
      <text>
        <r>
          <rPr>
            <b/>
            <sz val="8"/>
            <color indexed="81"/>
            <rFont val="Tahoma"/>
            <family val="2"/>
          </rPr>
          <t>MCC-02:</t>
        </r>
        <r>
          <rPr>
            <sz val="8"/>
            <color indexed="81"/>
            <rFont val="Tahoma"/>
            <family val="2"/>
          </rPr>
          <t xml:space="preserve">
OB = 142 x 24 = 3,408 BCM</t>
        </r>
      </text>
    </comment>
  </commentList>
</comments>
</file>

<file path=xl/sharedStrings.xml><?xml version="1.0" encoding="utf-8"?>
<sst xmlns="http://schemas.openxmlformats.org/spreadsheetml/2006/main" count="1398" uniqueCount="242">
  <si>
    <t>U/FUEL</t>
  </si>
  <si>
    <t>TGL</t>
  </si>
  <si>
    <t>TOTAL   MATERIAL                                                                               (BCM)</t>
  </si>
  <si>
    <t>NON VOLUME                                                                    (BCM)</t>
  </si>
  <si>
    <t>PEMAKAIAN                                                SOLAR                                                                (LTR)</t>
  </si>
  <si>
    <t>SR</t>
  </si>
  <si>
    <t>FR</t>
  </si>
  <si>
    <t>RAIN</t>
  </si>
  <si>
    <t>SLIPERY</t>
  </si>
  <si>
    <t>PAGI</t>
  </si>
  <si>
    <t>MALAM</t>
  </si>
  <si>
    <t xml:space="preserve">TOTAL                                           </t>
  </si>
  <si>
    <t>RIT</t>
  </si>
  <si>
    <t>(BCM)</t>
  </si>
  <si>
    <t>PLAN</t>
  </si>
  <si>
    <t>TOTAL</t>
  </si>
  <si>
    <t>%ACH</t>
  </si>
  <si>
    <t>ACTUAL</t>
  </si>
  <si>
    <t>ACT</t>
  </si>
  <si>
    <t>BATUBARA                                                                                                                                                                                               (TON)</t>
  </si>
  <si>
    <t>OVERBURDEN                                                                                                                                                                (BCM)</t>
  </si>
  <si>
    <t>%</t>
  </si>
  <si>
    <t>PEMAKAIAN                                                SOLAR                                                                (LTR)                                                            (Jetty)</t>
  </si>
  <si>
    <t xml:space="preserve"> MTD BB MALAM</t>
  </si>
  <si>
    <t xml:space="preserve"> MTD OB PAGI</t>
  </si>
  <si>
    <t xml:space="preserve"> MTD OB MALAM</t>
  </si>
  <si>
    <t xml:space="preserve"> MTD BB PAGI</t>
  </si>
  <si>
    <t xml:space="preserve">  MTD OB</t>
  </si>
  <si>
    <t xml:space="preserve">  MTD COAL</t>
  </si>
  <si>
    <t xml:space="preserve">  SR BULANAN</t>
  </si>
  <si>
    <t xml:space="preserve">  SR HARIAN</t>
  </si>
  <si>
    <t>Note :</t>
  </si>
  <si>
    <t>Plan sesuai dengan rencana kerja mingguan</t>
  </si>
  <si>
    <t>PT. SUMBER MITRA JAYA</t>
  </si>
  <si>
    <t>FLEET PERFORMANCE</t>
  </si>
  <si>
    <t>EXCAVATOR</t>
  </si>
  <si>
    <t>NAMA OPERATOR</t>
  </si>
  <si>
    <t>HM                     AWAL</t>
  </si>
  <si>
    <t>HM                                     AKHIR</t>
  </si>
  <si>
    <t>TOTAL                                          HM</t>
  </si>
  <si>
    <t>PRODUKSI</t>
  </si>
  <si>
    <t>PRODUKTIVITAS</t>
  </si>
  <si>
    <t>JML                                DT</t>
  </si>
  <si>
    <t>SUPPORT</t>
  </si>
  <si>
    <t>KETERANGAN</t>
  </si>
  <si>
    <t>DOZER</t>
  </si>
  <si>
    <t xml:space="preserve">  FR HARIAN</t>
  </si>
  <si>
    <t xml:space="preserve">  FR BULANAN</t>
  </si>
  <si>
    <t>PLAN OB</t>
  </si>
  <si>
    <t>PLAN BB</t>
  </si>
  <si>
    <t>PC.1250-01</t>
  </si>
  <si>
    <t>PC.1250-02</t>
  </si>
  <si>
    <t>PC.1250-04</t>
  </si>
  <si>
    <t>PC.1250-05</t>
  </si>
  <si>
    <t>PC.1250-06</t>
  </si>
  <si>
    <t>PC.1250-07</t>
  </si>
  <si>
    <t>PC.700-03</t>
  </si>
  <si>
    <t>PC.700-02</t>
  </si>
  <si>
    <t>Lampiran</t>
  </si>
  <si>
    <t>DAILY REPORT GAR 4200</t>
  </si>
  <si>
    <t>LOKASI KERJA</t>
  </si>
  <si>
    <t>JARAK             (KM)</t>
  </si>
  <si>
    <t>PIT</t>
  </si>
  <si>
    <t>SEAM/                    BLOK</t>
  </si>
  <si>
    <t>Pit GAR 55</t>
  </si>
  <si>
    <t>Pit GAR 42</t>
  </si>
  <si>
    <t>BD - Silinder Arm Bocor</t>
  </si>
  <si>
    <t>S-2</t>
  </si>
  <si>
    <t>DZ375-07</t>
  </si>
  <si>
    <t>SM1</t>
  </si>
  <si>
    <t>S-1</t>
  </si>
  <si>
    <t>Royal</t>
  </si>
  <si>
    <t>Setiawan</t>
  </si>
  <si>
    <t>BD - Tidak Bisa Start</t>
  </si>
  <si>
    <t>DZ375-02</t>
  </si>
  <si>
    <t>Stand By</t>
  </si>
  <si>
    <t>Ardiansyah</t>
  </si>
  <si>
    <t>Amri</t>
  </si>
  <si>
    <t>DZ375-10</t>
  </si>
  <si>
    <t>Start loading jam 08.12, jam 08.25-09.21 tunggu rippingan, jam 17.10-17.14 pindah front</t>
  </si>
  <si>
    <t>Arifin</t>
  </si>
  <si>
    <t>Start loading jam 07.55, jam 09.40-10.05 pengecekan mekanik</t>
  </si>
  <si>
    <t>Simon H</t>
  </si>
  <si>
    <t>DZ375-03</t>
  </si>
  <si>
    <t>Start loading jam 08.03, jam 09.07-09.19 pindah front, jam 14.16-14.31 hujan, jam 14.31-15.19 sekrap jalan, jam 13.00-13.42 perbaikan AC, jam 15.51-18.16 perbaikan mekanik (AC panas), start loading jam 18.16</t>
  </si>
  <si>
    <t>Nanang</t>
  </si>
  <si>
    <t>Start loading jam 08.01, jam 08.21-09.15 pengelasan tracklink, jam 09.15-11.59 general batu bara, jam 01.09 loading OB kembali, jam 14.16-14.31 hujan, jam 14.31-15.10 sekrap jalan, jam 16.30-17.19 stand by (bantu dorong pompa)</t>
  </si>
  <si>
    <t>General</t>
  </si>
  <si>
    <t>DZ375-01</t>
  </si>
  <si>
    <t>Jam 20.00-20.10 perbaikan front, start loading jam 20.10, jam 21.26-21.32 pindah front, jam 22.22-22.29 perbaikan jalan, jam 03.58-04.05 perbaikan front, jam 04.54-05.06 perbaikan front</t>
  </si>
  <si>
    <t>SM2</t>
  </si>
  <si>
    <t>Start loading jam 20.00, jam 02.11-02.13 perbaikan front, jam 05.55-06.03 pindah front</t>
  </si>
  <si>
    <t>Jam 20.00-20.22 greasing, start loading jam 20.22, jam 21.21-22.06 tunggu rippingan, jam 01.53-02.10 perbaikan front, jam 02.35-03.53 tunggu rippingan, jam 05.44-05.49 perbaikan front</t>
  </si>
  <si>
    <t>Loading BB</t>
  </si>
  <si>
    <t>Solar Pagi</t>
  </si>
  <si>
    <t>Solar malam</t>
  </si>
  <si>
    <t>Solar Malam</t>
  </si>
  <si>
    <t>Total Material Pagi</t>
  </si>
  <si>
    <t>Total Material Malam</t>
  </si>
  <si>
    <t>FR PAGI</t>
  </si>
  <si>
    <t>FR MALAM</t>
  </si>
  <si>
    <t>TOTAL MATERIAL PAGI (BCM</t>
  </si>
  <si>
    <t>TOTAL MATERIAL MALAM      ( BCM )</t>
  </si>
  <si>
    <t>MTD ACHIEVEMENT</t>
  </si>
  <si>
    <t>UNIT</t>
  </si>
  <si>
    <t>ACHV</t>
  </si>
  <si>
    <t>VARIANCE</t>
  </si>
  <si>
    <t>OB</t>
  </si>
  <si>
    <t>COAL</t>
  </si>
  <si>
    <t>WORKING DAYS IN MONTH</t>
  </si>
  <si>
    <t>REMAINING DAYS</t>
  </si>
  <si>
    <t>TARGET PER DAY TO GET TARGET</t>
  </si>
  <si>
    <t>Fleet</t>
  </si>
  <si>
    <t xml:space="preserve">        </t>
  </si>
  <si>
    <t xml:space="preserve"> </t>
  </si>
  <si>
    <t>SL-2</t>
  </si>
  <si>
    <t>SL3</t>
  </si>
  <si>
    <t>SL4</t>
  </si>
  <si>
    <t>fleet</t>
  </si>
  <si>
    <t xml:space="preserve">                                       OVERBURDEN         (BCM)</t>
  </si>
  <si>
    <t xml:space="preserve">PIT 55 GAR </t>
  </si>
  <si>
    <t>PEMAKAIAN      SOLAR      (LTR) (Jetty)</t>
  </si>
  <si>
    <t xml:space="preserve">PIT 42 GAR </t>
  </si>
  <si>
    <t>BATUBARA</t>
  </si>
  <si>
    <t>Prepare By</t>
  </si>
  <si>
    <t>Approve By</t>
  </si>
  <si>
    <t>Winarno</t>
  </si>
  <si>
    <t>Project Manager</t>
  </si>
  <si>
    <t>DEVIASI</t>
  </si>
  <si>
    <t xml:space="preserve">Meliana </t>
  </si>
  <si>
    <t xml:space="preserve">Solar Pagi dengan support </t>
  </si>
  <si>
    <t>Solar malam dengan support</t>
  </si>
  <si>
    <t>Jr. SPI MCC</t>
  </si>
  <si>
    <t>SMJ(B)-S-MA-PR-IV-01</t>
  </si>
  <si>
    <t>REKAP DAILY REPORT APRIL 2022</t>
  </si>
  <si>
    <t xml:space="preserve">PIT 50 GAR </t>
  </si>
  <si>
    <t>PIT 55 GAR &amp; PIT 50 GAR</t>
  </si>
  <si>
    <t>SMJ(B)-S-MA-PR-V-01</t>
  </si>
  <si>
    <t>P</t>
  </si>
  <si>
    <t>TOTAL FR TANPA POMPA</t>
  </si>
  <si>
    <t>s</t>
  </si>
  <si>
    <t>TANGGAL</t>
  </si>
  <si>
    <t>PC.1250-08</t>
  </si>
  <si>
    <t>PC.1250-09</t>
  </si>
  <si>
    <t>EC.750-01</t>
  </si>
  <si>
    <t>1 JANUARI 2023</t>
  </si>
  <si>
    <t>2 JANUARI 2023</t>
  </si>
  <si>
    <t>UNIT PIT 55</t>
  </si>
  <si>
    <t>SIANG</t>
  </si>
  <si>
    <t>PC.1250-10</t>
  </si>
  <si>
    <t>3 JANUARI 2023</t>
  </si>
  <si>
    <t>4 JANUARI 2023</t>
  </si>
  <si>
    <t>5 JANUARI 2023</t>
  </si>
  <si>
    <t>6 JANUARI 2023</t>
  </si>
  <si>
    <t>7 JANUARI 2023</t>
  </si>
  <si>
    <t>8 JANUARI 2023</t>
  </si>
  <si>
    <t>9 JANUARI 2023</t>
  </si>
  <si>
    <t>10 JANUARI 2023</t>
  </si>
  <si>
    <t>11 JANUARI 2023</t>
  </si>
  <si>
    <t>12 JANUARI 2023</t>
  </si>
  <si>
    <t>13 JANUARI 2023</t>
  </si>
  <si>
    <t>14 JANUARI 2023</t>
  </si>
  <si>
    <t>15 JANUARI 2023</t>
  </si>
  <si>
    <t>16 JANUARI 2023</t>
  </si>
  <si>
    <t>17 JANUARI 2023</t>
  </si>
  <si>
    <t>18 JANUARI 2023</t>
  </si>
  <si>
    <t>19 JANUARI 2023</t>
  </si>
  <si>
    <t>20 JANUARI 2023</t>
  </si>
  <si>
    <t>21 JANUARI 2023</t>
  </si>
  <si>
    <t>22 JANUARI 2023</t>
  </si>
  <si>
    <t>23 JANUARI 2023</t>
  </si>
  <si>
    <t>24 JANUARI 2023</t>
  </si>
  <si>
    <t>25 JANUARI 2023</t>
  </si>
  <si>
    <t>26 JANUARI 2023</t>
  </si>
  <si>
    <t>27 JANUARI 2023</t>
  </si>
  <si>
    <t>28 JANUARI 2023</t>
  </si>
  <si>
    <t>29 JANUARI 2023</t>
  </si>
  <si>
    <t>30 JANUARI 2023</t>
  </si>
  <si>
    <t>31 JANUARI 2023</t>
  </si>
  <si>
    <t>UNIT PIT 50</t>
  </si>
  <si>
    <t>PC.1250-11</t>
  </si>
  <si>
    <t>EC.750-02</t>
  </si>
  <si>
    <t xml:space="preserve">                                                                              </t>
  </si>
  <si>
    <t>HD465 47</t>
  </si>
  <si>
    <t>HD465 15</t>
  </si>
  <si>
    <t>HD465 01</t>
  </si>
  <si>
    <t>Bonar</t>
  </si>
  <si>
    <t>Disetujui oleh</t>
  </si>
  <si>
    <t>Berto</t>
  </si>
  <si>
    <t>Daru</t>
  </si>
  <si>
    <t>PM 55</t>
  </si>
  <si>
    <t>Foreman MCC</t>
  </si>
  <si>
    <t>Diperiksa oleh</t>
  </si>
  <si>
    <t>Daru Sumirat</t>
  </si>
  <si>
    <t>Dibuat oleh</t>
  </si>
  <si>
    <t>Disetujui Oleh</t>
  </si>
  <si>
    <t>Manager Engineering</t>
  </si>
  <si>
    <t>Diperiksa Oleh</t>
  </si>
  <si>
    <t>STOCK JETTY PAGI</t>
  </si>
  <si>
    <t>Manager produksi</t>
  </si>
  <si>
    <t>STOCK JETTY</t>
  </si>
  <si>
    <t>Dedy dharmawan</t>
  </si>
  <si>
    <t>`</t>
  </si>
  <si>
    <t>Deddy Darmawan</t>
  </si>
  <si>
    <t>Berto w.p</t>
  </si>
  <si>
    <t>6 FLEET</t>
  </si>
  <si>
    <t>Anita Virginia</t>
  </si>
  <si>
    <t>TARGET</t>
  </si>
  <si>
    <t>Diketahui Oleh</t>
  </si>
  <si>
    <t>Manager PIT 55</t>
  </si>
  <si>
    <t>Jhonson Nainggolan</t>
  </si>
  <si>
    <t xml:space="preserve"> TARGET 100%</t>
  </si>
  <si>
    <t>MTD</t>
  </si>
  <si>
    <t>AKTUAL</t>
  </si>
  <si>
    <t>Harian</t>
  </si>
  <si>
    <t>BATUBARA   (TON)</t>
  </si>
  <si>
    <t>FLEET</t>
  </si>
  <si>
    <t>HARIAN</t>
  </si>
  <si>
    <t>REKAP DAILY REPORT APRIL 2024</t>
  </si>
  <si>
    <t>KEKURANGAN</t>
  </si>
  <si>
    <t>Kekurangan</t>
  </si>
  <si>
    <t>TARGET BULANAN</t>
  </si>
  <si>
    <t>ACHIEVMENT 1 - 18 APRIL 2024</t>
  </si>
  <si>
    <t>STOK JETTY</t>
  </si>
  <si>
    <t>7 FLEET</t>
  </si>
  <si>
    <t>Stok Jetty Akhir Juni 2024</t>
  </si>
  <si>
    <t>5 Fleet</t>
  </si>
  <si>
    <t>BB</t>
  </si>
  <si>
    <t>SPI Produksi</t>
  </si>
  <si>
    <t>DGM Operation</t>
  </si>
  <si>
    <t>Ikhsan Nur Ramadhani</t>
  </si>
  <si>
    <t>Wahyudi Kokasih</t>
  </si>
  <si>
    <t>Deddy darmawan</t>
  </si>
  <si>
    <t>Project manager pit 50</t>
  </si>
  <si>
    <t>REKAP DAILY REPORT AGUSTUS 2024</t>
  </si>
  <si>
    <t>PENGAPALAN TGL 28 AGUSTUS 2024</t>
  </si>
  <si>
    <t>Barge</t>
  </si>
  <si>
    <t>PER TANGGAL 6 AGUSTUS 2024 AMBIL BATUBARA DARI PIT 50 = 5.511.92 TON</t>
  </si>
  <si>
    <t>OB/(BB*1,27)</t>
  </si>
  <si>
    <t>RUMUS SR</t>
  </si>
  <si>
    <t>ACHIEVMENT 1 - 12 AGUSTUS 2024</t>
  </si>
  <si>
    <t>ACHIEVMENT 1 - 12  AGUSTUS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</si>
</sst>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dd&quot;-&quot;mmm&quot;-&quot;yy"/>
    <numFmt numFmtId="168" formatCode="h:mm;@"/>
    <numFmt numFmtId="169" formatCode="_(* #,##0.000_);_(* \(#,##0.000\);_(* &quot;-&quot;??_);_(@_)"/>
    <numFmt numFmtId="170" formatCode="[h]:mm"/>
    <numFmt numFmtId="171" formatCode="_(* #,##0.0000_);_(* \(#,##0.0000\);_(* &quot;-&quot;??_);_(@_)"/>
    <numFmt numFmtId="172" formatCode="_(* #,##0.00_);_(* \(#,##0.00\);_(* &quot;-&quot;_);_(@_)"/>
    <numFmt numFmtId="173" formatCode="_(* #,##0.0_);_(* \(#,##0.0\);_(* &quot;-&quot;??_);_(@_)"/>
    <numFmt numFmtId="174" formatCode="_(* #,##0.0_);_(* \(#,##0.0\);_(* &quot;-&quot;_);_(@_)"/>
    <numFmt numFmtId="175" formatCode="0.0"/>
    <numFmt numFmtId="176" formatCode="_-* #,##0.0_-;\-* #,##0.0_-;_-* &quot;-&quot;_-;_-@_-"/>
    <numFmt numFmtId="177" formatCode="0.00_);\(0.00\)"/>
    <numFmt numFmtId="178" formatCode="#,##0.000"/>
    <numFmt numFmtId="179" formatCode="0.0%"/>
    <numFmt numFmtId="180" formatCode="_-* #,##0_-;\-* #,##0_-;_-* &quot;-&quot;??_-;_-@_-"/>
    <numFmt numFmtId="181" formatCode="_(* #,##0.00_);_(* \(#,##0.00\);_(* \-??_);_(@_)"/>
    <numFmt numFmtId="182" formatCode="\$* #,##0.00\ ;\$* \(#,##0.00\);\$* \-#\ ;@\ "/>
  </numFmts>
  <fonts count="6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b/>
      <sz val="8"/>
      <name val="Verdana"/>
      <family val="2"/>
    </font>
    <font>
      <sz val="10"/>
      <color indexed="8"/>
      <name val="MS Sans Serif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4.05"/>
      <color indexed="8"/>
      <name val="Times New Roman"/>
      <family val="1"/>
    </font>
    <font>
      <sz val="9"/>
      <name val="Trebuchet MS"/>
      <family val="2"/>
    </font>
    <font>
      <sz val="11"/>
      <name val="Trebuchet MS"/>
      <family val="2"/>
    </font>
    <font>
      <i/>
      <sz val="10"/>
      <name val="Verdan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9"/>
      <color theme="1"/>
      <name val="Verdana"/>
      <family val="2"/>
    </font>
    <font>
      <sz val="10"/>
      <color theme="1"/>
      <name val="Verdana"/>
      <family val="2"/>
    </font>
    <font>
      <sz val="8"/>
      <name val="Verdana"/>
      <family val="2"/>
    </font>
    <font>
      <b/>
      <sz val="10"/>
      <color theme="1"/>
      <name val="Verdana"/>
      <family val="2"/>
    </font>
    <font>
      <b/>
      <sz val="9"/>
      <color theme="1"/>
      <name val="Verdana"/>
      <family val="2"/>
    </font>
    <font>
      <b/>
      <sz val="9"/>
      <color rgb="FFFF0000"/>
      <name val="Verdana"/>
      <family val="2"/>
    </font>
    <font>
      <sz val="9"/>
      <color theme="0"/>
      <name val="Verdana"/>
      <family val="2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b/>
      <sz val="12"/>
      <color theme="1"/>
      <name val="Verdana"/>
      <family val="2"/>
    </font>
    <font>
      <b/>
      <sz val="14"/>
      <color theme="1"/>
      <name val="Verdana"/>
      <family val="2"/>
    </font>
    <font>
      <b/>
      <sz val="13"/>
      <color theme="1"/>
      <name val="Verdana"/>
      <family val="2"/>
    </font>
    <font>
      <b/>
      <sz val="8"/>
      <color theme="1"/>
      <name val="Verdana"/>
      <family val="2"/>
    </font>
    <font>
      <b/>
      <sz val="14"/>
      <name val="Verdana"/>
      <family val="2"/>
    </font>
    <font>
      <b/>
      <u/>
      <sz val="9"/>
      <color theme="1"/>
      <name val="Verdana"/>
      <family val="2"/>
    </font>
    <font>
      <b/>
      <u val="singleAccounting"/>
      <sz val="9"/>
      <color theme="1"/>
      <name val="Verdana"/>
      <family val="2"/>
    </font>
    <font>
      <b/>
      <sz val="14"/>
      <color theme="0"/>
      <name val="Verdana"/>
      <family val="2"/>
    </font>
    <font>
      <b/>
      <sz val="9"/>
      <color theme="0"/>
      <name val="Verdana"/>
      <family val="2"/>
    </font>
    <font>
      <b/>
      <sz val="13"/>
      <color theme="0"/>
      <name val="Verdana"/>
      <family val="2"/>
    </font>
    <font>
      <b/>
      <sz val="12"/>
      <color theme="0"/>
      <name val="Verdana"/>
      <family val="2"/>
    </font>
    <font>
      <sz val="11"/>
      <color indexed="8"/>
      <name val="Calibri"/>
      <family val="2"/>
    </font>
    <font>
      <b/>
      <sz val="12"/>
      <name val="Verdana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Verdana"/>
      <family val="2"/>
    </font>
    <font>
      <b/>
      <u val="singleAccounting"/>
      <sz val="16"/>
      <color theme="1"/>
      <name val="Verdana"/>
      <family val="2"/>
    </font>
    <font>
      <sz val="10"/>
      <color indexed="8"/>
      <name val="MS Sans Serif"/>
      <family val="2"/>
    </font>
    <font>
      <b/>
      <sz val="16"/>
      <color theme="0"/>
      <name val="Verdana"/>
      <family val="2"/>
    </font>
    <font>
      <b/>
      <u val="singleAccounting"/>
      <sz val="16"/>
      <color theme="0"/>
      <name val="Verdana"/>
      <family val="2"/>
    </font>
    <font>
      <b/>
      <sz val="13"/>
      <name val="Verdana"/>
      <family val="2"/>
    </font>
    <font>
      <sz val="10"/>
      <color indexed="8"/>
      <name val="Times New Roman"/>
      <family val="1"/>
    </font>
    <font>
      <b/>
      <sz val="14"/>
      <color rgb="FFFF0000"/>
      <name val="Verdana"/>
      <family val="2"/>
    </font>
    <font>
      <b/>
      <u val="singleAccounting"/>
      <sz val="9"/>
      <color theme="0"/>
      <name val="Verdana"/>
      <family val="2"/>
    </font>
    <font>
      <sz val="10"/>
      <color indexed="8"/>
      <name val="MS Sans Serif"/>
      <family val="2"/>
    </font>
    <font>
      <b/>
      <sz val="16"/>
      <name val="Verdana"/>
      <family val="2"/>
    </font>
    <font>
      <b/>
      <u/>
      <sz val="9"/>
      <color theme="0"/>
      <name val="Verdana"/>
      <family val="2"/>
    </font>
    <font>
      <b/>
      <sz val="13"/>
      <color rgb="FFFF0000"/>
      <name val="Verdana"/>
      <family val="2"/>
    </font>
    <font>
      <sz val="16"/>
      <name val="Cambria"/>
      <family val="1"/>
      <scheme val="major"/>
    </font>
    <font>
      <b/>
      <sz val="22"/>
      <name val="Cambria"/>
      <family val="1"/>
      <scheme val="major"/>
    </font>
    <font>
      <b/>
      <sz val="22"/>
      <color theme="0"/>
      <name val="Cambria"/>
      <family val="1"/>
      <scheme val="major"/>
    </font>
    <font>
      <b/>
      <sz val="16"/>
      <name val="Cambria"/>
      <family val="1"/>
      <scheme val="major"/>
    </font>
    <font>
      <b/>
      <sz val="20"/>
      <name val="Cambria"/>
      <family val="1"/>
      <scheme val="major"/>
    </font>
    <font>
      <b/>
      <u val="singleAccounting"/>
      <sz val="22"/>
      <name val="Cambria"/>
      <family val="1"/>
      <scheme val="major"/>
    </font>
    <font>
      <sz val="22"/>
      <name val="Cambria"/>
      <family val="1"/>
      <scheme val="major"/>
    </font>
    <font>
      <b/>
      <u/>
      <sz val="22"/>
      <name val="Cambria"/>
      <family val="1"/>
      <scheme val="major"/>
    </font>
    <font>
      <b/>
      <sz val="22"/>
      <color rgb="FFFF0000"/>
      <name val="Cambria"/>
      <family val="1"/>
      <scheme val="major"/>
    </font>
    <font>
      <b/>
      <sz val="22"/>
      <color theme="1"/>
      <name val="Cambria"/>
      <family val="1"/>
      <scheme val="maj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1"/>
    </font>
    <font>
      <sz val="11"/>
      <name val="Calibri"/>
      <family val="2"/>
    </font>
    <font>
      <sz val="11"/>
      <color theme="1"/>
      <name val="Times New Roman"/>
      <family val="2"/>
    </font>
    <font>
      <sz val="11"/>
      <color rgb="FF000000"/>
      <name val="Calibri"/>
      <family val="2"/>
    </font>
    <font>
      <sz val="22"/>
      <color theme="0"/>
      <name val="Cambria"/>
      <family val="1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9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double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5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41" fillId="0" borderId="0"/>
    <xf numFmtId="0" fontId="48" fillId="0" borderId="0"/>
    <xf numFmtId="43" fontId="6" fillId="0" borderId="0" applyFont="0" applyFill="0" applyBorder="0" applyAlignment="0" applyProtection="0"/>
    <xf numFmtId="41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0" fontId="63" fillId="0" borderId="0"/>
    <xf numFmtId="0" fontId="64" fillId="0" borderId="0"/>
    <xf numFmtId="181" fontId="64" fillId="0" borderId="0" applyBorder="0" applyProtection="0"/>
    <xf numFmtId="182" fontId="64" fillId="0" borderId="0" applyBorder="0" applyProtection="0"/>
    <xf numFmtId="0" fontId="65" fillId="0" borderId="0">
      <alignment vertical="center"/>
    </xf>
    <xf numFmtId="0" fontId="6" fillId="0" borderId="0"/>
    <xf numFmtId="41" fontId="1" fillId="0" borderId="0" applyFont="0" applyFill="0" applyBorder="0" applyAlignment="0" applyProtection="0"/>
    <xf numFmtId="0" fontId="1" fillId="0" borderId="0"/>
    <xf numFmtId="0" fontId="62" fillId="9" borderId="0" applyNumberFormat="0" applyBorder="0" applyAlignment="0" applyProtection="0"/>
    <xf numFmtId="0" fontId="6" fillId="0" borderId="0"/>
    <xf numFmtId="41" fontId="1" fillId="0" borderId="0" applyFont="0" applyFill="0" applyBorder="0" applyAlignment="0" applyProtection="0"/>
    <xf numFmtId="41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0" fontId="63" fillId="0" borderId="0"/>
    <xf numFmtId="0" fontId="66" fillId="0" borderId="0"/>
    <xf numFmtId="43" fontId="67" fillId="0" borderId="0">
      <alignment vertical="top"/>
      <protection locked="0"/>
    </xf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759">
    <xf numFmtId="0" fontId="0" fillId="0" borderId="0" xfId="0"/>
    <xf numFmtId="0" fontId="2" fillId="0" borderId="0" xfId="0" applyFont="1" applyAlignment="1">
      <alignment horizontal="center"/>
    </xf>
    <xf numFmtId="43" fontId="2" fillId="0" borderId="0" xfId="1" applyFont="1" applyFill="1" applyBorder="1" applyAlignment="1" applyProtection="1">
      <alignment horizontal="center"/>
    </xf>
    <xf numFmtId="41" fontId="2" fillId="0" borderId="0" xfId="2" applyFont="1" applyFill="1" applyBorder="1" applyAlignment="1" applyProtection="1">
      <alignment horizontal="center"/>
    </xf>
    <xf numFmtId="166" fontId="2" fillId="0" borderId="0" xfId="1" applyNumberFormat="1" applyFont="1" applyFill="1" applyBorder="1" applyAlignment="1" applyProtection="1">
      <alignment horizontal="center"/>
    </xf>
    <xf numFmtId="43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1" fontId="3" fillId="0" borderId="0" xfId="2" applyFont="1" applyFill="1" applyBorder="1" applyAlignment="1" applyProtection="1">
      <alignment horizontal="center"/>
    </xf>
    <xf numFmtId="166" fontId="3" fillId="0" borderId="0" xfId="1" applyNumberFormat="1" applyFont="1" applyFill="1" applyBorder="1" applyAlignment="1" applyProtection="1">
      <alignment horizontal="center"/>
    </xf>
    <xf numFmtId="0" fontId="4" fillId="0" borderId="0" xfId="0" applyFont="1" applyAlignment="1">
      <alignment horizontal="center" wrapText="1"/>
    </xf>
    <xf numFmtId="3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43" fontId="3" fillId="0" borderId="0" xfId="0" applyNumberFormat="1" applyFont="1" applyAlignment="1">
      <alignment horizontal="center"/>
    </xf>
    <xf numFmtId="41" fontId="4" fillId="0" borderId="0" xfId="2" applyFont="1" applyFill="1" applyBorder="1" applyAlignment="1">
      <alignment horizontal="left" vertical="center"/>
    </xf>
    <xf numFmtId="41" fontId="3" fillId="0" borderId="11" xfId="2" applyFont="1" applyFill="1" applyBorder="1" applyAlignment="1" applyProtection="1">
      <alignment horizontal="center" vertical="center"/>
    </xf>
    <xf numFmtId="0" fontId="7" fillId="0" borderId="0" xfId="4" applyFont="1" applyAlignment="1">
      <alignment horizontal="left" vertical="center"/>
    </xf>
    <xf numFmtId="0" fontId="8" fillId="0" borderId="0" xfId="4" applyFont="1" applyAlignment="1">
      <alignment horizontal="center" vertical="center"/>
    </xf>
    <xf numFmtId="43" fontId="8" fillId="0" borderId="0" xfId="5" applyFont="1" applyFill="1" applyBorder="1" applyAlignment="1" applyProtection="1">
      <alignment horizontal="center" vertical="center"/>
    </xf>
    <xf numFmtId="43" fontId="8" fillId="0" borderId="0" xfId="4" applyNumberFormat="1" applyFont="1" applyAlignment="1">
      <alignment horizontal="center" vertical="center"/>
    </xf>
    <xf numFmtId="20" fontId="8" fillId="0" borderId="0" xfId="4" applyNumberFormat="1" applyFont="1" applyAlignment="1">
      <alignment horizontal="center" vertical="center"/>
    </xf>
    <xf numFmtId="20" fontId="8" fillId="0" borderId="0" xfId="5" applyNumberFormat="1" applyFont="1" applyFill="1" applyBorder="1" applyAlignment="1" applyProtection="1">
      <alignment horizontal="center" vertical="center"/>
    </xf>
    <xf numFmtId="20" fontId="8" fillId="0" borderId="0" xfId="4" applyNumberFormat="1" applyFont="1" applyAlignment="1">
      <alignment horizontal="left" vertical="center" wrapText="1"/>
    </xf>
    <xf numFmtId="43" fontId="4" fillId="0" borderId="0" xfId="1" applyFont="1" applyFill="1" applyBorder="1" applyAlignment="1">
      <alignment horizontal="center" vertical="center"/>
    </xf>
    <xf numFmtId="0" fontId="3" fillId="0" borderId="0" xfId="0" quotePrefix="1" applyFont="1" applyAlignment="1">
      <alignment horizontal="center"/>
    </xf>
    <xf numFmtId="43" fontId="10" fillId="0" borderId="0" xfId="1" applyFont="1" applyFill="1" applyBorder="1" applyAlignment="1" applyProtection="1">
      <alignment horizontal="center"/>
    </xf>
    <xf numFmtId="43" fontId="11" fillId="0" borderId="0" xfId="1" applyFont="1" applyFill="1" applyBorder="1" applyAlignment="1" applyProtection="1">
      <alignment horizontal="center"/>
    </xf>
    <xf numFmtId="0" fontId="12" fillId="0" borderId="0" xfId="4" applyFont="1" applyAlignment="1">
      <alignment horizontal="right" vertical="center" wrapText="1"/>
    </xf>
    <xf numFmtId="43" fontId="8" fillId="0" borderId="0" xfId="1" applyFont="1" applyFill="1" applyBorder="1" applyAlignment="1" applyProtection="1">
      <alignment horizontal="center" vertical="center"/>
    </xf>
    <xf numFmtId="166" fontId="3" fillId="0" borderId="0" xfId="1" quotePrefix="1" applyNumberFormat="1" applyFont="1" applyFill="1" applyBorder="1" applyAlignment="1" applyProtection="1">
      <alignment horizontal="center"/>
    </xf>
    <xf numFmtId="43" fontId="3" fillId="0" borderId="0" xfId="1" quotePrefix="1" applyFont="1" applyFill="1" applyBorder="1" applyAlignment="1" applyProtection="1">
      <alignment horizontal="center"/>
    </xf>
    <xf numFmtId="41" fontId="3" fillId="0" borderId="0" xfId="0" applyNumberFormat="1" applyFont="1" applyAlignment="1">
      <alignment horizontal="center"/>
    </xf>
    <xf numFmtId="9" fontId="4" fillId="0" borderId="11" xfId="3" applyFont="1" applyFill="1" applyBorder="1" applyAlignment="1" applyProtection="1">
      <alignment horizontal="center" vertical="center"/>
    </xf>
    <xf numFmtId="43" fontId="4" fillId="0" borderId="11" xfId="1" applyFont="1" applyFill="1" applyBorder="1" applyAlignment="1" applyProtection="1">
      <alignment horizontal="center" vertical="center"/>
    </xf>
    <xf numFmtId="166" fontId="3" fillId="0" borderId="0" xfId="0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166" fontId="3" fillId="0" borderId="0" xfId="1" applyNumberFormat="1" applyFont="1" applyFill="1" applyBorder="1" applyAlignment="1" applyProtection="1">
      <alignment horizontal="center" vertical="center"/>
    </xf>
    <xf numFmtId="166" fontId="5" fillId="0" borderId="0" xfId="1" applyNumberFormat="1" applyFont="1" applyFill="1" applyBorder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4" fontId="3" fillId="0" borderId="53" xfId="0" applyNumberFormat="1" applyFont="1" applyBorder="1" applyAlignment="1">
      <alignment horizontal="center" vertical="center"/>
    </xf>
    <xf numFmtId="166" fontId="3" fillId="0" borderId="54" xfId="1" applyNumberFormat="1" applyFont="1" applyFill="1" applyBorder="1" applyAlignment="1">
      <alignment horizontal="center" vertical="center"/>
    </xf>
    <xf numFmtId="4" fontId="3" fillId="0" borderId="50" xfId="0" applyNumberFormat="1" applyFont="1" applyBorder="1" applyAlignment="1">
      <alignment horizontal="center" vertical="center"/>
    </xf>
    <xf numFmtId="4" fontId="3" fillId="0" borderId="48" xfId="0" applyNumberFormat="1" applyFont="1" applyBorder="1" applyAlignment="1">
      <alignment horizontal="center" vertical="center"/>
    </xf>
    <xf numFmtId="9" fontId="3" fillId="0" borderId="55" xfId="3" applyFont="1" applyFill="1" applyBorder="1" applyAlignment="1">
      <alignment horizontal="center" vertical="center"/>
    </xf>
    <xf numFmtId="43" fontId="3" fillId="0" borderId="56" xfId="1" applyFont="1" applyFill="1" applyBorder="1" applyAlignment="1">
      <alignment horizontal="center" vertical="center"/>
    </xf>
    <xf numFmtId="43" fontId="4" fillId="0" borderId="26" xfId="1" applyFont="1" applyFill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41" fontId="4" fillId="0" borderId="29" xfId="2" applyFont="1" applyFill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 wrapText="1"/>
    </xf>
    <xf numFmtId="166" fontId="4" fillId="0" borderId="26" xfId="1" applyNumberFormat="1" applyFont="1" applyFill="1" applyBorder="1" applyAlignment="1">
      <alignment horizontal="center" vertical="center" wrapText="1"/>
    </xf>
    <xf numFmtId="166" fontId="4" fillId="0" borderId="36" xfId="1" applyNumberFormat="1" applyFont="1" applyFill="1" applyBorder="1" applyAlignment="1">
      <alignment horizontal="center" vertical="center"/>
    </xf>
    <xf numFmtId="166" fontId="4" fillId="0" borderId="49" xfId="1" applyNumberFormat="1" applyFont="1" applyFill="1" applyBorder="1" applyAlignment="1">
      <alignment horizontal="center" vertical="center"/>
    </xf>
    <xf numFmtId="166" fontId="4" fillId="0" borderId="27" xfId="1" applyNumberFormat="1" applyFont="1" applyFill="1" applyBorder="1" applyAlignment="1" applyProtection="1">
      <alignment horizontal="left" vertical="center"/>
    </xf>
    <xf numFmtId="166" fontId="4" fillId="0" borderId="28" xfId="1" applyNumberFormat="1" applyFont="1" applyFill="1" applyBorder="1" applyAlignment="1" applyProtection="1">
      <alignment horizontal="centerContinuous" vertical="center"/>
    </xf>
    <xf numFmtId="166" fontId="3" fillId="0" borderId="0" xfId="1" applyNumberFormat="1" applyFont="1" applyFill="1" applyBorder="1" applyAlignment="1" applyProtection="1">
      <alignment horizontal="left"/>
    </xf>
    <xf numFmtId="166" fontId="3" fillId="0" borderId="0" xfId="1" applyNumberFormat="1" applyFont="1" applyFill="1" applyBorder="1" applyAlignment="1" applyProtection="1"/>
    <xf numFmtId="43" fontId="3" fillId="0" borderId="0" xfId="1" applyFont="1" applyFill="1" applyBorder="1" applyAlignment="1">
      <alignment horizontal="center" vertical="center"/>
    </xf>
    <xf numFmtId="43" fontId="4" fillId="0" borderId="0" xfId="1" applyFont="1" applyFill="1" applyBorder="1" applyAlignment="1" applyProtection="1">
      <alignment horizontal="center"/>
    </xf>
    <xf numFmtId="43" fontId="11" fillId="0" borderId="0" xfId="1" quotePrefix="1" applyFont="1" applyFill="1" applyBorder="1" applyAlignment="1" applyProtection="1">
      <alignment horizontal="center"/>
    </xf>
    <xf numFmtId="0" fontId="4" fillId="0" borderId="59" xfId="0" applyFont="1" applyBorder="1" applyAlignment="1">
      <alignment horizontal="center" vertical="center" wrapText="1"/>
    </xf>
    <xf numFmtId="9" fontId="4" fillId="0" borderId="43" xfId="3" applyFont="1" applyFill="1" applyBorder="1" applyAlignment="1">
      <alignment horizontal="center" vertical="center"/>
    </xf>
    <xf numFmtId="2" fontId="7" fillId="0" borderId="13" xfId="4" applyNumberFormat="1" applyFont="1" applyBorder="1" applyAlignment="1">
      <alignment vertical="center"/>
    </xf>
    <xf numFmtId="0" fontId="8" fillId="0" borderId="13" xfId="4" applyFont="1" applyBorder="1" applyAlignment="1">
      <alignment horizontal="center" vertical="center"/>
    </xf>
    <xf numFmtId="2" fontId="8" fillId="0" borderId="13" xfId="4" applyNumberFormat="1" applyFont="1" applyBorder="1" applyAlignment="1">
      <alignment horizontal="center" vertical="center"/>
    </xf>
    <xf numFmtId="43" fontId="8" fillId="0" borderId="13" xfId="5" applyFont="1" applyFill="1" applyBorder="1" applyAlignment="1" applyProtection="1">
      <alignment horizontal="center" vertical="center"/>
    </xf>
    <xf numFmtId="43" fontId="7" fillId="0" borderId="13" xfId="5" applyFont="1" applyFill="1" applyBorder="1" applyAlignment="1" applyProtection="1">
      <alignment horizontal="center" vertical="center"/>
    </xf>
    <xf numFmtId="43" fontId="8" fillId="0" borderId="13" xfId="1" applyFont="1" applyFill="1" applyBorder="1" applyAlignment="1" applyProtection="1">
      <alignment horizontal="center" vertical="center"/>
    </xf>
    <xf numFmtId="9" fontId="7" fillId="0" borderId="13" xfId="6" applyFont="1" applyFill="1" applyBorder="1" applyAlignment="1" applyProtection="1">
      <alignment horizontal="center" vertical="center"/>
    </xf>
    <xf numFmtId="43" fontId="7" fillId="0" borderId="13" xfId="1" applyFont="1" applyFill="1" applyBorder="1" applyAlignment="1" applyProtection="1">
      <alignment horizontal="center" vertical="center"/>
    </xf>
    <xf numFmtId="0" fontId="8" fillId="0" borderId="13" xfId="4" applyFont="1" applyBorder="1" applyAlignment="1">
      <alignment horizontal="left" vertical="center" wrapText="1"/>
    </xf>
    <xf numFmtId="9" fontId="7" fillId="0" borderId="14" xfId="6" applyFont="1" applyFill="1" applyBorder="1" applyAlignment="1" applyProtection="1">
      <alignment horizontal="center" vertical="center" wrapText="1"/>
    </xf>
    <xf numFmtId="43" fontId="7" fillId="0" borderId="26" xfId="1" applyFont="1" applyFill="1" applyBorder="1" applyAlignment="1" applyProtection="1">
      <alignment horizontal="center" vertical="center" wrapText="1"/>
    </xf>
    <xf numFmtId="0" fontId="7" fillId="0" borderId="26" xfId="4" applyFont="1" applyBorder="1" applyAlignment="1">
      <alignment horizontal="center" vertical="center" wrapText="1"/>
    </xf>
    <xf numFmtId="43" fontId="7" fillId="0" borderId="26" xfId="5" applyFont="1" applyFill="1" applyBorder="1" applyAlignment="1" applyProtection="1">
      <alignment horizontal="center" vertical="center" wrapText="1"/>
    </xf>
    <xf numFmtId="9" fontId="7" fillId="0" borderId="26" xfId="6" applyFont="1" applyFill="1" applyBorder="1" applyAlignment="1" applyProtection="1">
      <alignment horizontal="center" vertical="center" wrapText="1"/>
    </xf>
    <xf numFmtId="9" fontId="7" fillId="0" borderId="46" xfId="6" applyFont="1" applyFill="1" applyBorder="1" applyAlignment="1" applyProtection="1">
      <alignment horizontal="center" vertical="center" wrapText="1"/>
    </xf>
    <xf numFmtId="0" fontId="8" fillId="0" borderId="15" xfId="4" applyFont="1" applyBorder="1" applyAlignment="1">
      <alignment horizontal="center" vertical="center"/>
    </xf>
    <xf numFmtId="2" fontId="8" fillId="0" borderId="15" xfId="4" applyNumberFormat="1" applyFont="1" applyBorder="1" applyAlignment="1">
      <alignment horizontal="center" vertical="center"/>
    </xf>
    <xf numFmtId="43" fontId="8" fillId="0" borderId="15" xfId="5" applyFont="1" applyFill="1" applyBorder="1" applyAlignment="1" applyProtection="1">
      <alignment horizontal="center" vertical="center"/>
    </xf>
    <xf numFmtId="43" fontId="8" fillId="0" borderId="15" xfId="1" applyFont="1" applyFill="1" applyBorder="1" applyAlignment="1" applyProtection="1">
      <alignment horizontal="center" vertical="center"/>
    </xf>
    <xf numFmtId="0" fontId="8" fillId="0" borderId="15" xfId="4" applyFont="1" applyBorder="1" applyAlignment="1">
      <alignment horizontal="left" vertical="center" wrapText="1"/>
    </xf>
    <xf numFmtId="0" fontId="7" fillId="0" borderId="15" xfId="4" applyFont="1" applyBorder="1" applyAlignment="1">
      <alignment horizontal="left" vertical="center" wrapText="1"/>
    </xf>
    <xf numFmtId="0" fontId="8" fillId="0" borderId="44" xfId="4" applyFont="1" applyBorder="1" applyAlignment="1">
      <alignment horizontal="center" vertical="center"/>
    </xf>
    <xf numFmtId="0" fontId="7" fillId="0" borderId="40" xfId="4" applyFont="1" applyBorder="1" applyAlignment="1">
      <alignment horizontal="center" vertical="center"/>
    </xf>
    <xf numFmtId="2" fontId="8" fillId="0" borderId="40" xfId="4" applyNumberFormat="1" applyFont="1" applyBorder="1" applyAlignment="1">
      <alignment horizontal="center" vertical="center"/>
    </xf>
    <xf numFmtId="43" fontId="8" fillId="0" borderId="40" xfId="5" applyFont="1" applyFill="1" applyBorder="1" applyAlignment="1" applyProtection="1">
      <alignment horizontal="center" vertical="center"/>
    </xf>
    <xf numFmtId="2" fontId="7" fillId="0" borderId="41" xfId="6" applyNumberFormat="1" applyFont="1" applyFill="1" applyBorder="1" applyAlignment="1" applyProtection="1">
      <alignment horizontal="center" vertical="center"/>
    </xf>
    <xf numFmtId="43" fontId="7" fillId="0" borderId="41" xfId="1" applyFont="1" applyFill="1" applyBorder="1" applyAlignment="1" applyProtection="1">
      <alignment horizontal="center" vertical="center"/>
    </xf>
    <xf numFmtId="43" fontId="7" fillId="0" borderId="44" xfId="1" applyFont="1" applyFill="1" applyBorder="1" applyAlignment="1" applyProtection="1">
      <alignment horizontal="center" vertical="center"/>
    </xf>
    <xf numFmtId="9" fontId="8" fillId="0" borderId="40" xfId="6" applyFont="1" applyFill="1" applyBorder="1" applyAlignment="1" applyProtection="1">
      <alignment horizontal="center" vertical="center"/>
    </xf>
    <xf numFmtId="43" fontId="8" fillId="0" borderId="40" xfId="1" applyFont="1" applyFill="1" applyBorder="1" applyAlignment="1" applyProtection="1">
      <alignment horizontal="center" vertical="center"/>
    </xf>
    <xf numFmtId="166" fontId="7" fillId="0" borderId="40" xfId="5" applyNumberFormat="1" applyFont="1" applyFill="1" applyBorder="1" applyAlignment="1" applyProtection="1">
      <alignment horizontal="center" vertical="center"/>
    </xf>
    <xf numFmtId="2" fontId="8" fillId="0" borderId="40" xfId="6" applyNumberFormat="1" applyFont="1" applyFill="1" applyBorder="1" applyAlignment="1" applyProtection="1">
      <alignment horizontal="center" vertical="center"/>
    </xf>
    <xf numFmtId="43" fontId="8" fillId="0" borderId="38" xfId="5" applyFont="1" applyFill="1" applyBorder="1" applyAlignment="1" applyProtection="1">
      <alignment horizontal="center" vertical="center"/>
    </xf>
    <xf numFmtId="0" fontId="8" fillId="0" borderId="41" xfId="4" applyFont="1" applyBorder="1" applyAlignment="1">
      <alignment horizontal="left" vertical="center" wrapText="1"/>
    </xf>
    <xf numFmtId="0" fontId="7" fillId="0" borderId="0" xfId="4" applyFont="1" applyAlignment="1">
      <alignment horizontal="center" vertical="center"/>
    </xf>
    <xf numFmtId="2" fontId="8" fillId="0" borderId="0" xfId="4" applyNumberFormat="1" applyFont="1" applyAlignment="1">
      <alignment horizontal="center" vertical="center"/>
    </xf>
    <xf numFmtId="2" fontId="7" fillId="0" borderId="0" xfId="6" applyNumberFormat="1" applyFont="1" applyFill="1" applyBorder="1" applyAlignment="1" applyProtection="1">
      <alignment horizontal="center" vertical="center"/>
    </xf>
    <xf numFmtId="43" fontId="7" fillId="0" borderId="0" xfId="1" applyFont="1" applyFill="1" applyBorder="1" applyAlignment="1" applyProtection="1">
      <alignment horizontal="center" vertical="center"/>
    </xf>
    <xf numFmtId="9" fontId="8" fillId="0" borderId="0" xfId="6" applyFont="1" applyFill="1" applyBorder="1" applyAlignment="1" applyProtection="1">
      <alignment horizontal="center" vertical="center"/>
    </xf>
    <xf numFmtId="166" fontId="7" fillId="0" borderId="0" xfId="5" applyNumberFormat="1" applyFont="1" applyFill="1" applyBorder="1" applyAlignment="1" applyProtection="1">
      <alignment horizontal="center" vertical="center"/>
    </xf>
    <xf numFmtId="2" fontId="8" fillId="0" borderId="0" xfId="6" applyNumberFormat="1" applyFont="1" applyFill="1" applyBorder="1" applyAlignment="1" applyProtection="1">
      <alignment horizontal="center" vertical="center"/>
    </xf>
    <xf numFmtId="0" fontId="8" fillId="0" borderId="0" xfId="4" applyFont="1" applyAlignment="1">
      <alignment horizontal="left" vertical="center" wrapText="1"/>
    </xf>
    <xf numFmtId="0" fontId="7" fillId="0" borderId="0" xfId="4" applyFont="1" applyAlignment="1">
      <alignment vertical="center"/>
    </xf>
    <xf numFmtId="43" fontId="7" fillId="0" borderId="0" xfId="5" applyFont="1" applyFill="1" applyBorder="1" applyAlignment="1" applyProtection="1">
      <alignment horizontal="center" vertical="center"/>
    </xf>
    <xf numFmtId="13" fontId="8" fillId="0" borderId="0" xfId="1" applyNumberFormat="1" applyFont="1" applyFill="1" applyBorder="1" applyAlignment="1" applyProtection="1">
      <alignment horizontal="center" vertical="center"/>
    </xf>
    <xf numFmtId="43" fontId="8" fillId="0" borderId="0" xfId="5" quotePrefix="1" applyFont="1" applyFill="1" applyBorder="1" applyAlignment="1" applyProtection="1">
      <alignment horizontal="center" vertical="center"/>
    </xf>
    <xf numFmtId="0" fontId="8" fillId="0" borderId="0" xfId="1" applyNumberFormat="1" applyFont="1" applyFill="1" applyBorder="1" applyAlignment="1" applyProtection="1">
      <alignment horizontal="center" vertical="center"/>
    </xf>
    <xf numFmtId="20" fontId="8" fillId="0" borderId="0" xfId="1" applyNumberFormat="1" applyFont="1" applyFill="1" applyBorder="1" applyAlignment="1" applyProtection="1">
      <alignment horizontal="center" vertical="center"/>
    </xf>
    <xf numFmtId="169" fontId="8" fillId="0" borderId="0" xfId="1" applyNumberFormat="1" applyFont="1" applyFill="1" applyBorder="1" applyAlignment="1" applyProtection="1">
      <alignment horizontal="center" vertical="center"/>
    </xf>
    <xf numFmtId="43" fontId="8" fillId="0" borderId="15" xfId="5" applyFont="1" applyFill="1" applyBorder="1" applyAlignment="1" applyProtection="1">
      <alignment vertical="center"/>
    </xf>
    <xf numFmtId="0" fontId="8" fillId="0" borderId="41" xfId="4" applyFont="1" applyBorder="1" applyAlignment="1">
      <alignment horizontal="center" vertical="center"/>
    </xf>
    <xf numFmtId="2" fontId="8" fillId="0" borderId="41" xfId="4" applyNumberFormat="1" applyFont="1" applyBorder="1" applyAlignment="1">
      <alignment horizontal="center" vertical="center"/>
    </xf>
    <xf numFmtId="9" fontId="8" fillId="0" borderId="41" xfId="6" applyFont="1" applyFill="1" applyBorder="1" applyAlignment="1" applyProtection="1">
      <alignment horizontal="center" vertical="center"/>
    </xf>
    <xf numFmtId="20" fontId="3" fillId="0" borderId="0" xfId="0" applyNumberFormat="1" applyFont="1" applyAlignment="1">
      <alignment horizontal="center"/>
    </xf>
    <xf numFmtId="20" fontId="3" fillId="0" borderId="0" xfId="1" applyNumberFormat="1" applyFont="1" applyFill="1" applyBorder="1" applyAlignment="1" applyProtection="1">
      <alignment horizontal="center"/>
    </xf>
    <xf numFmtId="43" fontId="3" fillId="0" borderId="0" xfId="1" applyFont="1" applyFill="1" applyBorder="1" applyAlignment="1" applyProtection="1">
      <alignment horizontal="center"/>
    </xf>
    <xf numFmtId="0" fontId="4" fillId="0" borderId="58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166" fontId="15" fillId="0" borderId="0" xfId="1" applyNumberFormat="1" applyFont="1" applyFill="1" applyBorder="1" applyAlignment="1" applyProtection="1">
      <alignment horizontal="center" vertical="center"/>
    </xf>
    <xf numFmtId="41" fontId="15" fillId="0" borderId="11" xfId="2" applyFont="1" applyFill="1" applyBorder="1" applyAlignment="1" applyProtection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9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33" xfId="0" applyFont="1" applyBorder="1" applyAlignment="1">
      <alignment vertical="center" wrapText="1"/>
    </xf>
    <xf numFmtId="0" fontId="8" fillId="0" borderId="37" xfId="4" applyFont="1" applyBorder="1" applyAlignment="1">
      <alignment horizontal="center" vertical="center"/>
    </xf>
    <xf numFmtId="2" fontId="8" fillId="0" borderId="37" xfId="4" applyNumberFormat="1" applyFont="1" applyBorder="1" applyAlignment="1">
      <alignment horizontal="center" vertical="center"/>
    </xf>
    <xf numFmtId="9" fontId="8" fillId="0" borderId="37" xfId="6" applyFont="1" applyFill="1" applyBorder="1" applyAlignment="1" applyProtection="1">
      <alignment horizontal="center" vertical="center"/>
    </xf>
    <xf numFmtId="43" fontId="8" fillId="0" borderId="37" xfId="1" applyFont="1" applyFill="1" applyBorder="1" applyAlignment="1" applyProtection="1">
      <alignment horizontal="center" vertical="center"/>
    </xf>
    <xf numFmtId="2" fontId="8" fillId="0" borderId="48" xfId="6" applyNumberFormat="1" applyFont="1" applyFill="1" applyBorder="1" applyAlignment="1" applyProtection="1">
      <alignment horizontal="center" vertical="center"/>
    </xf>
    <xf numFmtId="14" fontId="8" fillId="0" borderId="15" xfId="4" applyNumberFormat="1" applyFont="1" applyBorder="1" applyAlignment="1">
      <alignment horizontal="center" vertical="center"/>
    </xf>
    <xf numFmtId="0" fontId="16" fillId="2" borderId="15" xfId="4" applyFont="1" applyFill="1" applyBorder="1" applyAlignment="1">
      <alignment horizontal="left" vertical="center" wrapText="1"/>
    </xf>
    <xf numFmtId="2" fontId="8" fillId="0" borderId="15" xfId="6" applyNumberFormat="1" applyFont="1" applyFill="1" applyBorder="1" applyAlignment="1" applyProtection="1">
      <alignment horizontal="center" vertical="center"/>
    </xf>
    <xf numFmtId="43" fontId="16" fillId="2" borderId="15" xfId="5" applyFont="1" applyFill="1" applyBorder="1" applyAlignment="1" applyProtection="1">
      <alignment vertical="center"/>
    </xf>
    <xf numFmtId="2" fontId="16" fillId="0" borderId="15" xfId="4" applyNumberFormat="1" applyFont="1" applyBorder="1" applyAlignment="1">
      <alignment horizontal="center" vertical="center"/>
    </xf>
    <xf numFmtId="43" fontId="16" fillId="0" borderId="15" xfId="5" applyFont="1" applyFill="1" applyBorder="1" applyAlignment="1" applyProtection="1">
      <alignment horizontal="center" vertical="center"/>
    </xf>
    <xf numFmtId="43" fontId="16" fillId="0" borderId="15" xfId="1" applyFont="1" applyFill="1" applyBorder="1" applyAlignment="1" applyProtection="1">
      <alignment horizontal="center" vertical="center"/>
    </xf>
    <xf numFmtId="43" fontId="16" fillId="0" borderId="37" xfId="1" applyFont="1" applyFill="1" applyBorder="1" applyAlignment="1" applyProtection="1">
      <alignment horizontal="center" vertical="center"/>
    </xf>
    <xf numFmtId="0" fontId="16" fillId="0" borderId="37" xfId="4" applyFont="1" applyBorder="1" applyAlignment="1">
      <alignment horizontal="center" vertical="center"/>
    </xf>
    <xf numFmtId="2" fontId="16" fillId="0" borderId="37" xfId="4" applyNumberFormat="1" applyFont="1" applyBorder="1" applyAlignment="1">
      <alignment horizontal="center" vertical="center"/>
    </xf>
    <xf numFmtId="9" fontId="16" fillId="0" borderId="37" xfId="6" applyFont="1" applyFill="1" applyBorder="1" applyAlignment="1" applyProtection="1">
      <alignment horizontal="center" vertical="center"/>
    </xf>
    <xf numFmtId="0" fontId="16" fillId="0" borderId="15" xfId="4" applyFont="1" applyBorder="1" applyAlignment="1">
      <alignment horizontal="center" vertical="center"/>
    </xf>
    <xf numFmtId="43" fontId="8" fillId="0" borderId="37" xfId="1" applyFont="1" applyFill="1" applyBorder="1" applyAlignment="1" applyProtection="1">
      <alignment horizontal="center" vertical="center" wrapText="1"/>
    </xf>
    <xf numFmtId="2" fontId="7" fillId="0" borderId="15" xfId="6" applyNumberFormat="1" applyFont="1" applyFill="1" applyBorder="1" applyAlignment="1" applyProtection="1">
      <alignment vertical="center"/>
    </xf>
    <xf numFmtId="172" fontId="8" fillId="0" borderId="69" xfId="2" applyNumberFormat="1" applyFont="1" applyFill="1" applyBorder="1" applyAlignment="1" applyProtection="1">
      <alignment vertical="center"/>
    </xf>
    <xf numFmtId="43" fontId="3" fillId="0" borderId="55" xfId="3" applyNumberFormat="1" applyFont="1" applyFill="1" applyBorder="1" applyAlignment="1">
      <alignment horizontal="center" vertical="center"/>
    </xf>
    <xf numFmtId="43" fontId="4" fillId="0" borderId="11" xfId="0" applyNumberFormat="1" applyFont="1" applyBorder="1" applyAlignment="1">
      <alignment horizontal="center"/>
    </xf>
    <xf numFmtId="43" fontId="4" fillId="0" borderId="1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3" fillId="0" borderId="11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166" fontId="4" fillId="0" borderId="71" xfId="1" applyNumberFormat="1" applyFont="1" applyFill="1" applyBorder="1" applyAlignment="1">
      <alignment horizontal="center" vertical="center"/>
    </xf>
    <xf numFmtId="166" fontId="4" fillId="0" borderId="72" xfId="1" applyNumberFormat="1" applyFont="1" applyFill="1" applyBorder="1" applyAlignment="1" applyProtection="1">
      <alignment horizontal="left" vertical="center"/>
    </xf>
    <xf numFmtId="43" fontId="15" fillId="0" borderId="16" xfId="1" applyFont="1" applyFill="1" applyBorder="1" applyAlignment="1">
      <alignment horizontal="center" vertical="center"/>
    </xf>
    <xf numFmtId="167" fontId="15" fillId="0" borderId="50" xfId="0" applyNumberFormat="1" applyFont="1" applyBorder="1" applyAlignment="1">
      <alignment horizontal="center" vertical="center"/>
    </xf>
    <xf numFmtId="4" fontId="19" fillId="0" borderId="39" xfId="0" applyNumberFormat="1" applyFont="1" applyBorder="1" applyAlignment="1">
      <alignment horizontal="center" vertical="center"/>
    </xf>
    <xf numFmtId="167" fontId="19" fillId="0" borderId="34" xfId="0" applyNumberFormat="1" applyFont="1" applyBorder="1" applyAlignment="1">
      <alignment horizontal="center" vertical="center"/>
    </xf>
    <xf numFmtId="166" fontId="4" fillId="0" borderId="38" xfId="1" applyNumberFormat="1" applyFont="1" applyFill="1" applyBorder="1" applyAlignment="1" applyProtection="1">
      <alignment horizontal="center" vertical="center"/>
    </xf>
    <xf numFmtId="9" fontId="4" fillId="0" borderId="34" xfId="3" applyFont="1" applyFill="1" applyBorder="1" applyAlignment="1" applyProtection="1">
      <alignment horizontal="center" vertical="center"/>
    </xf>
    <xf numFmtId="43" fontId="4" fillId="0" borderId="38" xfId="1" applyFont="1" applyFill="1" applyBorder="1" applyAlignment="1" applyProtection="1">
      <alignment horizontal="center" vertical="center"/>
    </xf>
    <xf numFmtId="9" fontId="4" fillId="0" borderId="41" xfId="3" applyFont="1" applyFill="1" applyBorder="1" applyAlignment="1" applyProtection="1">
      <alignment horizontal="center" vertical="center"/>
    </xf>
    <xf numFmtId="3" fontId="4" fillId="0" borderId="38" xfId="1" applyNumberFormat="1" applyFont="1" applyFill="1" applyBorder="1" applyAlignment="1" applyProtection="1">
      <alignment horizontal="center" vertical="center"/>
    </xf>
    <xf numFmtId="3" fontId="4" fillId="0" borderId="42" xfId="0" applyNumberFormat="1" applyFont="1" applyBorder="1" applyAlignment="1">
      <alignment horizontal="center" vertical="center"/>
    </xf>
    <xf numFmtId="166" fontId="4" fillId="0" borderId="34" xfId="1" applyNumberFormat="1" applyFont="1" applyFill="1" applyBorder="1" applyAlignment="1">
      <alignment horizontal="center" vertical="center"/>
    </xf>
    <xf numFmtId="3" fontId="4" fillId="0" borderId="34" xfId="0" applyNumberFormat="1" applyFont="1" applyBorder="1" applyAlignment="1">
      <alignment horizontal="center" vertical="center"/>
    </xf>
    <xf numFmtId="166" fontId="4" fillId="0" borderId="43" xfId="1" applyNumberFormat="1" applyFont="1" applyFill="1" applyBorder="1" applyAlignment="1" applyProtection="1">
      <alignment horizontal="center" vertical="center"/>
    </xf>
    <xf numFmtId="9" fontId="4" fillId="0" borderId="11" xfId="0" applyNumberFormat="1" applyFont="1" applyBorder="1" applyAlignment="1">
      <alignment horizontal="center"/>
    </xf>
    <xf numFmtId="166" fontId="4" fillId="3" borderId="38" xfId="1" applyNumberFormat="1" applyFont="1" applyFill="1" applyBorder="1" applyAlignment="1" applyProtection="1">
      <alignment horizontal="center" vertical="center"/>
    </xf>
    <xf numFmtId="4" fontId="4" fillId="0" borderId="21" xfId="0" applyNumberFormat="1" applyFont="1" applyBorder="1" applyAlignment="1">
      <alignment horizontal="center" vertical="center"/>
    </xf>
    <xf numFmtId="4" fontId="4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73" fontId="20" fillId="0" borderId="11" xfId="1" applyNumberFormat="1" applyFont="1" applyFill="1" applyBorder="1" applyAlignment="1" applyProtection="1">
      <alignment horizontal="center" vertical="center"/>
    </xf>
    <xf numFmtId="0" fontId="3" fillId="0" borderId="0" xfId="0" applyFont="1" applyAlignment="1">
      <alignment horizontal="left" vertical="center"/>
    </xf>
    <xf numFmtId="43" fontId="3" fillId="0" borderId="11" xfId="0" applyNumberFormat="1" applyFont="1" applyBorder="1" applyAlignment="1">
      <alignment horizontal="center" vertical="center"/>
    </xf>
    <xf numFmtId="166" fontId="4" fillId="0" borderId="0" xfId="1" applyNumberFormat="1" applyFont="1" applyFill="1" applyBorder="1" applyAlignment="1" applyProtection="1">
      <alignment horizontal="center" vertical="center"/>
    </xf>
    <xf numFmtId="0" fontId="4" fillId="0" borderId="0" xfId="0" applyFont="1" applyAlignment="1">
      <alignment horizontal="center" vertical="center"/>
    </xf>
    <xf numFmtId="170" fontId="4" fillId="0" borderId="24" xfId="1" applyNumberFormat="1" applyFont="1" applyFill="1" applyBorder="1" applyAlignment="1">
      <alignment horizontal="center" vertical="center"/>
    </xf>
    <xf numFmtId="170" fontId="4" fillId="0" borderId="12" xfId="1" applyNumberFormat="1" applyFont="1" applyFill="1" applyBorder="1" applyAlignment="1">
      <alignment horizontal="center" vertical="center"/>
    </xf>
    <xf numFmtId="43" fontId="4" fillId="0" borderId="12" xfId="1" applyFont="1" applyFill="1" applyBorder="1" applyAlignment="1" applyProtection="1">
      <alignment horizontal="center"/>
    </xf>
    <xf numFmtId="4" fontId="4" fillId="0" borderId="14" xfId="0" applyNumberFormat="1" applyFont="1" applyBorder="1" applyAlignment="1">
      <alignment horizontal="center" vertical="center"/>
    </xf>
    <xf numFmtId="43" fontId="4" fillId="0" borderId="35" xfId="1" applyFont="1" applyFill="1" applyBorder="1" applyAlignment="1" applyProtection="1">
      <alignment horizontal="center"/>
    </xf>
    <xf numFmtId="4" fontId="4" fillId="0" borderId="26" xfId="0" applyNumberFormat="1" applyFont="1" applyBorder="1" applyAlignment="1">
      <alignment horizontal="center"/>
    </xf>
    <xf numFmtId="43" fontId="4" fillId="0" borderId="29" xfId="1" applyFont="1" applyFill="1" applyBorder="1" applyAlignment="1" applyProtection="1">
      <alignment horizontal="center"/>
    </xf>
    <xf numFmtId="43" fontId="4" fillId="0" borderId="34" xfId="3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5" fillId="0" borderId="0" xfId="0" applyFont="1" applyAlignment="1">
      <alignment horizontal="center"/>
    </xf>
    <xf numFmtId="41" fontId="15" fillId="0" borderId="0" xfId="0" applyNumberFormat="1" applyFont="1" applyAlignment="1">
      <alignment horizontal="center"/>
    </xf>
    <xf numFmtId="166" fontId="23" fillId="0" borderId="0" xfId="1" applyNumberFormat="1" applyFont="1" applyFill="1" applyBorder="1" applyAlignment="1" applyProtection="1">
      <alignment horizontal="center"/>
    </xf>
    <xf numFmtId="166" fontId="15" fillId="0" borderId="0" xfId="1" applyNumberFormat="1" applyFont="1" applyFill="1" applyBorder="1" applyAlignment="1" applyProtection="1">
      <alignment horizontal="center"/>
    </xf>
    <xf numFmtId="166" fontId="19" fillId="0" borderId="21" xfId="1" applyNumberFormat="1" applyFont="1" applyFill="1" applyBorder="1" applyAlignment="1">
      <alignment horizontal="center" vertical="center"/>
    </xf>
    <xf numFmtId="166" fontId="19" fillId="0" borderId="11" xfId="1" applyNumberFormat="1" applyFont="1" applyFill="1" applyBorder="1" applyAlignment="1">
      <alignment horizontal="center" vertical="center"/>
    </xf>
    <xf numFmtId="166" fontId="19" fillId="0" borderId="11" xfId="1" applyNumberFormat="1" applyFont="1" applyFill="1" applyBorder="1" applyAlignment="1">
      <alignment horizontal="centerContinuous" vertical="center"/>
    </xf>
    <xf numFmtId="166" fontId="19" fillId="0" borderId="14" xfId="1" applyNumberFormat="1" applyFont="1" applyFill="1" applyBorder="1" applyAlignment="1">
      <alignment horizontal="centerContinuous" vertical="center"/>
    </xf>
    <xf numFmtId="166" fontId="19" fillId="0" borderId="26" xfId="1" applyNumberFormat="1" applyFont="1" applyFill="1" applyBorder="1" applyAlignment="1" applyProtection="1">
      <alignment horizontal="centerContinuous" vertical="center"/>
    </xf>
    <xf numFmtId="166" fontId="19" fillId="0" borderId="0" xfId="1" applyNumberFormat="1" applyFont="1" applyFill="1" applyBorder="1" applyAlignment="1" applyProtection="1">
      <alignment horizontal="center"/>
    </xf>
    <xf numFmtId="166" fontId="15" fillId="0" borderId="0" xfId="1" quotePrefix="1" applyNumberFormat="1" applyFont="1" applyFill="1" applyBorder="1" applyAlignment="1" applyProtection="1">
      <alignment horizontal="center"/>
    </xf>
    <xf numFmtId="43" fontId="15" fillId="0" borderId="0" xfId="1" applyFont="1" applyFill="1" applyBorder="1" applyAlignment="1" applyProtection="1">
      <alignment horizontal="center"/>
    </xf>
    <xf numFmtId="43" fontId="15" fillId="0" borderId="68" xfId="1" applyFont="1" applyFill="1" applyBorder="1" applyAlignment="1">
      <alignment horizontal="center" vertical="center"/>
    </xf>
    <xf numFmtId="2" fontId="15" fillId="0" borderId="0" xfId="1" applyNumberFormat="1" applyFont="1" applyFill="1" applyBorder="1" applyAlignment="1" applyProtection="1">
      <alignment horizontal="center" vertical="center"/>
    </xf>
    <xf numFmtId="171" fontId="15" fillId="0" borderId="0" xfId="1" applyNumberFormat="1" applyFont="1" applyFill="1" applyBorder="1" applyAlignment="1" applyProtection="1">
      <alignment horizontal="center" vertical="center"/>
    </xf>
    <xf numFmtId="9" fontId="15" fillId="0" borderId="52" xfId="3" applyFont="1" applyFill="1" applyBorder="1" applyAlignment="1">
      <alignment horizontal="center" vertical="center"/>
    </xf>
    <xf numFmtId="170" fontId="4" fillId="0" borderId="40" xfId="0" applyNumberFormat="1" applyFont="1" applyBorder="1" applyAlignment="1">
      <alignment horizontal="center" vertical="center"/>
    </xf>
    <xf numFmtId="170" fontId="4" fillId="0" borderId="39" xfId="0" applyNumberFormat="1" applyFont="1" applyBorder="1" applyAlignment="1">
      <alignment horizontal="center" vertical="center"/>
    </xf>
    <xf numFmtId="167" fontId="19" fillId="0" borderId="0" xfId="0" applyNumberFormat="1" applyFont="1" applyAlignment="1">
      <alignment horizontal="center" vertical="center"/>
    </xf>
    <xf numFmtId="3" fontId="4" fillId="0" borderId="0" xfId="1" applyNumberFormat="1" applyFont="1" applyFill="1" applyBorder="1" applyAlignment="1" applyProtection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4" fillId="0" borderId="0" xfId="1" applyNumberFormat="1" applyFont="1" applyFill="1" applyBorder="1" applyAlignment="1">
      <alignment horizontal="center" vertical="center"/>
    </xf>
    <xf numFmtId="4" fontId="19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9" fontId="4" fillId="0" borderId="0" xfId="3" applyFont="1" applyFill="1" applyBorder="1" applyAlignment="1">
      <alignment horizontal="center" vertical="center"/>
    </xf>
    <xf numFmtId="43" fontId="4" fillId="0" borderId="0" xfId="3" applyNumberFormat="1" applyFont="1" applyFill="1" applyBorder="1" applyAlignment="1">
      <alignment horizontal="center" vertical="center"/>
    </xf>
    <xf numFmtId="170" fontId="4" fillId="0" borderId="0" xfId="0" applyNumberFormat="1" applyFont="1" applyAlignment="1">
      <alignment horizontal="center" vertical="center"/>
    </xf>
    <xf numFmtId="166" fontId="4" fillId="2" borderId="0" xfId="1" applyNumberFormat="1" applyFont="1" applyFill="1" applyBorder="1" applyAlignment="1" applyProtection="1">
      <alignment horizontal="center" vertical="center"/>
    </xf>
    <xf numFmtId="9" fontId="4" fillId="2" borderId="0" xfId="3" applyFont="1" applyFill="1" applyBorder="1" applyAlignment="1" applyProtection="1">
      <alignment horizontal="center" vertical="center"/>
    </xf>
    <xf numFmtId="41" fontId="19" fillId="2" borderId="0" xfId="1" applyNumberFormat="1" applyFont="1" applyFill="1" applyBorder="1" applyAlignment="1" applyProtection="1">
      <alignment horizontal="center" vertical="center"/>
    </xf>
    <xf numFmtId="43" fontId="4" fillId="2" borderId="0" xfId="1" applyFont="1" applyFill="1" applyBorder="1" applyAlignment="1" applyProtection="1">
      <alignment horizontal="center" vertical="center"/>
    </xf>
    <xf numFmtId="43" fontId="22" fillId="0" borderId="0" xfId="1" applyFont="1" applyFill="1" applyBorder="1" applyAlignment="1" applyProtection="1">
      <alignment horizontal="center"/>
    </xf>
    <xf numFmtId="43" fontId="19" fillId="0" borderId="0" xfId="1" applyFont="1" applyFill="1" applyBorder="1" applyAlignment="1" applyProtection="1">
      <alignment horizontal="center"/>
    </xf>
    <xf numFmtId="43" fontId="19" fillId="0" borderId="38" xfId="1" applyFont="1" applyFill="1" applyBorder="1" applyAlignment="1" applyProtection="1">
      <alignment horizontal="center" vertical="center"/>
    </xf>
    <xf numFmtId="43" fontId="19" fillId="0" borderId="0" xfId="1" applyFont="1" applyFill="1" applyBorder="1" applyAlignment="1" applyProtection="1">
      <alignment horizontal="center" vertical="center"/>
    </xf>
    <xf numFmtId="43" fontId="19" fillId="0" borderId="10" xfId="1" applyFont="1" applyFill="1" applyBorder="1" applyAlignment="1">
      <alignment horizontal="left" vertical="center"/>
    </xf>
    <xf numFmtId="43" fontId="19" fillId="0" borderId="67" xfId="1" applyFont="1" applyFill="1" applyBorder="1" applyAlignment="1" applyProtection="1">
      <alignment horizontal="left" vertical="center"/>
    </xf>
    <xf numFmtId="43" fontId="23" fillId="0" borderId="0" xfId="1" applyFont="1" applyFill="1" applyBorder="1" applyAlignment="1" applyProtection="1">
      <alignment horizontal="center"/>
    </xf>
    <xf numFmtId="43" fontId="19" fillId="0" borderId="66" xfId="1" applyFont="1" applyFill="1" applyBorder="1" applyAlignment="1">
      <alignment horizontal="left" vertical="center"/>
    </xf>
    <xf numFmtId="43" fontId="4" fillId="3" borderId="38" xfId="1" applyFont="1" applyFill="1" applyBorder="1" applyAlignment="1" applyProtection="1">
      <alignment horizontal="center" vertical="center"/>
    </xf>
    <xf numFmtId="4" fontId="4" fillId="3" borderId="41" xfId="0" applyNumberFormat="1" applyFont="1" applyFill="1" applyBorder="1" applyAlignment="1">
      <alignment horizontal="center" vertical="center"/>
    </xf>
    <xf numFmtId="43" fontId="4" fillId="3" borderId="34" xfId="1" applyFont="1" applyFill="1" applyBorder="1" applyAlignment="1">
      <alignment horizontal="center" vertical="center"/>
    </xf>
    <xf numFmtId="43" fontId="4" fillId="2" borderId="43" xfId="3" applyNumberFormat="1" applyFont="1" applyFill="1" applyBorder="1" applyAlignment="1">
      <alignment horizontal="center" vertical="center"/>
    </xf>
    <xf numFmtId="166" fontId="21" fillId="0" borderId="48" xfId="1" applyNumberFormat="1" applyFont="1" applyFill="1" applyBorder="1" applyAlignment="1">
      <alignment horizontal="center" vertical="center"/>
    </xf>
    <xf numFmtId="9" fontId="21" fillId="0" borderId="52" xfId="3" applyFont="1" applyFill="1" applyBorder="1" applyAlignment="1">
      <alignment horizontal="center" vertical="center"/>
    </xf>
    <xf numFmtId="4" fontId="21" fillId="0" borderId="53" xfId="0" applyNumberFormat="1" applyFont="1" applyBorder="1" applyAlignment="1">
      <alignment horizontal="center" vertical="center"/>
    </xf>
    <xf numFmtId="166" fontId="21" fillId="0" borderId="54" xfId="1" applyNumberFormat="1" applyFont="1" applyFill="1" applyBorder="1" applyAlignment="1">
      <alignment horizontal="center" vertical="center"/>
    </xf>
    <xf numFmtId="4" fontId="21" fillId="0" borderId="50" xfId="0" applyNumberFormat="1" applyFont="1" applyBorder="1" applyAlignment="1">
      <alignment horizontal="center" vertical="center"/>
    </xf>
    <xf numFmtId="4" fontId="21" fillId="0" borderId="48" xfId="0" applyNumberFormat="1" applyFont="1" applyBorder="1" applyAlignment="1">
      <alignment horizontal="center" vertical="center"/>
    </xf>
    <xf numFmtId="9" fontId="21" fillId="0" borderId="55" xfId="3" applyFont="1" applyFill="1" applyBorder="1" applyAlignment="1">
      <alignment horizontal="center" vertical="center"/>
    </xf>
    <xf numFmtId="43" fontId="21" fillId="0" borderId="55" xfId="3" applyNumberFormat="1" applyFont="1" applyFill="1" applyBorder="1" applyAlignment="1">
      <alignment horizontal="center" vertical="center"/>
    </xf>
    <xf numFmtId="43" fontId="21" fillId="0" borderId="56" xfId="1" applyFont="1" applyFill="1" applyBorder="1" applyAlignment="1">
      <alignment horizontal="center" vertical="center"/>
    </xf>
    <xf numFmtId="41" fontId="21" fillId="2" borderId="15" xfId="1" applyNumberFormat="1" applyFont="1" applyFill="1" applyBorder="1" applyAlignment="1">
      <alignment horizontal="center" vertical="center"/>
    </xf>
    <xf numFmtId="166" fontId="21" fillId="2" borderId="15" xfId="1" applyNumberFormat="1" applyFont="1" applyFill="1" applyBorder="1" applyAlignment="1">
      <alignment horizontal="center" vertical="center"/>
    </xf>
    <xf numFmtId="43" fontId="21" fillId="0" borderId="15" xfId="1" applyFont="1" applyFill="1" applyBorder="1" applyAlignment="1" applyProtection="1">
      <alignment horizontal="center" vertical="center"/>
    </xf>
    <xf numFmtId="166" fontId="21" fillId="0" borderId="18" xfId="1" applyNumberFormat="1" applyFont="1" applyFill="1" applyBorder="1" applyAlignment="1">
      <alignment horizontal="center" vertical="center"/>
    </xf>
    <xf numFmtId="41" fontId="21" fillId="0" borderId="16" xfId="2" applyFont="1" applyFill="1" applyBorder="1" applyAlignment="1">
      <alignment horizontal="center" vertical="center"/>
    </xf>
    <xf numFmtId="41" fontId="21" fillId="0" borderId="15" xfId="2" applyFont="1" applyFill="1" applyBorder="1" applyAlignment="1">
      <alignment horizontal="center" vertical="center"/>
    </xf>
    <xf numFmtId="41" fontId="21" fillId="0" borderId="17" xfId="2" applyFont="1" applyFill="1" applyBorder="1" applyAlignment="1">
      <alignment horizontal="center" vertical="center"/>
    </xf>
    <xf numFmtId="166" fontId="21" fillId="0" borderId="19" xfId="2" applyNumberFormat="1" applyFont="1" applyFill="1" applyBorder="1" applyAlignment="1">
      <alignment horizontal="center" vertical="center"/>
    </xf>
    <xf numFmtId="41" fontId="21" fillId="2" borderId="15" xfId="1" applyNumberFormat="1" applyFont="1" applyFill="1" applyBorder="1" applyAlignment="1" applyProtection="1">
      <alignment horizontal="center" vertical="center"/>
    </xf>
    <xf numFmtId="3" fontId="21" fillId="0" borderId="30" xfId="0" applyNumberFormat="1" applyFont="1" applyBorder="1" applyAlignment="1">
      <alignment horizontal="center" vertical="center"/>
    </xf>
    <xf numFmtId="20" fontId="21" fillId="0" borderId="18" xfId="0" applyNumberFormat="1" applyFont="1" applyBorder="1" applyAlignment="1">
      <alignment horizontal="center" vertical="center"/>
    </xf>
    <xf numFmtId="20" fontId="21" fillId="0" borderId="16" xfId="0" applyNumberFormat="1" applyFont="1" applyBorder="1" applyAlignment="1">
      <alignment horizontal="center" vertical="center"/>
    </xf>
    <xf numFmtId="166" fontId="21" fillId="2" borderId="15" xfId="1" applyNumberFormat="1" applyFont="1" applyFill="1" applyBorder="1" applyAlignment="1" applyProtection="1">
      <alignment horizontal="center" vertical="center"/>
    </xf>
    <xf numFmtId="43" fontId="21" fillId="0" borderId="15" xfId="1" applyFont="1" applyFill="1" applyBorder="1" applyAlignment="1" applyProtection="1">
      <alignment horizontal="right" vertical="center"/>
    </xf>
    <xf numFmtId="43" fontId="15" fillId="2" borderId="64" xfId="1" applyFont="1" applyFill="1" applyBorder="1" applyAlignment="1">
      <alignment horizontal="center" vertical="center"/>
    </xf>
    <xf numFmtId="43" fontId="21" fillId="0" borderId="16" xfId="1" applyFont="1" applyFill="1" applyBorder="1" applyAlignment="1">
      <alignment horizontal="center" vertical="center"/>
    </xf>
    <xf numFmtId="166" fontId="15" fillId="0" borderId="48" xfId="1" applyNumberFormat="1" applyFont="1" applyFill="1" applyBorder="1" applyAlignment="1">
      <alignment horizontal="center" vertical="center"/>
    </xf>
    <xf numFmtId="43" fontId="15" fillId="0" borderId="48" xfId="1" applyFont="1" applyFill="1" applyBorder="1" applyAlignment="1">
      <alignment horizontal="center" vertical="center"/>
    </xf>
    <xf numFmtId="43" fontId="15" fillId="0" borderId="48" xfId="1" applyFont="1" applyFill="1" applyBorder="1" applyAlignment="1" applyProtection="1">
      <alignment horizontal="center" vertical="center"/>
    </xf>
    <xf numFmtId="3" fontId="15" fillId="0" borderId="52" xfId="0" applyNumberFormat="1" applyFont="1" applyBorder="1" applyAlignment="1">
      <alignment horizontal="center" vertical="center"/>
    </xf>
    <xf numFmtId="166" fontId="15" fillId="0" borderId="54" xfId="1" applyNumberFormat="1" applyFont="1" applyFill="1" applyBorder="1" applyAlignment="1">
      <alignment horizontal="center" vertical="center"/>
    </xf>
    <xf numFmtId="41" fontId="15" fillId="0" borderId="51" xfId="2" applyFont="1" applyFill="1" applyBorder="1" applyAlignment="1">
      <alignment horizontal="center" vertical="center"/>
    </xf>
    <xf numFmtId="41" fontId="15" fillId="0" borderId="53" xfId="2" applyFont="1" applyFill="1" applyBorder="1" applyAlignment="1">
      <alignment horizontal="center" vertical="center"/>
    </xf>
    <xf numFmtId="4" fontId="15" fillId="0" borderId="50" xfId="0" applyNumberFormat="1" applyFont="1" applyBorder="1" applyAlignment="1">
      <alignment horizontal="center" vertical="center"/>
    </xf>
    <xf numFmtId="4" fontId="15" fillId="0" borderId="48" xfId="0" applyNumberFormat="1" applyFont="1" applyBorder="1" applyAlignment="1">
      <alignment horizontal="center" vertical="center"/>
    </xf>
    <xf numFmtId="9" fontId="15" fillId="0" borderId="55" xfId="3" applyFont="1" applyFill="1" applyBorder="1" applyAlignment="1">
      <alignment horizontal="center" vertical="center"/>
    </xf>
    <xf numFmtId="43" fontId="15" fillId="0" borderId="56" xfId="1" applyFont="1" applyFill="1" applyBorder="1" applyAlignment="1">
      <alignment horizontal="center" vertical="center"/>
    </xf>
    <xf numFmtId="20" fontId="15" fillId="0" borderId="54" xfId="0" applyNumberFormat="1" applyFont="1" applyBorder="1" applyAlignment="1">
      <alignment horizontal="center" vertical="center"/>
    </xf>
    <xf numFmtId="41" fontId="15" fillId="2" borderId="48" xfId="1" applyNumberFormat="1" applyFont="1" applyFill="1" applyBorder="1" applyAlignment="1">
      <alignment horizontal="center" vertical="center"/>
    </xf>
    <xf numFmtId="166" fontId="15" fillId="2" borderId="48" xfId="1" applyNumberFormat="1" applyFont="1" applyFill="1" applyBorder="1" applyAlignment="1">
      <alignment horizontal="center" vertical="center"/>
    </xf>
    <xf numFmtId="4" fontId="15" fillId="0" borderId="53" xfId="0" applyNumberFormat="1" applyFont="1" applyBorder="1" applyAlignment="1">
      <alignment horizontal="center" vertical="center"/>
    </xf>
    <xf numFmtId="41" fontId="15" fillId="0" borderId="48" xfId="2" applyFont="1" applyFill="1" applyBorder="1" applyAlignment="1">
      <alignment horizontal="center" vertical="center"/>
    </xf>
    <xf numFmtId="166" fontId="15" fillId="0" borderId="56" xfId="2" applyNumberFormat="1" applyFont="1" applyFill="1" applyBorder="1" applyAlignment="1">
      <alignment horizontal="center" vertical="center"/>
    </xf>
    <xf numFmtId="43" fontId="15" fillId="0" borderId="55" xfId="3" applyNumberFormat="1" applyFont="1" applyFill="1" applyBorder="1" applyAlignment="1">
      <alignment horizontal="center" vertical="center"/>
    </xf>
    <xf numFmtId="20" fontId="15" fillId="0" borderId="51" xfId="0" applyNumberFormat="1" applyFont="1" applyBorder="1" applyAlignment="1">
      <alignment horizontal="center" vertical="center"/>
    </xf>
    <xf numFmtId="43" fontId="21" fillId="2" borderId="16" xfId="1" applyFont="1" applyFill="1" applyBorder="1" applyAlignment="1">
      <alignment horizontal="center" vertical="center"/>
    </xf>
    <xf numFmtId="43" fontId="18" fillId="0" borderId="0" xfId="1" applyFont="1" applyFill="1" applyBorder="1" applyAlignment="1" applyProtection="1">
      <alignment horizontal="center" vertical="center"/>
    </xf>
    <xf numFmtId="43" fontId="15" fillId="2" borderId="16" xfId="1" applyFont="1" applyFill="1" applyBorder="1" applyAlignment="1">
      <alignment horizontal="center" vertical="center"/>
    </xf>
    <xf numFmtId="41" fontId="15" fillId="2" borderId="15" xfId="1" applyNumberFormat="1" applyFont="1" applyFill="1" applyBorder="1" applyAlignment="1">
      <alignment horizontal="center" vertical="center"/>
    </xf>
    <xf numFmtId="166" fontId="15" fillId="2" borderId="15" xfId="1" applyNumberFormat="1" applyFont="1" applyFill="1" applyBorder="1" applyAlignment="1">
      <alignment horizontal="center" vertical="center"/>
    </xf>
    <xf numFmtId="43" fontId="15" fillId="0" borderId="15" xfId="1" applyFont="1" applyFill="1" applyBorder="1" applyAlignment="1" applyProtection="1">
      <alignment horizontal="center" vertical="center"/>
    </xf>
    <xf numFmtId="166" fontId="3" fillId="0" borderId="48" xfId="1" applyNumberFormat="1" applyFont="1" applyFill="1" applyBorder="1" applyAlignment="1">
      <alignment horizontal="center" vertical="center"/>
    </xf>
    <xf numFmtId="43" fontId="15" fillId="2" borderId="65" xfId="1" applyFont="1" applyFill="1" applyBorder="1" applyAlignment="1">
      <alignment horizontal="center" vertical="center"/>
    </xf>
    <xf numFmtId="43" fontId="15" fillId="0" borderId="15" xfId="1" applyFont="1" applyFill="1" applyBorder="1" applyAlignment="1">
      <alignment horizontal="center" vertical="center"/>
    </xf>
    <xf numFmtId="3" fontId="15" fillId="0" borderId="30" xfId="0" applyNumberFormat="1" applyFont="1" applyBorder="1" applyAlignment="1">
      <alignment horizontal="center" vertical="center"/>
    </xf>
    <xf numFmtId="166" fontId="15" fillId="0" borderId="18" xfId="1" applyNumberFormat="1" applyFont="1" applyFill="1" applyBorder="1" applyAlignment="1">
      <alignment horizontal="center" vertical="center"/>
    </xf>
    <xf numFmtId="41" fontId="15" fillId="0" borderId="16" xfId="2" applyFont="1" applyFill="1" applyBorder="1" applyAlignment="1">
      <alignment horizontal="center" vertical="center"/>
    </xf>
    <xf numFmtId="41" fontId="15" fillId="0" borderId="15" xfId="2" applyFont="1" applyFill="1" applyBorder="1" applyAlignment="1">
      <alignment horizontal="center" vertical="center"/>
    </xf>
    <xf numFmtId="41" fontId="15" fillId="0" borderId="17" xfId="2" applyFont="1" applyFill="1" applyBorder="1" applyAlignment="1">
      <alignment horizontal="center" vertical="center"/>
    </xf>
    <xf numFmtId="166" fontId="15" fillId="0" borderId="19" xfId="2" applyNumberFormat="1" applyFont="1" applyFill="1" applyBorder="1" applyAlignment="1">
      <alignment horizontal="center" vertical="center"/>
    </xf>
    <xf numFmtId="20" fontId="15" fillId="0" borderId="18" xfId="0" applyNumberFormat="1" applyFont="1" applyBorder="1" applyAlignment="1">
      <alignment horizontal="center" vertical="center"/>
    </xf>
    <xf numFmtId="20" fontId="15" fillId="0" borderId="16" xfId="0" applyNumberFormat="1" applyFont="1" applyBorder="1" applyAlignment="1">
      <alignment horizontal="center" vertical="center"/>
    </xf>
    <xf numFmtId="166" fontId="21" fillId="0" borderId="0" xfId="1" applyNumberFormat="1" applyFont="1" applyFill="1" applyBorder="1" applyAlignment="1" applyProtection="1">
      <alignment horizontal="center" vertical="center"/>
    </xf>
    <xf numFmtId="41" fontId="21" fillId="0" borderId="11" xfId="2" applyFont="1" applyFill="1" applyBorder="1" applyAlignment="1" applyProtection="1">
      <alignment horizontal="center" vertical="center"/>
    </xf>
    <xf numFmtId="0" fontId="21" fillId="0" borderId="0" xfId="0" applyFont="1" applyAlignment="1">
      <alignment horizontal="center" vertical="center"/>
    </xf>
    <xf numFmtId="41" fontId="15" fillId="2" borderId="15" xfId="1" applyNumberFormat="1" applyFont="1" applyFill="1" applyBorder="1" applyAlignment="1" applyProtection="1">
      <alignment horizontal="center" vertical="center"/>
    </xf>
    <xf numFmtId="43" fontId="3" fillId="2" borderId="16" xfId="1" applyFont="1" applyFill="1" applyBorder="1" applyAlignment="1">
      <alignment horizontal="center" vertical="center"/>
    </xf>
    <xf numFmtId="41" fontId="3" fillId="2" borderId="15" xfId="1" applyNumberFormat="1" applyFont="1" applyFill="1" applyBorder="1" applyAlignment="1" applyProtection="1">
      <alignment horizontal="center" vertical="center"/>
    </xf>
    <xf numFmtId="166" fontId="3" fillId="2" borderId="15" xfId="1" applyNumberFormat="1" applyFont="1" applyFill="1" applyBorder="1" applyAlignment="1">
      <alignment horizontal="center" vertical="center"/>
    </xf>
    <xf numFmtId="41" fontId="3" fillId="2" borderId="15" xfId="1" applyNumberFormat="1" applyFont="1" applyFill="1" applyBorder="1" applyAlignment="1">
      <alignment horizontal="center" vertical="center"/>
    </xf>
    <xf numFmtId="9" fontId="3" fillId="0" borderId="52" xfId="3" applyFont="1" applyFill="1" applyBorder="1" applyAlignment="1">
      <alignment horizontal="center" vertical="center"/>
    </xf>
    <xf numFmtId="43" fontId="3" fillId="0" borderId="16" xfId="1" applyFont="1" applyFill="1" applyBorder="1" applyAlignment="1">
      <alignment horizontal="center" vertical="center"/>
    </xf>
    <xf numFmtId="43" fontId="3" fillId="0" borderId="15" xfId="1" applyFont="1" applyFill="1" applyBorder="1" applyAlignment="1" applyProtection="1">
      <alignment horizontal="center" vertical="center"/>
    </xf>
    <xf numFmtId="166" fontId="3" fillId="0" borderId="18" xfId="1" applyNumberFormat="1" applyFont="1" applyFill="1" applyBorder="1" applyAlignment="1">
      <alignment horizontal="center" vertical="center"/>
    </xf>
    <xf numFmtId="41" fontId="3" fillId="0" borderId="16" xfId="2" applyFont="1" applyFill="1" applyBorder="1" applyAlignment="1">
      <alignment horizontal="center" vertical="center"/>
    </xf>
    <xf numFmtId="41" fontId="3" fillId="0" borderId="15" xfId="2" applyFont="1" applyFill="1" applyBorder="1" applyAlignment="1">
      <alignment horizontal="center" vertical="center"/>
    </xf>
    <xf numFmtId="41" fontId="3" fillId="0" borderId="17" xfId="2" applyFont="1" applyFill="1" applyBorder="1" applyAlignment="1">
      <alignment horizontal="center" vertical="center"/>
    </xf>
    <xf numFmtId="166" fontId="3" fillId="0" borderId="19" xfId="2" applyNumberFormat="1" applyFont="1" applyFill="1" applyBorder="1" applyAlignment="1">
      <alignment horizontal="center" vertical="center"/>
    </xf>
    <xf numFmtId="20" fontId="3" fillId="0" borderId="18" xfId="0" applyNumberFormat="1" applyFont="1" applyBorder="1" applyAlignment="1">
      <alignment horizontal="center" vertical="center"/>
    </xf>
    <xf numFmtId="20" fontId="3" fillId="0" borderId="16" xfId="0" applyNumberFormat="1" applyFont="1" applyBorder="1" applyAlignment="1">
      <alignment horizontal="center" vertical="center"/>
    </xf>
    <xf numFmtId="167" fontId="3" fillId="0" borderId="50" xfId="0" applyNumberFormat="1" applyFont="1" applyBorder="1" applyAlignment="1">
      <alignment horizontal="center" vertical="center"/>
    </xf>
    <xf numFmtId="43" fontId="3" fillId="2" borderId="65" xfId="1" applyFont="1" applyFill="1" applyBorder="1" applyAlignment="1">
      <alignment horizontal="center" vertical="center"/>
    </xf>
    <xf numFmtId="43" fontId="3" fillId="0" borderId="15" xfId="1" applyFont="1" applyFill="1" applyBorder="1" applyAlignment="1">
      <alignment horizontal="center" vertical="center"/>
    </xf>
    <xf numFmtId="3" fontId="3" fillId="0" borderId="30" xfId="0" applyNumberFormat="1" applyFont="1" applyBorder="1" applyAlignment="1">
      <alignment horizontal="center" vertical="center"/>
    </xf>
    <xf numFmtId="167" fontId="18" fillId="0" borderId="0" xfId="0" applyNumberFormat="1" applyFont="1" applyAlignment="1">
      <alignment horizontal="center" vertical="center"/>
    </xf>
    <xf numFmtId="166" fontId="18" fillId="2" borderId="0" xfId="1" applyNumberFormat="1" applyFont="1" applyFill="1" applyBorder="1" applyAlignment="1" applyProtection="1">
      <alignment horizontal="center" vertical="center"/>
    </xf>
    <xf numFmtId="43" fontId="18" fillId="0" borderId="0" xfId="1" applyFont="1" applyFill="1" applyBorder="1" applyAlignment="1" applyProtection="1">
      <alignment horizontal="center"/>
    </xf>
    <xf numFmtId="0" fontId="25" fillId="0" borderId="0" xfId="0" applyFont="1" applyAlignment="1">
      <alignment horizontal="left" vertical="center"/>
    </xf>
    <xf numFmtId="166" fontId="24" fillId="0" borderId="21" xfId="1" applyNumberFormat="1" applyFont="1" applyFill="1" applyBorder="1" applyAlignment="1">
      <alignment horizontal="center" vertical="center"/>
    </xf>
    <xf numFmtId="166" fontId="24" fillId="0" borderId="11" xfId="1" applyNumberFormat="1" applyFont="1" applyFill="1" applyBorder="1" applyAlignment="1">
      <alignment horizontal="center" vertical="center"/>
    </xf>
    <xf numFmtId="166" fontId="24" fillId="0" borderId="11" xfId="1" applyNumberFormat="1" applyFont="1" applyFill="1" applyBorder="1" applyAlignment="1">
      <alignment horizontal="centerContinuous" vertical="center"/>
    </xf>
    <xf numFmtId="166" fontId="24" fillId="0" borderId="14" xfId="1" applyNumberFormat="1" applyFont="1" applyFill="1" applyBorder="1" applyAlignment="1">
      <alignment horizontal="centerContinuous" vertical="center"/>
    </xf>
    <xf numFmtId="166" fontId="24" fillId="0" borderId="26" xfId="1" applyNumberFormat="1" applyFont="1" applyFill="1" applyBorder="1" applyAlignment="1" applyProtection="1">
      <alignment horizontal="centerContinuous" vertical="center"/>
    </xf>
    <xf numFmtId="43" fontId="22" fillId="0" borderId="66" xfId="1" applyFont="1" applyFill="1" applyBorder="1" applyAlignment="1">
      <alignment vertical="center"/>
    </xf>
    <xf numFmtId="43" fontId="22" fillId="0" borderId="10" xfId="1" applyFont="1" applyFill="1" applyBorder="1" applyAlignment="1">
      <alignment horizontal="left" vertical="center"/>
    </xf>
    <xf numFmtId="43" fontId="22" fillId="0" borderId="67" xfId="1" applyFont="1" applyFill="1" applyBorder="1" applyAlignment="1" applyProtection="1">
      <alignment horizontal="left" vertical="center"/>
    </xf>
    <xf numFmtId="43" fontId="25" fillId="2" borderId="38" xfId="1" applyFont="1" applyFill="1" applyBorder="1" applyAlignment="1" applyProtection="1">
      <alignment horizontal="center" vertical="center"/>
    </xf>
    <xf numFmtId="4" fontId="25" fillId="2" borderId="11" xfId="0" applyNumberFormat="1" applyFont="1" applyFill="1" applyBorder="1" applyAlignment="1">
      <alignment horizontal="center" vertical="center"/>
    </xf>
    <xf numFmtId="167" fontId="25" fillId="0" borderId="50" xfId="0" applyNumberFormat="1" applyFont="1" applyBorder="1" applyAlignment="1">
      <alignment horizontal="center" vertical="center"/>
    </xf>
    <xf numFmtId="43" fontId="25" fillId="0" borderId="68" xfId="1" applyFont="1" applyFill="1" applyBorder="1" applyAlignment="1" applyProtection="1">
      <alignment horizontal="center" vertical="center"/>
    </xf>
    <xf numFmtId="43" fontId="25" fillId="0" borderId="69" xfId="1" applyFont="1" applyFill="1" applyBorder="1" applyAlignment="1" applyProtection="1">
      <alignment horizontal="center" vertical="center"/>
    </xf>
    <xf numFmtId="3" fontId="25" fillId="0" borderId="76" xfId="0" applyNumberFormat="1" applyFont="1" applyBorder="1" applyAlignment="1">
      <alignment horizontal="center" vertical="center"/>
    </xf>
    <xf numFmtId="41" fontId="25" fillId="0" borderId="68" xfId="2" applyFont="1" applyFill="1" applyBorder="1" applyAlignment="1">
      <alignment horizontal="center" vertical="center"/>
    </xf>
    <xf numFmtId="166" fontId="25" fillId="0" borderId="73" xfId="0" applyNumberFormat="1" applyFont="1" applyBorder="1" applyAlignment="1">
      <alignment horizontal="center" vertical="center"/>
    </xf>
    <xf numFmtId="4" fontId="25" fillId="0" borderId="74" xfId="0" applyNumberFormat="1" applyFont="1" applyBorder="1" applyAlignment="1">
      <alignment horizontal="center" vertical="center"/>
    </xf>
    <xf numFmtId="4" fontId="25" fillId="0" borderId="69" xfId="0" applyNumberFormat="1" applyFont="1" applyBorder="1" applyAlignment="1">
      <alignment horizontal="center" vertical="center"/>
    </xf>
    <xf numFmtId="9" fontId="25" fillId="0" borderId="78" xfId="3" applyFont="1" applyFill="1" applyBorder="1" applyAlignment="1">
      <alignment horizontal="center" vertical="center"/>
    </xf>
    <xf numFmtId="43" fontId="25" fillId="0" borderId="73" xfId="1" applyFont="1" applyFill="1" applyBorder="1" applyAlignment="1">
      <alignment horizontal="center" vertical="center"/>
    </xf>
    <xf numFmtId="168" fontId="25" fillId="0" borderId="73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wrapText="1"/>
    </xf>
    <xf numFmtId="43" fontId="22" fillId="0" borderId="26" xfId="1" applyFont="1" applyFill="1" applyBorder="1" applyAlignment="1">
      <alignment horizontal="center" vertical="center" wrapText="1"/>
    </xf>
    <xf numFmtId="166" fontId="22" fillId="0" borderId="26" xfId="1" applyNumberFormat="1" applyFont="1" applyFill="1" applyBorder="1" applyAlignment="1">
      <alignment horizontal="center" vertical="center" wrapText="1"/>
    </xf>
    <xf numFmtId="0" fontId="22" fillId="0" borderId="58" xfId="0" applyFont="1" applyBorder="1" applyAlignment="1">
      <alignment horizontal="center" vertical="center" wrapText="1"/>
    </xf>
    <xf numFmtId="0" fontId="22" fillId="0" borderId="59" xfId="0" applyFont="1" applyBorder="1" applyAlignment="1">
      <alignment horizontal="center" vertical="center" wrapText="1"/>
    </xf>
    <xf numFmtId="0" fontId="22" fillId="0" borderId="57" xfId="0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/>
    </xf>
    <xf numFmtId="41" fontId="22" fillId="0" borderId="29" xfId="2" applyFont="1" applyFill="1" applyBorder="1" applyAlignment="1">
      <alignment horizontal="center" vertical="center" wrapText="1"/>
    </xf>
    <xf numFmtId="9" fontId="25" fillId="0" borderId="76" xfId="3" applyFont="1" applyFill="1" applyBorder="1" applyAlignment="1">
      <alignment horizontal="center" vertical="center"/>
    </xf>
    <xf numFmtId="4" fontId="25" fillId="0" borderId="77" xfId="0" applyNumberFormat="1" applyFont="1" applyBorder="1" applyAlignment="1">
      <alignment horizontal="center" vertical="center"/>
    </xf>
    <xf numFmtId="166" fontId="25" fillId="0" borderId="75" xfId="1" applyNumberFormat="1" applyFont="1" applyFill="1" applyBorder="1" applyAlignment="1">
      <alignment horizontal="center" vertical="center"/>
    </xf>
    <xf numFmtId="166" fontId="25" fillId="2" borderId="38" xfId="1" applyNumberFormat="1" applyFont="1" applyFill="1" applyBorder="1" applyAlignment="1" applyProtection="1">
      <alignment horizontal="center" vertical="center"/>
    </xf>
    <xf numFmtId="9" fontId="25" fillId="2" borderId="34" xfId="3" applyFont="1" applyFill="1" applyBorder="1" applyAlignment="1" applyProtection="1">
      <alignment horizontal="center" vertical="center"/>
    </xf>
    <xf numFmtId="9" fontId="25" fillId="2" borderId="41" xfId="3" applyFont="1" applyFill="1" applyBorder="1" applyAlignment="1" applyProtection="1">
      <alignment horizontal="center" vertical="center"/>
    </xf>
    <xf numFmtId="3" fontId="25" fillId="2" borderId="38" xfId="1" applyNumberFormat="1" applyFont="1" applyFill="1" applyBorder="1" applyAlignment="1" applyProtection="1">
      <alignment horizontal="center" vertical="center"/>
    </xf>
    <xf numFmtId="166" fontId="25" fillId="2" borderId="42" xfId="1" applyNumberFormat="1" applyFont="1" applyFill="1" applyBorder="1" applyAlignment="1">
      <alignment horizontal="center" vertical="center"/>
    </xf>
    <xf numFmtId="166" fontId="25" fillId="2" borderId="40" xfId="1" applyNumberFormat="1" applyFont="1" applyFill="1" applyBorder="1" applyAlignment="1">
      <alignment horizontal="center" vertical="center"/>
    </xf>
    <xf numFmtId="3" fontId="25" fillId="2" borderId="34" xfId="0" applyNumberFormat="1" applyFont="1" applyFill="1" applyBorder="1" applyAlignment="1">
      <alignment horizontal="center" vertical="center"/>
    </xf>
    <xf numFmtId="4" fontId="25" fillId="2" borderId="39" xfId="0" applyNumberFormat="1" applyFont="1" applyFill="1" applyBorder="1" applyAlignment="1">
      <alignment horizontal="center" vertical="center"/>
    </xf>
    <xf numFmtId="4" fontId="25" fillId="2" borderId="41" xfId="0" applyNumberFormat="1" applyFont="1" applyFill="1" applyBorder="1" applyAlignment="1">
      <alignment horizontal="center" vertical="center"/>
    </xf>
    <xf numFmtId="9" fontId="25" fillId="2" borderId="43" xfId="3" applyFont="1" applyFill="1" applyBorder="1" applyAlignment="1">
      <alignment horizontal="center" vertical="center"/>
    </xf>
    <xf numFmtId="4" fontId="25" fillId="2" borderId="42" xfId="0" applyNumberFormat="1" applyFont="1" applyFill="1" applyBorder="1" applyAlignment="1">
      <alignment horizontal="center" vertical="center"/>
    </xf>
    <xf numFmtId="4" fontId="25" fillId="2" borderId="40" xfId="0" applyNumberFormat="1" applyFont="1" applyFill="1" applyBorder="1" applyAlignment="1">
      <alignment horizontal="center" vertical="center"/>
    </xf>
    <xf numFmtId="4" fontId="25" fillId="2" borderId="44" xfId="0" applyNumberFormat="1" applyFont="1" applyFill="1" applyBorder="1" applyAlignment="1">
      <alignment horizontal="center" vertical="center"/>
    </xf>
    <xf numFmtId="170" fontId="25" fillId="2" borderId="34" xfId="0" applyNumberFormat="1" applyFont="1" applyFill="1" applyBorder="1" applyAlignment="1">
      <alignment horizontal="center" vertical="center"/>
    </xf>
    <xf numFmtId="166" fontId="25" fillId="2" borderId="34" xfId="1" applyNumberFormat="1" applyFont="1" applyFill="1" applyBorder="1" applyAlignment="1" applyProtection="1">
      <alignment horizontal="center" vertical="center"/>
    </xf>
    <xf numFmtId="166" fontId="25" fillId="2" borderId="0" xfId="1" applyNumberFormat="1" applyFont="1" applyFill="1" applyBorder="1" applyAlignment="1" applyProtection="1">
      <alignment horizontal="center" vertical="center"/>
    </xf>
    <xf numFmtId="0" fontId="25" fillId="2" borderId="0" xfId="0" applyFont="1" applyFill="1" applyAlignment="1">
      <alignment horizontal="center" vertical="center"/>
    </xf>
    <xf numFmtId="166" fontId="18" fillId="0" borderId="0" xfId="1" applyNumberFormat="1" applyFont="1" applyFill="1" applyBorder="1" applyAlignment="1" applyProtection="1">
      <alignment horizontal="center" vertical="center"/>
    </xf>
    <xf numFmtId="41" fontId="18" fillId="0" borderId="0" xfId="1" applyNumberFormat="1" applyFont="1" applyFill="1" applyBorder="1" applyAlignment="1" applyProtection="1">
      <alignment horizontal="center" vertical="center"/>
    </xf>
    <xf numFmtId="9" fontId="18" fillId="2" borderId="0" xfId="3" applyFont="1" applyFill="1" applyBorder="1" applyAlignment="1" applyProtection="1">
      <alignment horizontal="center" vertical="center"/>
    </xf>
    <xf numFmtId="43" fontId="18" fillId="2" borderId="0" xfId="1" applyFont="1" applyFill="1" applyBorder="1" applyAlignment="1" applyProtection="1">
      <alignment horizontal="center" vertical="center"/>
    </xf>
    <xf numFmtId="9" fontId="18" fillId="0" borderId="0" xfId="3" applyFont="1" applyFill="1" applyBorder="1" applyAlignment="1" applyProtection="1">
      <alignment horizontal="center" vertical="center"/>
    </xf>
    <xf numFmtId="3" fontId="18" fillId="0" borderId="0" xfId="1" applyNumberFormat="1" applyFont="1" applyFill="1" applyBorder="1" applyAlignment="1" applyProtection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3" fontId="18" fillId="0" borderId="0" xfId="0" applyNumberFormat="1" applyFont="1" applyAlignment="1">
      <alignment horizontal="center" vertical="center"/>
    </xf>
    <xf numFmtId="4" fontId="18" fillId="0" borderId="0" xfId="0" applyNumberFormat="1" applyFont="1" applyAlignment="1">
      <alignment horizontal="center" vertical="center"/>
    </xf>
    <xf numFmtId="9" fontId="18" fillId="0" borderId="0" xfId="3" applyFont="1" applyFill="1" applyBorder="1" applyAlignment="1">
      <alignment horizontal="center" vertical="center"/>
    </xf>
    <xf numFmtId="170" fontId="18" fillId="0" borderId="0" xfId="0" applyNumberFormat="1" applyFont="1" applyAlignment="1">
      <alignment horizontal="center" vertical="center"/>
    </xf>
    <xf numFmtId="166" fontId="27" fillId="0" borderId="0" xfId="1" applyNumberFormat="1" applyFont="1" applyFill="1" applyBorder="1" applyAlignment="1" applyProtection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4" fontId="22" fillId="0" borderId="21" xfId="0" applyNumberFormat="1" applyFont="1" applyBorder="1" applyAlignment="1">
      <alignment horizontal="center" vertical="center"/>
    </xf>
    <xf numFmtId="46" fontId="24" fillId="0" borderId="24" xfId="0" applyNumberFormat="1" applyFont="1" applyBorder="1" applyAlignment="1">
      <alignment horizontal="center" vertical="center"/>
    </xf>
    <xf numFmtId="43" fontId="18" fillId="0" borderId="0" xfId="1" applyFont="1" applyFill="1" applyBorder="1" applyAlignment="1">
      <alignment horizontal="center" vertical="center"/>
    </xf>
    <xf numFmtId="43" fontId="18" fillId="0" borderId="0" xfId="1" applyFont="1" applyFill="1" applyBorder="1" applyAlignment="1">
      <alignment horizontal="left" vertical="center"/>
    </xf>
    <xf numFmtId="0" fontId="18" fillId="0" borderId="0" xfId="0" applyFont="1" applyAlignment="1">
      <alignment horizontal="left"/>
    </xf>
    <xf numFmtId="4" fontId="22" fillId="0" borderId="11" xfId="0" applyNumberFormat="1" applyFont="1" applyBorder="1" applyAlignment="1">
      <alignment horizontal="center" vertical="center"/>
    </xf>
    <xf numFmtId="46" fontId="24" fillId="0" borderId="12" xfId="0" applyNumberFormat="1" applyFont="1" applyBorder="1" applyAlignment="1">
      <alignment horizontal="center" vertical="center"/>
    </xf>
    <xf numFmtId="43" fontId="18" fillId="0" borderId="11" xfId="1" applyFont="1" applyFill="1" applyBorder="1" applyAlignment="1">
      <alignment horizontal="center" vertical="center"/>
    </xf>
    <xf numFmtId="43" fontId="24" fillId="0" borderId="11" xfId="1" applyFont="1" applyFill="1" applyBorder="1" applyAlignment="1">
      <alignment horizontal="center" vertical="center"/>
    </xf>
    <xf numFmtId="9" fontId="24" fillId="0" borderId="11" xfId="3" applyFont="1" applyFill="1" applyBorder="1" applyAlignment="1" applyProtection="1">
      <alignment horizontal="center" vertical="center"/>
    </xf>
    <xf numFmtId="166" fontId="24" fillId="0" borderId="0" xfId="0" applyNumberFormat="1" applyFont="1" applyAlignment="1">
      <alignment vertical="center"/>
    </xf>
    <xf numFmtId="43" fontId="24" fillId="0" borderId="11" xfId="0" applyNumberFormat="1" applyFont="1" applyBorder="1" applyAlignment="1">
      <alignment horizontal="center" vertical="center"/>
    </xf>
    <xf numFmtId="43" fontId="24" fillId="0" borderId="11" xfId="0" applyNumberFormat="1" applyFont="1" applyBorder="1" applyAlignment="1">
      <alignment horizontal="center"/>
    </xf>
    <xf numFmtId="43" fontId="18" fillId="0" borderId="11" xfId="1" applyFont="1" applyFill="1" applyBorder="1" applyAlignment="1" applyProtection="1">
      <alignment horizontal="center" vertical="center"/>
    </xf>
    <xf numFmtId="9" fontId="24" fillId="0" borderId="11" xfId="0" applyNumberFormat="1" applyFont="1" applyBorder="1" applyAlignment="1">
      <alignment horizontal="center"/>
    </xf>
    <xf numFmtId="173" fontId="19" fillId="0" borderId="11" xfId="1" applyNumberFormat="1" applyFont="1" applyFill="1" applyBorder="1" applyAlignment="1" applyProtection="1">
      <alignment horizontal="center" vertical="center"/>
    </xf>
    <xf numFmtId="43" fontId="24" fillId="0" borderId="36" xfId="1" applyFont="1" applyFill="1" applyBorder="1" applyAlignment="1">
      <alignment horizontal="center" vertical="center"/>
    </xf>
    <xf numFmtId="43" fontId="24" fillId="0" borderId="71" xfId="1" applyFont="1" applyFill="1" applyBorder="1" applyAlignment="1">
      <alignment horizontal="center" vertical="center"/>
    </xf>
    <xf numFmtId="166" fontId="24" fillId="0" borderId="49" xfId="1" applyNumberFormat="1" applyFont="1" applyFill="1" applyBorder="1" applyAlignment="1">
      <alignment horizontal="center" vertical="center"/>
    </xf>
    <xf numFmtId="43" fontId="24" fillId="0" borderId="25" xfId="1" applyFont="1" applyFill="1" applyBorder="1" applyAlignment="1" applyProtection="1">
      <alignment horizontal="center" vertical="center"/>
    </xf>
    <xf numFmtId="43" fontId="24" fillId="0" borderId="27" xfId="1" applyFont="1" applyFill="1" applyBorder="1" applyAlignment="1" applyProtection="1">
      <alignment horizontal="left" vertical="center"/>
    </xf>
    <xf numFmtId="43" fontId="24" fillId="0" borderId="72" xfId="1" applyFont="1" applyFill="1" applyBorder="1" applyAlignment="1" applyProtection="1">
      <alignment horizontal="left" vertical="center"/>
    </xf>
    <xf numFmtId="166" fontId="24" fillId="0" borderId="28" xfId="1" applyNumberFormat="1" applyFont="1" applyFill="1" applyBorder="1" applyAlignment="1" applyProtection="1">
      <alignment horizontal="centerContinuous" vertical="center"/>
    </xf>
    <xf numFmtId="0" fontId="19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166" fontId="22" fillId="0" borderId="0" xfId="1" applyNumberFormat="1" applyFont="1" applyFill="1" applyBorder="1" applyAlignment="1" applyProtection="1">
      <alignment horizontal="center"/>
    </xf>
    <xf numFmtId="41" fontId="22" fillId="0" borderId="0" xfId="2" applyFont="1" applyFill="1" applyBorder="1" applyAlignment="1" applyProtection="1">
      <alignment horizontal="center"/>
    </xf>
    <xf numFmtId="0" fontId="25" fillId="0" borderId="0" xfId="0" applyFont="1" applyAlignment="1">
      <alignment horizontal="center"/>
    </xf>
    <xf numFmtId="43" fontId="22" fillId="0" borderId="0" xfId="0" applyNumberFormat="1" applyFont="1" applyAlignment="1">
      <alignment horizontal="center"/>
    </xf>
    <xf numFmtId="41" fontId="19" fillId="0" borderId="0" xfId="2" applyFont="1" applyFill="1" applyBorder="1" applyAlignment="1" applyProtection="1">
      <alignment horizontal="center"/>
    </xf>
    <xf numFmtId="0" fontId="19" fillId="0" borderId="0" xfId="0" applyFont="1" applyAlignment="1">
      <alignment horizontal="center" vertical="center"/>
    </xf>
    <xf numFmtId="166" fontId="25" fillId="0" borderId="73" xfId="1" applyNumberFormat="1" applyFont="1" applyFill="1" applyBorder="1" applyAlignment="1" applyProtection="1">
      <alignment horizontal="center" vertical="center"/>
    </xf>
    <xf numFmtId="166" fontId="19" fillId="0" borderId="0" xfId="1" applyNumberFormat="1" applyFont="1" applyFill="1" applyBorder="1" applyAlignment="1" applyProtection="1">
      <alignment horizontal="center" vertical="center"/>
    </xf>
    <xf numFmtId="41" fontId="19" fillId="0" borderId="11" xfId="2" applyFont="1" applyFill="1" applyBorder="1" applyAlignment="1" applyProtection="1">
      <alignment horizontal="center" vertical="center"/>
    </xf>
    <xf numFmtId="166" fontId="19" fillId="0" borderId="0" xfId="0" applyNumberFormat="1" applyFont="1" applyAlignment="1">
      <alignment horizontal="center" vertical="center"/>
    </xf>
    <xf numFmtId="4" fontId="25" fillId="2" borderId="0" xfId="0" applyNumberFormat="1" applyFont="1" applyFill="1" applyAlignment="1">
      <alignment horizontal="center" vertical="center"/>
    </xf>
    <xf numFmtId="166" fontId="25" fillId="2" borderId="0" xfId="0" applyNumberFormat="1" applyFont="1" applyFill="1" applyAlignment="1">
      <alignment horizontal="center" vertical="center"/>
    </xf>
    <xf numFmtId="0" fontId="18" fillId="0" borderId="0" xfId="0" applyFont="1" applyAlignment="1">
      <alignment horizontal="center"/>
    </xf>
    <xf numFmtId="166" fontId="18" fillId="0" borderId="0" xfId="1" applyNumberFormat="1" applyFont="1" applyFill="1" applyBorder="1" applyAlignment="1" applyProtection="1">
      <alignment horizontal="center"/>
    </xf>
    <xf numFmtId="41" fontId="18" fillId="0" borderId="0" xfId="2" applyFont="1" applyFill="1" applyBorder="1" applyAlignment="1" applyProtection="1">
      <alignment horizontal="center"/>
    </xf>
    <xf numFmtId="43" fontId="18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166" fontId="24" fillId="0" borderId="0" xfId="1" applyNumberFormat="1" applyFont="1" applyFill="1" applyBorder="1" applyAlignment="1" applyProtection="1">
      <alignment horizontal="center"/>
    </xf>
    <xf numFmtId="0" fontId="27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/>
    </xf>
    <xf numFmtId="166" fontId="24" fillId="0" borderId="0" xfId="0" applyNumberFormat="1" applyFont="1" applyAlignment="1">
      <alignment horizontal="center"/>
    </xf>
    <xf numFmtId="43" fontId="24" fillId="0" borderId="0" xfId="1" applyFont="1" applyFill="1" applyBorder="1" applyAlignment="1" applyProtection="1">
      <alignment horizontal="center"/>
    </xf>
    <xf numFmtId="43" fontId="24" fillId="0" borderId="0" xfId="0" applyNumberFormat="1" applyFont="1" applyAlignment="1">
      <alignment horizontal="center"/>
    </xf>
    <xf numFmtId="0" fontId="19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4" fontId="24" fillId="0" borderId="14" xfId="0" applyNumberFormat="1" applyFont="1" applyBorder="1" applyAlignment="1">
      <alignment horizontal="center" vertical="center"/>
    </xf>
    <xf numFmtId="0" fontId="24" fillId="0" borderId="35" xfId="0" applyFont="1" applyBorder="1" applyAlignment="1">
      <alignment horizontal="center"/>
    </xf>
    <xf numFmtId="41" fontId="24" fillId="0" borderId="0" xfId="0" applyNumberFormat="1" applyFont="1" applyAlignment="1">
      <alignment horizontal="center"/>
    </xf>
    <xf numFmtId="43" fontId="19" fillId="0" borderId="11" xfId="0" applyNumberFormat="1" applyFont="1" applyBorder="1" applyAlignment="1">
      <alignment horizontal="center" vertical="center"/>
    </xf>
    <xf numFmtId="4" fontId="24" fillId="0" borderId="26" xfId="0" applyNumberFormat="1" applyFont="1" applyBorder="1" applyAlignment="1">
      <alignment horizontal="center"/>
    </xf>
    <xf numFmtId="0" fontId="24" fillId="0" borderId="29" xfId="0" applyFont="1" applyBorder="1" applyAlignment="1">
      <alignment horizontal="center"/>
    </xf>
    <xf numFmtId="43" fontId="19" fillId="0" borderId="0" xfId="0" applyNumberFormat="1" applyFont="1" applyAlignment="1">
      <alignment horizontal="center"/>
    </xf>
    <xf numFmtId="166" fontId="25" fillId="0" borderId="0" xfId="1" applyNumberFormat="1" applyFont="1" applyFill="1" applyBorder="1" applyAlignment="1" applyProtection="1">
      <alignment horizontal="center"/>
    </xf>
    <xf numFmtId="20" fontId="19" fillId="0" borderId="0" xfId="1" applyNumberFormat="1" applyFont="1" applyFill="1" applyBorder="1" applyAlignment="1" applyProtection="1">
      <alignment horizontal="center"/>
    </xf>
    <xf numFmtId="43" fontId="19" fillId="0" borderId="0" xfId="1" applyFont="1" applyFill="1" applyBorder="1" applyAlignment="1">
      <alignment horizontal="center" vertical="center"/>
    </xf>
    <xf numFmtId="166" fontId="24" fillId="0" borderId="5" xfId="0" applyNumberFormat="1" applyFont="1" applyBorder="1" applyAlignment="1">
      <alignment horizontal="center" vertical="center"/>
    </xf>
    <xf numFmtId="43" fontId="24" fillId="0" borderId="47" xfId="0" applyNumberFormat="1" applyFont="1" applyBorder="1" applyAlignment="1">
      <alignment horizontal="center" vertical="center"/>
    </xf>
    <xf numFmtId="43" fontId="24" fillId="0" borderId="71" xfId="0" applyNumberFormat="1" applyFont="1" applyBorder="1" applyAlignment="1">
      <alignment horizontal="center" vertical="center"/>
    </xf>
    <xf numFmtId="43" fontId="24" fillId="0" borderId="72" xfId="0" applyNumberFormat="1" applyFont="1" applyBorder="1" applyAlignment="1">
      <alignment horizontal="center"/>
    </xf>
    <xf numFmtId="41" fontId="25" fillId="0" borderId="69" xfId="1" applyNumberFormat="1" applyFont="1" applyFill="1" applyBorder="1" applyAlignment="1">
      <alignment horizontal="left" vertical="center"/>
    </xf>
    <xf numFmtId="166" fontId="25" fillId="2" borderId="38" xfId="1" applyNumberFormat="1" applyFont="1" applyFill="1" applyBorder="1" applyAlignment="1" applyProtection="1">
      <alignment horizontal="left" vertical="center"/>
    </xf>
    <xf numFmtId="174" fontId="25" fillId="0" borderId="69" xfId="1" applyNumberFormat="1" applyFont="1" applyFill="1" applyBorder="1" applyAlignment="1">
      <alignment horizontal="center" vertical="center"/>
    </xf>
    <xf numFmtId="173" fontId="25" fillId="0" borderId="37" xfId="1" applyNumberFormat="1" applyFont="1" applyFill="1" applyBorder="1" applyAlignment="1">
      <alignment horizontal="center" vertical="center"/>
    </xf>
    <xf numFmtId="43" fontId="28" fillId="0" borderId="56" xfId="1" applyFont="1" applyFill="1" applyBorder="1" applyAlignment="1">
      <alignment horizontal="center" vertical="center"/>
    </xf>
    <xf numFmtId="168" fontId="25" fillId="0" borderId="78" xfId="0" applyNumberFormat="1" applyFont="1" applyBorder="1" applyAlignment="1">
      <alignment horizontal="center" vertical="center"/>
    </xf>
    <xf numFmtId="43" fontId="28" fillId="0" borderId="55" xfId="1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horizontal="left"/>
    </xf>
    <xf numFmtId="43" fontId="25" fillId="0" borderId="0" xfId="1" applyFont="1" applyFill="1" applyBorder="1" applyAlignment="1">
      <alignment horizontal="center" vertical="center"/>
    </xf>
    <xf numFmtId="43" fontId="25" fillId="0" borderId="0" xfId="1" applyFont="1" applyFill="1" applyBorder="1" applyAlignment="1">
      <alignment horizontal="left" vertical="center"/>
    </xf>
    <xf numFmtId="0" fontId="24" fillId="0" borderId="0" xfId="0" applyFont="1" applyAlignment="1">
      <alignment horizontal="left"/>
    </xf>
    <xf numFmtId="0" fontId="25" fillId="0" borderId="5" xfId="0" applyFont="1" applyBorder="1" applyAlignment="1">
      <alignment vertical="center" wrapText="1"/>
    </xf>
    <xf numFmtId="0" fontId="29" fillId="0" borderId="0" xfId="0" applyFont="1" applyAlignment="1">
      <alignment horizontal="center"/>
    </xf>
    <xf numFmtId="43" fontId="30" fillId="0" borderId="0" xfId="1" applyFont="1" applyFill="1" applyBorder="1" applyAlignment="1" applyProtection="1">
      <alignment horizontal="center"/>
    </xf>
    <xf numFmtId="166" fontId="30" fillId="0" borderId="0" xfId="1" applyNumberFormat="1" applyFont="1" applyFill="1" applyBorder="1" applyAlignment="1" applyProtection="1">
      <alignment horizontal="center"/>
    </xf>
    <xf numFmtId="41" fontId="25" fillId="0" borderId="76" xfId="2" applyFont="1" applyFill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72" xfId="0" applyFont="1" applyBorder="1" applyAlignment="1">
      <alignment horizontal="center" vertical="center" wrapText="1"/>
    </xf>
    <xf numFmtId="4" fontId="25" fillId="0" borderId="77" xfId="3" applyNumberFormat="1" applyFont="1" applyFill="1" applyBorder="1" applyAlignment="1">
      <alignment horizontal="center" vertical="center"/>
    </xf>
    <xf numFmtId="4" fontId="25" fillId="2" borderId="34" xfId="3" applyNumberFormat="1" applyFont="1" applyFill="1" applyBorder="1" applyAlignment="1" applyProtection="1">
      <alignment horizontal="center" vertical="center"/>
    </xf>
    <xf numFmtId="4" fontId="25" fillId="0" borderId="77" xfId="2" applyNumberFormat="1" applyFont="1" applyFill="1" applyBorder="1" applyAlignment="1">
      <alignment horizontal="center" vertical="center"/>
    </xf>
    <xf numFmtId="4" fontId="25" fillId="2" borderId="34" xfId="0" applyNumberFormat="1" applyFont="1" applyFill="1" applyBorder="1" applyAlignment="1">
      <alignment horizontal="center" vertical="center"/>
    </xf>
    <xf numFmtId="166" fontId="25" fillId="0" borderId="56" xfId="2" applyNumberFormat="1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61" xfId="0" applyFont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167" fontId="25" fillId="0" borderId="45" xfId="0" applyNumberFormat="1" applyFont="1" applyBorder="1" applyAlignment="1">
      <alignment horizontal="center" vertical="center"/>
    </xf>
    <xf numFmtId="43" fontId="19" fillId="0" borderId="0" xfId="1" applyFont="1" applyFill="1" applyBorder="1" applyAlignment="1" applyProtection="1">
      <alignment horizontal="left"/>
    </xf>
    <xf numFmtId="173" fontId="25" fillId="2" borderId="38" xfId="1" applyNumberFormat="1" applyFont="1" applyFill="1" applyBorder="1" applyAlignment="1" applyProtection="1">
      <alignment horizontal="center" vertical="center"/>
    </xf>
    <xf numFmtId="173" fontId="22" fillId="0" borderId="0" xfId="1" applyNumberFormat="1" applyFont="1" applyFill="1" applyBorder="1" applyAlignment="1" applyProtection="1">
      <alignment horizontal="center"/>
    </xf>
    <xf numFmtId="173" fontId="19" fillId="0" borderId="0" xfId="1" applyNumberFormat="1" applyFont="1" applyFill="1" applyBorder="1" applyAlignment="1" applyProtection="1">
      <alignment horizontal="center"/>
    </xf>
    <xf numFmtId="173" fontId="25" fillId="0" borderId="69" xfId="1" applyNumberFormat="1" applyFont="1" applyFill="1" applyBorder="1" applyAlignment="1">
      <alignment horizontal="center" vertical="center"/>
    </xf>
    <xf numFmtId="173" fontId="18" fillId="0" borderId="0" xfId="1" applyNumberFormat="1" applyFont="1" applyFill="1" applyBorder="1" applyAlignment="1" applyProtection="1">
      <alignment horizontal="center" vertical="center"/>
    </xf>
    <xf numFmtId="173" fontId="18" fillId="0" borderId="0" xfId="1" applyNumberFormat="1" applyFont="1" applyFill="1" applyBorder="1" applyAlignment="1" applyProtection="1">
      <alignment horizontal="center"/>
    </xf>
    <xf numFmtId="173" fontId="24" fillId="0" borderId="71" xfId="1" applyNumberFormat="1" applyFont="1" applyFill="1" applyBorder="1" applyAlignment="1">
      <alignment horizontal="center" vertical="center"/>
    </xf>
    <xf numFmtId="173" fontId="24" fillId="0" borderId="72" xfId="1" applyNumberFormat="1" applyFont="1" applyFill="1" applyBorder="1" applyAlignment="1" applyProtection="1">
      <alignment horizontal="left" vertical="center"/>
    </xf>
    <xf numFmtId="173" fontId="19" fillId="0" borderId="0" xfId="0" applyNumberFormat="1" applyFont="1" applyAlignment="1">
      <alignment horizontal="center"/>
    </xf>
    <xf numFmtId="41" fontId="25" fillId="0" borderId="69" xfId="2" applyFont="1" applyFill="1" applyBorder="1" applyAlignment="1">
      <alignment horizontal="center" vertical="center"/>
    </xf>
    <xf numFmtId="41" fontId="25" fillId="2" borderId="38" xfId="2" applyFont="1" applyFill="1" applyBorder="1" applyAlignment="1" applyProtection="1">
      <alignment horizontal="center" vertical="center"/>
    </xf>
    <xf numFmtId="41" fontId="18" fillId="0" borderId="0" xfId="2" applyFont="1" applyFill="1" applyBorder="1" applyAlignment="1" applyProtection="1">
      <alignment horizontal="center" vertical="center"/>
    </xf>
    <xf numFmtId="41" fontId="24" fillId="0" borderId="71" xfId="2" applyFont="1" applyFill="1" applyBorder="1" applyAlignment="1">
      <alignment horizontal="center" vertical="center"/>
    </xf>
    <xf numFmtId="41" fontId="24" fillId="0" borderId="72" xfId="2" applyFont="1" applyFill="1" applyBorder="1" applyAlignment="1" applyProtection="1">
      <alignment horizontal="left" vertical="center"/>
    </xf>
    <xf numFmtId="174" fontId="22" fillId="0" borderId="0" xfId="2" applyNumberFormat="1" applyFont="1" applyFill="1" applyBorder="1" applyAlignment="1" applyProtection="1">
      <alignment horizontal="center"/>
    </xf>
    <xf numFmtId="174" fontId="19" fillId="0" borderId="0" xfId="2" applyNumberFormat="1" applyFont="1" applyFill="1" applyBorder="1" applyAlignment="1" applyProtection="1">
      <alignment horizontal="center"/>
    </xf>
    <xf numFmtId="174" fontId="18" fillId="0" borderId="0" xfId="2" applyNumberFormat="1" applyFont="1" applyFill="1" applyBorder="1" applyAlignment="1" applyProtection="1">
      <alignment horizontal="center"/>
    </xf>
    <xf numFmtId="43" fontId="19" fillId="0" borderId="0" xfId="1" applyFont="1" applyFill="1" applyBorder="1" applyAlignment="1" applyProtection="1"/>
    <xf numFmtId="41" fontId="24" fillId="0" borderId="0" xfId="2" applyFont="1" applyFill="1" applyBorder="1" applyAlignment="1" applyProtection="1">
      <alignment horizontal="center"/>
    </xf>
    <xf numFmtId="167" fontId="31" fillId="0" borderId="50" xfId="0" applyNumberFormat="1" applyFont="1" applyBorder="1" applyAlignment="1">
      <alignment horizontal="center" vertical="center"/>
    </xf>
    <xf numFmtId="41" fontId="31" fillId="0" borderId="37" xfId="1" applyNumberFormat="1" applyFont="1" applyFill="1" applyBorder="1" applyAlignment="1">
      <alignment horizontal="center" vertical="center"/>
    </xf>
    <xf numFmtId="41" fontId="31" fillId="0" borderId="37" xfId="1" applyNumberFormat="1" applyFont="1" applyFill="1" applyBorder="1" applyAlignment="1">
      <alignment horizontal="left" vertical="center"/>
    </xf>
    <xf numFmtId="173" fontId="31" fillId="0" borderId="37" xfId="1" applyNumberFormat="1" applyFont="1" applyFill="1" applyBorder="1" applyAlignment="1">
      <alignment horizontal="center" vertical="center"/>
    </xf>
    <xf numFmtId="9" fontId="31" fillId="0" borderId="52" xfId="3" applyFont="1" applyFill="1" applyBorder="1" applyAlignment="1">
      <alignment horizontal="center" vertical="center"/>
    </xf>
    <xf numFmtId="43" fontId="31" fillId="0" borderId="15" xfId="1" applyFont="1" applyFill="1" applyBorder="1" applyAlignment="1" applyProtection="1">
      <alignment horizontal="center" vertical="center"/>
    </xf>
    <xf numFmtId="3" fontId="31" fillId="0" borderId="52" xfId="0" applyNumberFormat="1" applyFont="1" applyBorder="1" applyAlignment="1">
      <alignment horizontal="center" vertical="center"/>
    </xf>
    <xf numFmtId="4" fontId="31" fillId="0" borderId="17" xfId="0" applyNumberFormat="1" applyFont="1" applyBorder="1" applyAlignment="1">
      <alignment horizontal="center" vertical="center"/>
    </xf>
    <xf numFmtId="166" fontId="31" fillId="0" borderId="54" xfId="1" applyNumberFormat="1" applyFont="1" applyFill="1" applyBorder="1" applyAlignment="1">
      <alignment horizontal="center" vertical="center"/>
    </xf>
    <xf numFmtId="41" fontId="31" fillId="0" borderId="51" xfId="2" applyFont="1" applyFill="1" applyBorder="1" applyAlignment="1">
      <alignment horizontal="center" vertical="center"/>
    </xf>
    <xf numFmtId="41" fontId="31" fillId="0" borderId="53" xfId="2" applyFont="1" applyFill="1" applyBorder="1" applyAlignment="1">
      <alignment horizontal="center" vertical="center"/>
    </xf>
    <xf numFmtId="166" fontId="31" fillId="0" borderId="56" xfId="0" applyNumberFormat="1" applyFont="1" applyBorder="1" applyAlignment="1">
      <alignment horizontal="center" vertical="center"/>
    </xf>
    <xf numFmtId="4" fontId="31" fillId="0" borderId="50" xfId="0" applyNumberFormat="1" applyFont="1" applyBorder="1" applyAlignment="1">
      <alignment horizontal="center" vertical="center"/>
    </xf>
    <xf numFmtId="4" fontId="31" fillId="0" borderId="48" xfId="0" applyNumberFormat="1" applyFont="1" applyBorder="1" applyAlignment="1">
      <alignment horizontal="center" vertical="center"/>
    </xf>
    <xf numFmtId="9" fontId="31" fillId="0" borderId="55" xfId="3" applyFont="1" applyFill="1" applyBorder="1" applyAlignment="1">
      <alignment horizontal="center" vertical="center"/>
    </xf>
    <xf numFmtId="43" fontId="31" fillId="0" borderId="56" xfId="1" applyFont="1" applyFill="1" applyBorder="1" applyAlignment="1">
      <alignment horizontal="center" vertical="center"/>
    </xf>
    <xf numFmtId="43" fontId="31" fillId="0" borderId="55" xfId="1" applyFont="1" applyFill="1" applyBorder="1" applyAlignment="1">
      <alignment horizontal="center" vertical="center"/>
    </xf>
    <xf numFmtId="168" fontId="31" fillId="0" borderId="56" xfId="0" applyNumberFormat="1" applyFont="1" applyBorder="1" applyAlignment="1">
      <alignment horizontal="center" vertical="center"/>
    </xf>
    <xf numFmtId="168" fontId="31" fillId="0" borderId="55" xfId="0" applyNumberFormat="1" applyFont="1" applyBorder="1" applyAlignment="1">
      <alignment horizontal="center" vertical="center"/>
    </xf>
    <xf numFmtId="166" fontId="31" fillId="0" borderId="56" xfId="1" applyNumberFormat="1" applyFont="1" applyFill="1" applyBorder="1" applyAlignment="1" applyProtection="1">
      <alignment horizontal="center" vertical="center"/>
    </xf>
    <xf numFmtId="166" fontId="32" fillId="0" borderId="0" xfId="1" applyNumberFormat="1" applyFont="1" applyFill="1" applyBorder="1" applyAlignment="1" applyProtection="1">
      <alignment horizontal="center" vertical="center"/>
    </xf>
    <xf numFmtId="41" fontId="32" fillId="0" borderId="11" xfId="2" applyFont="1" applyFill="1" applyBorder="1" applyAlignment="1" applyProtection="1">
      <alignment horizontal="center" vertical="center"/>
    </xf>
    <xf numFmtId="0" fontId="32" fillId="0" borderId="0" xfId="0" applyFont="1" applyAlignment="1">
      <alignment horizontal="center" vertical="center"/>
    </xf>
    <xf numFmtId="4" fontId="32" fillId="0" borderId="0" xfId="0" applyNumberFormat="1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31" fillId="0" borderId="37" xfId="1" applyNumberFormat="1" applyFont="1" applyFill="1" applyBorder="1" applyAlignment="1">
      <alignment horizontal="center" vertical="center"/>
    </xf>
    <xf numFmtId="166" fontId="31" fillId="0" borderId="0" xfId="1" applyNumberFormat="1" applyFont="1" applyFill="1" applyBorder="1" applyAlignment="1" applyProtection="1">
      <alignment horizontal="center" vertical="center"/>
    </xf>
    <xf numFmtId="41" fontId="31" fillId="0" borderId="11" xfId="2" applyFont="1" applyFill="1" applyBorder="1" applyAlignment="1" applyProtection="1">
      <alignment horizontal="center" vertical="center"/>
    </xf>
    <xf numFmtId="4" fontId="31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3" fontId="33" fillId="0" borderId="52" xfId="0" applyNumberFormat="1" applyFont="1" applyBorder="1" applyAlignment="1">
      <alignment horizontal="center" vertical="center"/>
    </xf>
    <xf numFmtId="168" fontId="33" fillId="0" borderId="56" xfId="0" applyNumberFormat="1" applyFont="1" applyBorder="1" applyAlignment="1">
      <alignment horizontal="center" vertical="center"/>
    </xf>
    <xf numFmtId="168" fontId="33" fillId="0" borderId="55" xfId="0" applyNumberFormat="1" applyFont="1" applyBorder="1" applyAlignment="1">
      <alignment horizontal="center" vertical="center"/>
    </xf>
    <xf numFmtId="9" fontId="33" fillId="0" borderId="52" xfId="3" applyFont="1" applyFill="1" applyBorder="1" applyAlignment="1">
      <alignment horizontal="center" vertical="center"/>
    </xf>
    <xf numFmtId="4" fontId="34" fillId="0" borderId="17" xfId="0" applyNumberFormat="1" applyFont="1" applyBorder="1" applyAlignment="1">
      <alignment horizontal="center" vertical="center"/>
    </xf>
    <xf numFmtId="166" fontId="34" fillId="0" borderId="54" xfId="1" applyNumberFormat="1" applyFont="1" applyFill="1" applyBorder="1" applyAlignment="1">
      <alignment horizontal="center" vertical="center"/>
    </xf>
    <xf numFmtId="41" fontId="34" fillId="0" borderId="51" xfId="2" applyFont="1" applyFill="1" applyBorder="1" applyAlignment="1">
      <alignment horizontal="center" vertical="center"/>
    </xf>
    <xf numFmtId="41" fontId="34" fillId="0" borderId="53" xfId="2" applyFont="1" applyFill="1" applyBorder="1" applyAlignment="1">
      <alignment horizontal="center" vertical="center"/>
    </xf>
    <xf numFmtId="41" fontId="31" fillId="0" borderId="37" xfId="2" applyFont="1" applyFill="1" applyBorder="1" applyAlignment="1">
      <alignment horizontal="center" vertical="center"/>
    </xf>
    <xf numFmtId="4" fontId="31" fillId="0" borderId="17" xfId="3" applyNumberFormat="1" applyFont="1" applyFill="1" applyBorder="1" applyAlignment="1">
      <alignment horizontal="center" vertical="center"/>
    </xf>
    <xf numFmtId="43" fontId="31" fillId="0" borderId="16" xfId="1" applyFont="1" applyFill="1" applyBorder="1" applyAlignment="1">
      <alignment horizontal="center" vertical="center"/>
    </xf>
    <xf numFmtId="43" fontId="31" fillId="0" borderId="51" xfId="1" applyFont="1" applyFill="1" applyBorder="1" applyAlignment="1" applyProtection="1">
      <alignment horizontal="center" vertical="center"/>
    </xf>
    <xf numFmtId="41" fontId="31" fillId="0" borderId="52" xfId="2" applyFont="1" applyFill="1" applyBorder="1" applyAlignment="1">
      <alignment horizontal="center" vertical="center"/>
    </xf>
    <xf numFmtId="4" fontId="31" fillId="0" borderId="17" xfId="2" applyNumberFormat="1" applyFont="1" applyFill="1" applyBorder="1" applyAlignment="1">
      <alignment horizontal="center" vertical="center"/>
    </xf>
    <xf numFmtId="166" fontId="31" fillId="0" borderId="56" xfId="2" applyNumberFormat="1" applyFont="1" applyFill="1" applyBorder="1" applyAlignment="1">
      <alignment horizontal="center" vertical="center"/>
    </xf>
    <xf numFmtId="41" fontId="31" fillId="2" borderId="37" xfId="1" applyNumberFormat="1" applyFont="1" applyFill="1" applyBorder="1" applyAlignment="1">
      <alignment horizontal="center" vertical="center"/>
    </xf>
    <xf numFmtId="41" fontId="31" fillId="2" borderId="37" xfId="2" applyFont="1" applyFill="1" applyBorder="1" applyAlignment="1">
      <alignment horizontal="center" vertical="center"/>
    </xf>
    <xf numFmtId="41" fontId="31" fillId="2" borderId="37" xfId="1" applyNumberFormat="1" applyFont="1" applyFill="1" applyBorder="1" applyAlignment="1">
      <alignment horizontal="left" vertical="center"/>
    </xf>
    <xf numFmtId="173" fontId="31" fillId="2" borderId="37" xfId="1" applyNumberFormat="1" applyFont="1" applyFill="1" applyBorder="1" applyAlignment="1">
      <alignment horizontal="center" vertical="center"/>
    </xf>
    <xf numFmtId="9" fontId="31" fillId="2" borderId="52" xfId="3" applyFont="1" applyFill="1" applyBorder="1" applyAlignment="1">
      <alignment horizontal="center" vertical="center"/>
    </xf>
    <xf numFmtId="4" fontId="31" fillId="2" borderId="17" xfId="3" applyNumberFormat="1" applyFont="1" applyFill="1" applyBorder="1" applyAlignment="1">
      <alignment horizontal="center" vertical="center"/>
    </xf>
    <xf numFmtId="43" fontId="31" fillId="2" borderId="51" xfId="1" applyFont="1" applyFill="1" applyBorder="1" applyAlignment="1" applyProtection="1">
      <alignment horizontal="center" vertical="center"/>
    </xf>
    <xf numFmtId="43" fontId="31" fillId="2" borderId="15" xfId="1" applyFont="1" applyFill="1" applyBorder="1" applyAlignment="1" applyProtection="1">
      <alignment horizontal="center" vertical="center"/>
    </xf>
    <xf numFmtId="3" fontId="31" fillId="2" borderId="52" xfId="0" applyNumberFormat="1" applyFont="1" applyFill="1" applyBorder="1" applyAlignment="1">
      <alignment horizontal="center" vertical="center"/>
    </xf>
    <xf numFmtId="4" fontId="31" fillId="2" borderId="17" xfId="0" applyNumberFormat="1" applyFont="1" applyFill="1" applyBorder="1" applyAlignment="1">
      <alignment horizontal="center" vertical="center"/>
    </xf>
    <xf numFmtId="166" fontId="31" fillId="2" borderId="54" xfId="1" applyNumberFormat="1" applyFont="1" applyFill="1" applyBorder="1" applyAlignment="1">
      <alignment horizontal="center" vertical="center"/>
    </xf>
    <xf numFmtId="41" fontId="31" fillId="2" borderId="51" xfId="2" applyFont="1" applyFill="1" applyBorder="1" applyAlignment="1">
      <alignment horizontal="center" vertical="center"/>
    </xf>
    <xf numFmtId="41" fontId="31" fillId="2" borderId="52" xfId="2" applyFont="1" applyFill="1" applyBorder="1" applyAlignment="1">
      <alignment horizontal="center" vertical="center"/>
    </xf>
    <xf numFmtId="4" fontId="31" fillId="2" borderId="17" xfId="2" applyNumberFormat="1" applyFont="1" applyFill="1" applyBorder="1" applyAlignment="1">
      <alignment horizontal="center" vertical="center"/>
    </xf>
    <xf numFmtId="166" fontId="31" fillId="2" borderId="56" xfId="0" applyNumberFormat="1" applyFont="1" applyFill="1" applyBorder="1" applyAlignment="1">
      <alignment horizontal="center" vertical="center"/>
    </xf>
    <xf numFmtId="4" fontId="31" fillId="2" borderId="50" xfId="0" applyNumberFormat="1" applyFont="1" applyFill="1" applyBorder="1" applyAlignment="1">
      <alignment horizontal="center" vertical="center"/>
    </xf>
    <xf numFmtId="4" fontId="31" fillId="2" borderId="48" xfId="0" applyNumberFormat="1" applyFont="1" applyFill="1" applyBorder="1" applyAlignment="1">
      <alignment horizontal="center" vertical="center"/>
    </xf>
    <xf numFmtId="9" fontId="31" fillId="2" borderId="55" xfId="3" applyFont="1" applyFill="1" applyBorder="1" applyAlignment="1">
      <alignment horizontal="center" vertical="center"/>
    </xf>
    <xf numFmtId="43" fontId="31" fillId="2" borderId="56" xfId="1" applyFont="1" applyFill="1" applyBorder="1" applyAlignment="1">
      <alignment horizontal="center" vertical="center"/>
    </xf>
    <xf numFmtId="43" fontId="31" fillId="2" borderId="55" xfId="1" applyFont="1" applyFill="1" applyBorder="1" applyAlignment="1">
      <alignment horizontal="center" vertical="center"/>
    </xf>
    <xf numFmtId="168" fontId="31" fillId="2" borderId="56" xfId="0" applyNumberFormat="1" applyFont="1" applyFill="1" applyBorder="1" applyAlignment="1">
      <alignment horizontal="center" vertical="center"/>
    </xf>
    <xf numFmtId="168" fontId="31" fillId="2" borderId="55" xfId="0" applyNumberFormat="1" applyFont="1" applyFill="1" applyBorder="1" applyAlignment="1">
      <alignment horizontal="center" vertical="center"/>
    </xf>
    <xf numFmtId="41" fontId="31" fillId="2" borderId="15" xfId="1" applyNumberFormat="1" applyFont="1" applyFill="1" applyBorder="1" applyAlignment="1" applyProtection="1">
      <alignment horizontal="center" vertical="center"/>
    </xf>
    <xf numFmtId="41" fontId="31" fillId="2" borderId="15" xfId="1" applyNumberFormat="1" applyFont="1" applyFill="1" applyBorder="1" applyAlignment="1">
      <alignment horizontal="center" vertical="center"/>
    </xf>
    <xf numFmtId="20" fontId="31" fillId="0" borderId="54" xfId="0" applyNumberFormat="1" applyFont="1" applyBorder="1" applyAlignment="1">
      <alignment horizontal="center" vertical="center"/>
    </xf>
    <xf numFmtId="20" fontId="31" fillId="0" borderId="56" xfId="0" applyNumberFormat="1" applyFont="1" applyBorder="1" applyAlignment="1">
      <alignment horizontal="center" vertical="center"/>
    </xf>
    <xf numFmtId="174" fontId="31" fillId="0" borderId="37" xfId="2" applyNumberFormat="1" applyFont="1" applyFill="1" applyBorder="1" applyAlignment="1">
      <alignment horizontal="center" vertical="center"/>
    </xf>
    <xf numFmtId="2" fontId="31" fillId="0" borderId="56" xfId="1" applyNumberFormat="1" applyFont="1" applyFill="1" applyBorder="1" applyAlignment="1">
      <alignment horizontal="center" vertical="center"/>
    </xf>
    <xf numFmtId="20" fontId="31" fillId="2" borderId="54" xfId="0" applyNumberFormat="1" applyFont="1" applyFill="1" applyBorder="1" applyAlignment="1">
      <alignment horizontal="center" vertical="center"/>
    </xf>
    <xf numFmtId="20" fontId="31" fillId="2" borderId="56" xfId="0" applyNumberFormat="1" applyFont="1" applyFill="1" applyBorder="1" applyAlignment="1">
      <alignment horizontal="center" vertical="center"/>
    </xf>
    <xf numFmtId="166" fontId="33" fillId="0" borderId="56" xfId="1" applyNumberFormat="1" applyFont="1" applyFill="1" applyBorder="1" applyAlignment="1" applyProtection="1">
      <alignment horizontal="center" vertical="center"/>
    </xf>
    <xf numFmtId="9" fontId="31" fillId="0" borderId="53" xfId="3" applyFont="1" applyFill="1" applyBorder="1" applyAlignment="1">
      <alignment horizontal="center" vertical="center"/>
    </xf>
    <xf numFmtId="43" fontId="31" fillId="2" borderId="16" xfId="1" applyFont="1" applyFill="1" applyBorder="1" applyAlignment="1">
      <alignment horizontal="center" vertical="center"/>
    </xf>
    <xf numFmtId="4" fontId="31" fillId="0" borderId="54" xfId="2" applyNumberFormat="1" applyFont="1" applyFill="1" applyBorder="1" applyAlignment="1">
      <alignment horizontal="center" vertical="center"/>
    </xf>
    <xf numFmtId="41" fontId="33" fillId="0" borderId="37" xfId="1" applyNumberFormat="1" applyFont="1" applyFill="1" applyBorder="1" applyAlignment="1">
      <alignment horizontal="center" vertical="center"/>
    </xf>
    <xf numFmtId="41" fontId="33" fillId="0" borderId="37" xfId="2" applyFont="1" applyFill="1" applyBorder="1" applyAlignment="1">
      <alignment horizontal="center" vertical="center"/>
    </xf>
    <xf numFmtId="9" fontId="33" fillId="0" borderId="53" xfId="3" applyFont="1" applyFill="1" applyBorder="1" applyAlignment="1">
      <alignment horizontal="center" vertical="center"/>
    </xf>
    <xf numFmtId="4" fontId="33" fillId="0" borderId="54" xfId="3" applyNumberFormat="1" applyFont="1" applyFill="1" applyBorder="1" applyAlignment="1">
      <alignment horizontal="center" vertical="center"/>
    </xf>
    <xf numFmtId="41" fontId="33" fillId="0" borderId="80" xfId="1" applyNumberFormat="1" applyFont="1" applyFill="1" applyBorder="1" applyAlignment="1">
      <alignment horizontal="center" vertical="center"/>
    </xf>
    <xf numFmtId="173" fontId="33" fillId="0" borderId="37" xfId="1" applyNumberFormat="1" applyFont="1" applyFill="1" applyBorder="1" applyAlignment="1">
      <alignment horizontal="center" vertical="center"/>
    </xf>
    <xf numFmtId="168" fontId="33" fillId="0" borderId="31" xfId="0" applyNumberFormat="1" applyFont="1" applyBorder="1" applyAlignment="1">
      <alignment horizontal="center" vertical="center"/>
    </xf>
    <xf numFmtId="167" fontId="28" fillId="0" borderId="50" xfId="0" applyNumberFormat="1" applyFont="1" applyBorder="1" applyAlignment="1">
      <alignment horizontal="center" vertical="center"/>
    </xf>
    <xf numFmtId="41" fontId="28" fillId="0" borderId="37" xfId="1" applyNumberFormat="1" applyFont="1" applyFill="1" applyBorder="1" applyAlignment="1">
      <alignment horizontal="center" vertical="center"/>
    </xf>
    <xf numFmtId="174" fontId="28" fillId="0" borderId="37" xfId="1" applyNumberFormat="1" applyFont="1" applyFill="1" applyBorder="1" applyAlignment="1">
      <alignment horizontal="center" vertical="center"/>
    </xf>
    <xf numFmtId="41" fontId="28" fillId="0" borderId="37" xfId="1" applyNumberFormat="1" applyFont="1" applyFill="1" applyBorder="1" applyAlignment="1">
      <alignment horizontal="left" vertical="center"/>
    </xf>
    <xf numFmtId="173" fontId="28" fillId="0" borderId="37" xfId="1" applyNumberFormat="1" applyFont="1" applyFill="1" applyBorder="1" applyAlignment="1">
      <alignment horizontal="center" vertical="center"/>
    </xf>
    <xf numFmtId="9" fontId="28" fillId="0" borderId="52" xfId="3" applyFont="1" applyFill="1" applyBorder="1" applyAlignment="1">
      <alignment horizontal="center" vertical="center"/>
    </xf>
    <xf numFmtId="4" fontId="28" fillId="0" borderId="17" xfId="3" applyNumberFormat="1" applyFont="1" applyFill="1" applyBorder="1" applyAlignment="1">
      <alignment horizontal="center" vertical="center"/>
    </xf>
    <xf numFmtId="43" fontId="28" fillId="0" borderId="51" xfId="1" applyFont="1" applyFill="1" applyBorder="1" applyAlignment="1" applyProtection="1">
      <alignment horizontal="center" vertical="center"/>
    </xf>
    <xf numFmtId="43" fontId="28" fillId="0" borderId="15" xfId="1" applyFont="1" applyFill="1" applyBorder="1" applyAlignment="1" applyProtection="1">
      <alignment horizontal="center" vertical="center"/>
    </xf>
    <xf numFmtId="3" fontId="28" fillId="0" borderId="52" xfId="0" applyNumberFormat="1" applyFont="1" applyBorder="1" applyAlignment="1">
      <alignment horizontal="center" vertical="center"/>
    </xf>
    <xf numFmtId="4" fontId="28" fillId="0" borderId="17" xfId="0" applyNumberFormat="1" applyFont="1" applyBorder="1" applyAlignment="1">
      <alignment horizontal="center" vertical="center"/>
    </xf>
    <xf numFmtId="166" fontId="28" fillId="0" borderId="54" xfId="1" applyNumberFormat="1" applyFont="1" applyFill="1" applyBorder="1" applyAlignment="1">
      <alignment horizontal="center" vertical="center"/>
    </xf>
    <xf numFmtId="41" fontId="28" fillId="0" borderId="51" xfId="2" applyFont="1" applyFill="1" applyBorder="1" applyAlignment="1">
      <alignment horizontal="center" vertical="center"/>
    </xf>
    <xf numFmtId="41" fontId="28" fillId="0" borderId="52" xfId="2" applyFont="1" applyFill="1" applyBorder="1" applyAlignment="1">
      <alignment horizontal="center" vertical="center"/>
    </xf>
    <xf numFmtId="4" fontId="28" fillId="0" borderId="17" xfId="2" applyNumberFormat="1" applyFont="1" applyFill="1" applyBorder="1" applyAlignment="1">
      <alignment horizontal="center" vertical="center"/>
    </xf>
    <xf numFmtId="166" fontId="28" fillId="0" borderId="56" xfId="0" applyNumberFormat="1" applyFont="1" applyBorder="1" applyAlignment="1">
      <alignment horizontal="center" vertical="center"/>
    </xf>
    <xf numFmtId="4" fontId="28" fillId="0" borderId="50" xfId="0" applyNumberFormat="1" applyFont="1" applyBorder="1" applyAlignment="1">
      <alignment horizontal="center" vertical="center"/>
    </xf>
    <xf numFmtId="4" fontId="28" fillId="0" borderId="48" xfId="0" applyNumberFormat="1" applyFont="1" applyBorder="1" applyAlignment="1">
      <alignment horizontal="center" vertical="center"/>
    </xf>
    <xf numFmtId="9" fontId="28" fillId="0" borderId="55" xfId="3" applyFont="1" applyFill="1" applyBorder="1" applyAlignment="1">
      <alignment horizontal="center" vertical="center"/>
    </xf>
    <xf numFmtId="168" fontId="28" fillId="0" borderId="56" xfId="0" applyNumberFormat="1" applyFont="1" applyBorder="1" applyAlignment="1">
      <alignment horizontal="center" vertical="center"/>
    </xf>
    <xf numFmtId="168" fontId="28" fillId="0" borderId="55" xfId="0" applyNumberFormat="1" applyFont="1" applyBorder="1" applyAlignment="1">
      <alignment horizontal="center" vertical="center"/>
    </xf>
    <xf numFmtId="166" fontId="28" fillId="0" borderId="56" xfId="1" applyNumberFormat="1" applyFont="1" applyFill="1" applyBorder="1" applyAlignment="1" applyProtection="1">
      <alignment horizontal="center" vertical="center"/>
    </xf>
    <xf numFmtId="41" fontId="4" fillId="0" borderId="11" xfId="2" applyFont="1" applyFill="1" applyBorder="1" applyAlignment="1" applyProtection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41" fontId="28" fillId="0" borderId="37" xfId="2" applyFont="1" applyFill="1" applyBorder="1" applyAlignment="1">
      <alignment horizontal="center" vertical="center"/>
    </xf>
    <xf numFmtId="166" fontId="28" fillId="0" borderId="56" xfId="2" applyNumberFormat="1" applyFont="1" applyFill="1" applyBorder="1" applyAlignment="1">
      <alignment horizontal="center" vertical="center"/>
    </xf>
    <xf numFmtId="41" fontId="25" fillId="0" borderId="37" xfId="1" applyNumberFormat="1" applyFont="1" applyFill="1" applyBorder="1" applyAlignment="1">
      <alignment horizontal="center" vertical="center"/>
    </xf>
    <xf numFmtId="174" fontId="25" fillId="0" borderId="37" xfId="1" applyNumberFormat="1" applyFont="1" applyFill="1" applyBorder="1" applyAlignment="1">
      <alignment horizontal="center" vertical="center"/>
    </xf>
    <xf numFmtId="41" fontId="25" fillId="0" borderId="37" xfId="1" applyNumberFormat="1" applyFont="1" applyFill="1" applyBorder="1" applyAlignment="1">
      <alignment horizontal="left" vertical="center"/>
    </xf>
    <xf numFmtId="9" fontId="25" fillId="0" borderId="52" xfId="3" applyFont="1" applyFill="1" applyBorder="1" applyAlignment="1">
      <alignment horizontal="center" vertical="center"/>
    </xf>
    <xf numFmtId="4" fontId="25" fillId="0" borderId="17" xfId="3" applyNumberFormat="1" applyFont="1" applyFill="1" applyBorder="1" applyAlignment="1">
      <alignment horizontal="center" vertical="center"/>
    </xf>
    <xf numFmtId="43" fontId="25" fillId="0" borderId="51" xfId="1" applyFont="1" applyFill="1" applyBorder="1" applyAlignment="1" applyProtection="1">
      <alignment horizontal="center" vertical="center"/>
    </xf>
    <xf numFmtId="43" fontId="25" fillId="0" borderId="15" xfId="1" applyFont="1" applyFill="1" applyBorder="1" applyAlignment="1" applyProtection="1">
      <alignment horizontal="center" vertical="center"/>
    </xf>
    <xf numFmtId="3" fontId="25" fillId="0" borderId="52" xfId="0" applyNumberFormat="1" applyFont="1" applyBorder="1" applyAlignment="1">
      <alignment horizontal="center" vertical="center"/>
    </xf>
    <xf numFmtId="4" fontId="25" fillId="0" borderId="17" xfId="0" applyNumberFormat="1" applyFont="1" applyBorder="1" applyAlignment="1">
      <alignment horizontal="center" vertical="center"/>
    </xf>
    <xf numFmtId="166" fontId="25" fillId="0" borderId="54" xfId="1" applyNumberFormat="1" applyFont="1" applyFill="1" applyBorder="1" applyAlignment="1">
      <alignment horizontal="center" vertical="center"/>
    </xf>
    <xf numFmtId="41" fontId="25" fillId="0" borderId="51" xfId="2" applyFont="1" applyFill="1" applyBorder="1" applyAlignment="1">
      <alignment horizontal="center" vertical="center"/>
    </xf>
    <xf numFmtId="41" fontId="25" fillId="0" borderId="52" xfId="2" applyFont="1" applyFill="1" applyBorder="1" applyAlignment="1">
      <alignment horizontal="center" vertical="center"/>
    </xf>
    <xf numFmtId="4" fontId="25" fillId="0" borderId="17" xfId="2" applyNumberFormat="1" applyFont="1" applyFill="1" applyBorder="1" applyAlignment="1">
      <alignment horizontal="center" vertical="center"/>
    </xf>
    <xf numFmtId="166" fontId="25" fillId="0" borderId="56" xfId="0" applyNumberFormat="1" applyFont="1" applyBorder="1" applyAlignment="1">
      <alignment horizontal="center" vertical="center"/>
    </xf>
    <xf numFmtId="4" fontId="25" fillId="0" borderId="50" xfId="0" applyNumberFormat="1" applyFont="1" applyBorder="1" applyAlignment="1">
      <alignment horizontal="center" vertical="center"/>
    </xf>
    <xf numFmtId="4" fontId="25" fillId="0" borderId="48" xfId="0" applyNumberFormat="1" applyFont="1" applyBorder="1" applyAlignment="1">
      <alignment horizontal="center" vertical="center"/>
    </xf>
    <xf numFmtId="9" fontId="25" fillId="0" borderId="55" xfId="3" applyFont="1" applyFill="1" applyBorder="1" applyAlignment="1">
      <alignment horizontal="center" vertical="center"/>
    </xf>
    <xf numFmtId="43" fontId="25" fillId="0" borderId="56" xfId="1" applyFont="1" applyFill="1" applyBorder="1" applyAlignment="1">
      <alignment horizontal="center" vertical="center"/>
    </xf>
    <xf numFmtId="43" fontId="25" fillId="0" borderId="55" xfId="1" applyFont="1" applyFill="1" applyBorder="1" applyAlignment="1">
      <alignment horizontal="center" vertical="center"/>
    </xf>
    <xf numFmtId="168" fontId="25" fillId="0" borderId="56" xfId="0" applyNumberFormat="1" applyFont="1" applyBorder="1" applyAlignment="1">
      <alignment horizontal="center" vertical="center"/>
    </xf>
    <xf numFmtId="168" fontId="25" fillId="0" borderId="55" xfId="0" applyNumberFormat="1" applyFont="1" applyBorder="1" applyAlignment="1">
      <alignment horizontal="center" vertical="center"/>
    </xf>
    <xf numFmtId="166" fontId="25" fillId="0" borderId="56" xfId="1" applyNumberFormat="1" applyFont="1" applyFill="1" applyBorder="1" applyAlignment="1" applyProtection="1">
      <alignment horizontal="center" vertical="center"/>
    </xf>
    <xf numFmtId="41" fontId="25" fillId="0" borderId="37" xfId="2" applyFont="1" applyFill="1" applyBorder="1" applyAlignment="1">
      <alignment horizontal="center" vertical="center"/>
    </xf>
    <xf numFmtId="174" fontId="25" fillId="0" borderId="37" xfId="1" applyNumberFormat="1" applyFont="1" applyFill="1" applyBorder="1" applyAlignment="1">
      <alignment horizontal="left" vertical="center"/>
    </xf>
    <xf numFmtId="166" fontId="28" fillId="2" borderId="11" xfId="9" applyNumberFormat="1" applyFont="1" applyFill="1" applyBorder="1" applyAlignment="1">
      <alignment horizontal="center" vertical="center"/>
    </xf>
    <xf numFmtId="166" fontId="28" fillId="2" borderId="10" xfId="9" applyNumberFormat="1" applyFont="1" applyFill="1" applyBorder="1" applyAlignment="1">
      <alignment horizontal="center" vertical="center"/>
    </xf>
    <xf numFmtId="166" fontId="31" fillId="2" borderId="11" xfId="9" applyNumberFormat="1" applyFont="1" applyFill="1" applyBorder="1" applyAlignment="1">
      <alignment horizontal="center" vertical="center"/>
    </xf>
    <xf numFmtId="166" fontId="31" fillId="2" borderId="10" xfId="9" applyNumberFormat="1" applyFont="1" applyFill="1" applyBorder="1" applyAlignment="1">
      <alignment horizontal="center" vertical="center"/>
    </xf>
    <xf numFmtId="43" fontId="28" fillId="2" borderId="10" xfId="9" applyFont="1" applyFill="1" applyBorder="1" applyAlignment="1">
      <alignment horizontal="center" vertical="center"/>
    </xf>
    <xf numFmtId="43" fontId="31" fillId="2" borderId="10" xfId="9" applyFont="1" applyFill="1" applyBorder="1" applyAlignment="1">
      <alignment horizontal="center" vertical="center"/>
    </xf>
    <xf numFmtId="172" fontId="19" fillId="0" borderId="0" xfId="2" applyNumberFormat="1" applyFont="1" applyFill="1" applyBorder="1" applyAlignment="1" applyProtection="1">
      <alignment horizontal="center" vertical="center"/>
    </xf>
    <xf numFmtId="166" fontId="25" fillId="2" borderId="11" xfId="9" applyNumberFormat="1" applyFont="1" applyFill="1" applyBorder="1" applyAlignment="1">
      <alignment horizontal="center" vertical="center"/>
    </xf>
    <xf numFmtId="43" fontId="25" fillId="2" borderId="10" xfId="9" applyFont="1" applyFill="1" applyBorder="1" applyAlignment="1">
      <alignment horizontal="center" vertical="center"/>
    </xf>
    <xf numFmtId="166" fontId="25" fillId="2" borderId="10" xfId="9" applyNumberFormat="1" applyFont="1" applyFill="1" applyBorder="1" applyAlignment="1">
      <alignment horizontal="center" vertical="center"/>
    </xf>
    <xf numFmtId="166" fontId="25" fillId="0" borderId="0" xfId="1" applyNumberFormat="1" applyFont="1" applyFill="1" applyBorder="1" applyAlignment="1" applyProtection="1">
      <alignment horizontal="center" vertical="center"/>
    </xf>
    <xf numFmtId="41" fontId="25" fillId="0" borderId="11" xfId="2" applyFont="1" applyFill="1" applyBorder="1" applyAlignment="1" applyProtection="1">
      <alignment horizontal="center" vertical="center"/>
    </xf>
    <xf numFmtId="4" fontId="25" fillId="0" borderId="0" xfId="0" applyNumberFormat="1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166" fontId="25" fillId="2" borderId="56" xfId="1" applyNumberFormat="1" applyFont="1" applyFill="1" applyBorder="1" applyAlignment="1" applyProtection="1">
      <alignment horizontal="center" vertical="center"/>
    </xf>
    <xf numFmtId="41" fontId="25" fillId="2" borderId="11" xfId="2" applyFont="1" applyFill="1" applyBorder="1" applyAlignment="1" applyProtection="1">
      <alignment horizontal="center" vertical="center"/>
    </xf>
    <xf numFmtId="43" fontId="28" fillId="0" borderId="11" xfId="1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4" fontId="28" fillId="2" borderId="0" xfId="0" applyNumberFormat="1" applyFont="1" applyFill="1" applyAlignment="1">
      <alignment horizontal="center" vertical="center"/>
    </xf>
    <xf numFmtId="166" fontId="28" fillId="2" borderId="0" xfId="0" applyNumberFormat="1" applyFont="1" applyFill="1" applyAlignment="1">
      <alignment horizontal="center" vertical="center"/>
    </xf>
    <xf numFmtId="166" fontId="19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37" fillId="0" borderId="11" xfId="0" applyFont="1" applyBorder="1" applyAlignment="1">
      <alignment horizontal="center"/>
    </xf>
    <xf numFmtId="43" fontId="0" fillId="0" borderId="11" xfId="0" applyNumberFormat="1" applyBorder="1" applyAlignment="1">
      <alignment horizontal="center"/>
    </xf>
    <xf numFmtId="0" fontId="0" fillId="2" borderId="11" xfId="0" applyFill="1" applyBorder="1" applyAlignment="1">
      <alignment horizontal="center"/>
    </xf>
    <xf numFmtId="43" fontId="0" fillId="2" borderId="11" xfId="0" applyNumberFormat="1" applyFill="1" applyBorder="1"/>
    <xf numFmtId="0" fontId="38" fillId="2" borderId="11" xfId="0" applyFont="1" applyFill="1" applyBorder="1" applyAlignment="1">
      <alignment horizontal="center"/>
    </xf>
    <xf numFmtId="43" fontId="0" fillId="2" borderId="11" xfId="0" applyNumberFormat="1" applyFill="1" applyBorder="1" applyAlignment="1">
      <alignment horizontal="center"/>
    </xf>
    <xf numFmtId="177" fontId="0" fillId="0" borderId="11" xfId="0" applyNumberFormat="1" applyBorder="1" applyAlignment="1">
      <alignment horizontal="center"/>
    </xf>
    <xf numFmtId="20" fontId="0" fillId="0" borderId="0" xfId="0" applyNumberFormat="1"/>
    <xf numFmtId="166" fontId="39" fillId="0" borderId="0" xfId="1" applyNumberFormat="1" applyFont="1" applyFill="1" applyBorder="1" applyAlignment="1" applyProtection="1">
      <alignment horizontal="center"/>
    </xf>
    <xf numFmtId="166" fontId="40" fillId="0" borderId="0" xfId="1" applyNumberFormat="1" applyFont="1" applyFill="1" applyBorder="1" applyAlignment="1" applyProtection="1">
      <alignment horizontal="center"/>
    </xf>
    <xf numFmtId="4" fontId="28" fillId="2" borderId="11" xfId="0" applyNumberFormat="1" applyFont="1" applyFill="1" applyBorder="1" applyAlignment="1">
      <alignment horizontal="center" vertical="center"/>
    </xf>
    <xf numFmtId="41" fontId="4" fillId="2" borderId="11" xfId="2" applyFont="1" applyFill="1" applyBorder="1" applyAlignment="1" applyProtection="1">
      <alignment horizontal="center" vertical="center"/>
    </xf>
    <xf numFmtId="0" fontId="4" fillId="2" borderId="0" xfId="0" applyFont="1" applyFill="1" applyAlignment="1">
      <alignment horizontal="center" vertical="center"/>
    </xf>
    <xf numFmtId="4" fontId="4" fillId="2" borderId="0" xfId="0" applyNumberFormat="1" applyFont="1" applyFill="1" applyAlignment="1">
      <alignment horizontal="center" vertical="center"/>
    </xf>
    <xf numFmtId="166" fontId="4" fillId="2" borderId="0" xfId="0" applyNumberFormat="1" applyFont="1" applyFill="1" applyAlignment="1">
      <alignment horizontal="center" vertical="center"/>
    </xf>
    <xf numFmtId="168" fontId="28" fillId="2" borderId="11" xfId="0" applyNumberFormat="1" applyFont="1" applyFill="1" applyBorder="1" applyAlignment="1">
      <alignment horizontal="center" vertical="center"/>
    </xf>
    <xf numFmtId="43" fontId="42" fillId="0" borderId="0" xfId="1" applyFont="1" applyFill="1" applyBorder="1" applyAlignment="1" applyProtection="1">
      <alignment horizontal="center"/>
    </xf>
    <xf numFmtId="43" fontId="32" fillId="0" borderId="0" xfId="1" applyFont="1" applyFill="1" applyBorder="1" applyAlignment="1" applyProtection="1">
      <alignment horizontal="center"/>
    </xf>
    <xf numFmtId="0" fontId="32" fillId="0" borderId="0" xfId="0" applyFont="1" applyAlignment="1">
      <alignment horizontal="center"/>
    </xf>
    <xf numFmtId="4" fontId="28" fillId="0" borderId="11" xfId="0" applyNumberFormat="1" applyFont="1" applyBorder="1" applyAlignment="1">
      <alignment horizontal="center" vertical="center"/>
    </xf>
    <xf numFmtId="9" fontId="28" fillId="0" borderId="11" xfId="3" applyFont="1" applyFill="1" applyBorder="1" applyAlignment="1">
      <alignment horizontal="center" vertical="center"/>
    </xf>
    <xf numFmtId="173" fontId="28" fillId="0" borderId="11" xfId="1" applyNumberFormat="1" applyFont="1" applyFill="1" applyBorder="1" applyAlignment="1">
      <alignment horizontal="center" vertical="center"/>
    </xf>
    <xf numFmtId="41" fontId="28" fillId="0" borderId="11" xfId="1" applyNumberFormat="1" applyFont="1" applyFill="1" applyBorder="1" applyAlignment="1">
      <alignment horizontal="left" vertical="center"/>
    </xf>
    <xf numFmtId="166" fontId="36" fillId="0" borderId="21" xfId="1" applyNumberFormat="1" applyFont="1" applyFill="1" applyBorder="1" applyAlignment="1">
      <alignment horizontal="center" vertical="center"/>
    </xf>
    <xf numFmtId="46" fontId="36" fillId="0" borderId="24" xfId="0" applyNumberFormat="1" applyFont="1" applyBorder="1" applyAlignment="1">
      <alignment horizontal="center" vertical="center"/>
    </xf>
    <xf numFmtId="166" fontId="36" fillId="0" borderId="11" xfId="1" applyNumberFormat="1" applyFont="1" applyFill="1" applyBorder="1" applyAlignment="1">
      <alignment horizontal="center" vertical="center"/>
    </xf>
    <xf numFmtId="46" fontId="36" fillId="0" borderId="12" xfId="0" applyNumberFormat="1" applyFont="1" applyBorder="1" applyAlignment="1">
      <alignment horizontal="center" vertical="center"/>
    </xf>
    <xf numFmtId="166" fontId="36" fillId="0" borderId="11" xfId="1" applyNumberFormat="1" applyFont="1" applyFill="1" applyBorder="1" applyAlignment="1">
      <alignment horizontal="centerContinuous" vertical="center"/>
    </xf>
    <xf numFmtId="0" fontId="36" fillId="0" borderId="12" xfId="0" applyFont="1" applyBorder="1" applyAlignment="1">
      <alignment horizontal="center"/>
    </xf>
    <xf numFmtId="166" fontId="36" fillId="0" borderId="14" xfId="1" applyNumberFormat="1" applyFont="1" applyFill="1" applyBorder="1" applyAlignment="1">
      <alignment horizontal="centerContinuous" vertical="center"/>
    </xf>
    <xf numFmtId="0" fontId="36" fillId="0" borderId="35" xfId="0" applyFont="1" applyBorder="1" applyAlignment="1">
      <alignment horizontal="center"/>
    </xf>
    <xf numFmtId="166" fontId="36" fillId="0" borderId="26" xfId="1" applyNumberFormat="1" applyFont="1" applyFill="1" applyBorder="1" applyAlignment="1" applyProtection="1">
      <alignment horizontal="centerContinuous" vertical="center"/>
    </xf>
    <xf numFmtId="0" fontId="36" fillId="0" borderId="29" xfId="0" applyFont="1" applyBorder="1" applyAlignment="1">
      <alignment horizontal="center"/>
    </xf>
    <xf numFmtId="43" fontId="36" fillId="0" borderId="11" xfId="1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41" fontId="19" fillId="2" borderId="11" xfId="2" applyFont="1" applyFill="1" applyBorder="1" applyAlignment="1" applyProtection="1">
      <alignment horizontal="center" vertical="center"/>
    </xf>
    <xf numFmtId="4" fontId="19" fillId="2" borderId="0" xfId="0" applyNumberFormat="1" applyFont="1" applyFill="1" applyAlignment="1">
      <alignment horizontal="center" vertical="center"/>
    </xf>
    <xf numFmtId="166" fontId="19" fillId="2" borderId="0" xfId="0" applyNumberFormat="1" applyFont="1" applyFill="1" applyAlignment="1">
      <alignment horizontal="center" vertical="center"/>
    </xf>
    <xf numFmtId="41" fontId="28" fillId="2" borderId="11" xfId="2" applyFont="1" applyFill="1" applyBorder="1" applyAlignment="1" applyProtection="1">
      <alignment horizontal="center" vertical="center"/>
    </xf>
    <xf numFmtId="166" fontId="22" fillId="2" borderId="0" xfId="1" applyNumberFormat="1" applyFont="1" applyFill="1" applyBorder="1" applyAlignment="1" applyProtection="1">
      <alignment horizontal="center"/>
    </xf>
    <xf numFmtId="166" fontId="19" fillId="2" borderId="0" xfId="1" applyNumberFormat="1" applyFont="1" applyFill="1" applyBorder="1" applyAlignment="1" applyProtection="1">
      <alignment horizontal="center"/>
    </xf>
    <xf numFmtId="166" fontId="18" fillId="2" borderId="0" xfId="1" applyNumberFormat="1" applyFont="1" applyFill="1" applyBorder="1" applyAlignment="1" applyProtection="1">
      <alignment horizontal="center"/>
    </xf>
    <xf numFmtId="0" fontId="19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32" fillId="2" borderId="0" xfId="0" applyFont="1" applyFill="1" applyAlignment="1">
      <alignment horizontal="center"/>
    </xf>
    <xf numFmtId="43" fontId="36" fillId="0" borderId="11" xfId="1" applyFont="1" applyFill="1" applyBorder="1" applyAlignment="1" applyProtection="1">
      <alignment horizontal="center" vertical="center"/>
    </xf>
    <xf numFmtId="0" fontId="45" fillId="0" borderId="0" xfId="4" applyFont="1" applyAlignment="1">
      <alignment vertical="center"/>
    </xf>
    <xf numFmtId="2" fontId="0" fillId="0" borderId="0" xfId="0" applyNumberFormat="1"/>
    <xf numFmtId="166" fontId="20" fillId="0" borderId="0" xfId="1" applyNumberFormat="1" applyFont="1" applyFill="1" applyBorder="1" applyAlignment="1" applyProtection="1">
      <alignment horizontal="center" vertical="center"/>
    </xf>
    <xf numFmtId="166" fontId="20" fillId="2" borderId="0" xfId="1" applyNumberFormat="1" applyFont="1" applyFill="1" applyBorder="1" applyAlignment="1" applyProtection="1">
      <alignment horizontal="center" vertical="center"/>
    </xf>
    <xf numFmtId="43" fontId="32" fillId="0" borderId="0" xfId="1" applyFont="1" applyFill="1" applyBorder="1" applyAlignment="1" applyProtection="1"/>
    <xf numFmtId="20" fontId="32" fillId="0" borderId="0" xfId="1" applyNumberFormat="1" applyFont="1" applyFill="1" applyBorder="1" applyAlignment="1" applyProtection="1">
      <alignment horizontal="center"/>
    </xf>
    <xf numFmtId="43" fontId="47" fillId="0" borderId="0" xfId="1" applyFont="1" applyFill="1" applyBorder="1" applyAlignment="1" applyProtection="1">
      <alignment horizontal="center"/>
    </xf>
    <xf numFmtId="166" fontId="32" fillId="0" borderId="0" xfId="1" applyNumberFormat="1" applyFont="1" applyFill="1" applyBorder="1" applyAlignment="1" applyProtection="1">
      <alignment horizontal="center"/>
    </xf>
    <xf numFmtId="166" fontId="46" fillId="2" borderId="0" xfId="1" applyNumberFormat="1" applyFont="1" applyFill="1" applyBorder="1" applyAlignment="1" applyProtection="1">
      <alignment horizontal="center" vertical="center"/>
    </xf>
    <xf numFmtId="9" fontId="28" fillId="2" borderId="11" xfId="3" applyFont="1" applyFill="1" applyBorder="1" applyAlignment="1">
      <alignment horizontal="center" vertical="center"/>
    </xf>
    <xf numFmtId="43" fontId="28" fillId="2" borderId="11" xfId="1" applyFont="1" applyFill="1" applyBorder="1" applyAlignment="1">
      <alignment horizontal="center" vertical="center"/>
    </xf>
    <xf numFmtId="9" fontId="25" fillId="2" borderId="11" xfId="3" applyFont="1" applyFill="1" applyBorder="1" applyAlignment="1">
      <alignment horizontal="center" vertical="center"/>
    </xf>
    <xf numFmtId="43" fontId="25" fillId="2" borderId="11" xfId="1" applyFont="1" applyFill="1" applyBorder="1" applyAlignment="1">
      <alignment horizontal="center" vertical="center"/>
    </xf>
    <xf numFmtId="168" fontId="25" fillId="2" borderId="11" xfId="0" applyNumberFormat="1" applyFont="1" applyFill="1" applyBorder="1" applyAlignment="1">
      <alignment horizontal="center" vertical="center"/>
    </xf>
    <xf numFmtId="41" fontId="28" fillId="2" borderId="11" xfId="1" applyNumberFormat="1" applyFont="1" applyFill="1" applyBorder="1" applyAlignment="1">
      <alignment horizontal="center" vertical="center"/>
    </xf>
    <xf numFmtId="0" fontId="25" fillId="0" borderId="11" xfId="0" applyFont="1" applyBorder="1" applyAlignment="1">
      <alignment horizontal="center" vertical="center" wrapText="1"/>
    </xf>
    <xf numFmtId="43" fontId="25" fillId="0" borderId="11" xfId="1" applyFont="1" applyFill="1" applyBorder="1" applyAlignment="1">
      <alignment horizontal="center" vertical="center" wrapText="1"/>
    </xf>
    <xf numFmtId="166" fontId="25" fillId="0" borderId="11" xfId="1" applyNumberFormat="1" applyFont="1" applyFill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/>
    </xf>
    <xf numFmtId="41" fontId="25" fillId="0" borderId="11" xfId="2" applyFont="1" applyFill="1" applyBorder="1" applyAlignment="1">
      <alignment horizontal="center" vertical="center" wrapText="1"/>
    </xf>
    <xf numFmtId="174" fontId="28" fillId="0" borderId="11" xfId="2" applyNumberFormat="1" applyFont="1" applyFill="1" applyBorder="1" applyAlignment="1">
      <alignment horizontal="center" vertical="center"/>
    </xf>
    <xf numFmtId="166" fontId="28" fillId="0" borderId="11" xfId="1" applyNumberFormat="1" applyFont="1" applyFill="1" applyBorder="1" applyAlignment="1">
      <alignment horizontal="center" vertical="center"/>
    </xf>
    <xf numFmtId="3" fontId="28" fillId="0" borderId="11" xfId="0" applyNumberFormat="1" applyFont="1" applyBorder="1" applyAlignment="1">
      <alignment horizontal="center" vertical="center"/>
    </xf>
    <xf numFmtId="41" fontId="28" fillId="0" borderId="11" xfId="2" applyFont="1" applyFill="1" applyBorder="1" applyAlignment="1">
      <alignment horizontal="center" vertical="center"/>
    </xf>
    <xf numFmtId="166" fontId="28" fillId="0" borderId="11" xfId="0" applyNumberFormat="1" applyFont="1" applyBorder="1" applyAlignment="1">
      <alignment horizontal="center" vertical="center"/>
    </xf>
    <xf numFmtId="168" fontId="28" fillId="0" borderId="11" xfId="0" applyNumberFormat="1" applyFont="1" applyBorder="1" applyAlignment="1">
      <alignment horizontal="center" vertical="center"/>
    </xf>
    <xf numFmtId="166" fontId="28" fillId="2" borderId="11" xfId="1" applyNumberFormat="1" applyFont="1" applyFill="1" applyBorder="1" applyAlignment="1">
      <alignment horizontal="center" vertical="center"/>
    </xf>
    <xf numFmtId="3" fontId="28" fillId="2" borderId="11" xfId="0" applyNumberFormat="1" applyFont="1" applyFill="1" applyBorder="1" applyAlignment="1">
      <alignment horizontal="center" vertical="center"/>
    </xf>
    <xf numFmtId="41" fontId="28" fillId="2" borderId="11" xfId="2" applyFont="1" applyFill="1" applyBorder="1" applyAlignment="1">
      <alignment horizontal="center" vertical="center"/>
    </xf>
    <xf numFmtId="166" fontId="25" fillId="2" borderId="11" xfId="1" applyNumberFormat="1" applyFont="1" applyFill="1" applyBorder="1" applyAlignment="1">
      <alignment horizontal="center" vertical="center"/>
    </xf>
    <xf numFmtId="3" fontId="25" fillId="2" borderId="11" xfId="0" applyNumberFormat="1" applyFont="1" applyFill="1" applyBorder="1" applyAlignment="1">
      <alignment horizontal="center" vertical="center"/>
    </xf>
    <xf numFmtId="41" fontId="25" fillId="2" borderId="11" xfId="2" applyFont="1" applyFill="1" applyBorder="1" applyAlignment="1">
      <alignment horizontal="center" vertical="center"/>
    </xf>
    <xf numFmtId="3" fontId="44" fillId="2" borderId="11" xfId="0" applyNumberFormat="1" applyFont="1" applyFill="1" applyBorder="1" applyAlignment="1">
      <alignment horizontal="center" vertical="center"/>
    </xf>
    <xf numFmtId="4" fontId="44" fillId="2" borderId="11" xfId="0" applyNumberFormat="1" applyFont="1" applyFill="1" applyBorder="1" applyAlignment="1">
      <alignment horizontal="center" vertical="center"/>
    </xf>
    <xf numFmtId="166" fontId="44" fillId="2" borderId="11" xfId="1" applyNumberFormat="1" applyFont="1" applyFill="1" applyBorder="1" applyAlignment="1">
      <alignment horizontal="center" vertical="center"/>
    </xf>
    <xf numFmtId="41" fontId="44" fillId="2" borderId="11" xfId="2" applyFont="1" applyFill="1" applyBorder="1" applyAlignment="1">
      <alignment horizontal="center" vertical="center"/>
    </xf>
    <xf numFmtId="168" fontId="44" fillId="2" borderId="11" xfId="0" applyNumberFormat="1" applyFont="1" applyFill="1" applyBorder="1" applyAlignment="1">
      <alignment horizontal="center" vertical="center"/>
    </xf>
    <xf numFmtId="43" fontId="44" fillId="2" borderId="11" xfId="1" applyFont="1" applyFill="1" applyBorder="1" applyAlignment="1">
      <alignment horizontal="center" vertical="center"/>
    </xf>
    <xf numFmtId="9" fontId="44" fillId="2" borderId="11" xfId="3" applyFont="1" applyFill="1" applyBorder="1" applyAlignment="1">
      <alignment horizontal="center" vertical="center"/>
    </xf>
    <xf numFmtId="167" fontId="28" fillId="0" borderId="10" xfId="0" applyNumberFormat="1" applyFont="1" applyBorder="1" applyAlignment="1">
      <alignment horizontal="center" vertical="center"/>
    </xf>
    <xf numFmtId="167" fontId="25" fillId="0" borderId="39" xfId="0" applyNumberFormat="1" applyFont="1" applyBorder="1" applyAlignment="1">
      <alignment horizontal="center" vertical="center"/>
    </xf>
    <xf numFmtId="174" fontId="28" fillId="2" borderId="41" xfId="2" applyNumberFormat="1" applyFont="1" applyFill="1" applyBorder="1" applyAlignment="1">
      <alignment horizontal="center" vertical="center"/>
    </xf>
    <xf numFmtId="166" fontId="25" fillId="2" borderId="41" xfId="1" applyNumberFormat="1" applyFont="1" applyFill="1" applyBorder="1" applyAlignment="1" applyProtection="1">
      <alignment horizontal="center" vertical="center"/>
    </xf>
    <xf numFmtId="166" fontId="25" fillId="2" borderId="41" xfId="1" applyNumberFormat="1" applyFont="1" applyFill="1" applyBorder="1" applyAlignment="1" applyProtection="1">
      <alignment horizontal="left" vertical="center"/>
    </xf>
    <xf numFmtId="43" fontId="28" fillId="0" borderId="41" xfId="1" applyFont="1" applyFill="1" applyBorder="1" applyAlignment="1" applyProtection="1">
      <alignment horizontal="center" vertical="center"/>
    </xf>
    <xf numFmtId="3" fontId="25" fillId="2" borderId="41" xfId="1" applyNumberFormat="1" applyFont="1" applyFill="1" applyBorder="1" applyAlignment="1" applyProtection="1">
      <alignment horizontal="center" vertical="center"/>
    </xf>
    <xf numFmtId="166" fontId="25" fillId="2" borderId="41" xfId="1" applyNumberFormat="1" applyFont="1" applyFill="1" applyBorder="1" applyAlignment="1">
      <alignment horizontal="center" vertical="center"/>
    </xf>
    <xf numFmtId="3" fontId="25" fillId="2" borderId="41" xfId="0" applyNumberFormat="1" applyFont="1" applyFill="1" applyBorder="1" applyAlignment="1">
      <alignment horizontal="center" vertical="center"/>
    </xf>
    <xf numFmtId="166" fontId="28" fillId="0" borderId="41" xfId="0" applyNumberFormat="1" applyFont="1" applyBorder="1" applyAlignment="1">
      <alignment horizontal="center" vertical="center"/>
    </xf>
    <xf numFmtId="9" fontId="25" fillId="2" borderId="41" xfId="3" applyFont="1" applyFill="1" applyBorder="1" applyAlignment="1">
      <alignment horizontal="center" vertical="center"/>
    </xf>
    <xf numFmtId="170" fontId="25" fillId="2" borderId="41" xfId="0" applyNumberFormat="1" applyFont="1" applyFill="1" applyBorder="1" applyAlignment="1">
      <alignment horizontal="center" vertical="center"/>
    </xf>
    <xf numFmtId="166" fontId="46" fillId="2" borderId="42" xfId="1" applyNumberFormat="1" applyFont="1" applyFill="1" applyBorder="1" applyAlignment="1" applyProtection="1">
      <alignment horizontal="center" vertical="center"/>
    </xf>
    <xf numFmtId="166" fontId="22" fillId="0" borderId="66" xfId="1" applyNumberFormat="1" applyFont="1" applyFill="1" applyBorder="1" applyAlignment="1">
      <alignment vertical="center"/>
    </xf>
    <xf numFmtId="166" fontId="22" fillId="0" borderId="10" xfId="1" applyNumberFormat="1" applyFont="1" applyFill="1" applyBorder="1" applyAlignment="1">
      <alignment horizontal="left" vertical="center"/>
    </xf>
    <xf numFmtId="166" fontId="22" fillId="0" borderId="67" xfId="1" applyNumberFormat="1" applyFont="1" applyFill="1" applyBorder="1" applyAlignment="1" applyProtection="1">
      <alignment horizontal="left" vertical="center"/>
    </xf>
    <xf numFmtId="166" fontId="39" fillId="0" borderId="0" xfId="0" applyNumberFormat="1" applyFont="1" applyAlignment="1">
      <alignment horizontal="center"/>
    </xf>
    <xf numFmtId="166" fontId="46" fillId="2" borderId="11" xfId="1" applyNumberFormat="1" applyFont="1" applyFill="1" applyBorder="1" applyAlignment="1">
      <alignment horizontal="center" vertical="center"/>
    </xf>
    <xf numFmtId="166" fontId="25" fillId="0" borderId="11" xfId="0" applyNumberFormat="1" applyFont="1" applyBorder="1" applyAlignment="1">
      <alignment horizontal="center" vertical="center"/>
    </xf>
    <xf numFmtId="166" fontId="28" fillId="2" borderId="11" xfId="0" applyNumberFormat="1" applyFont="1" applyFill="1" applyBorder="1" applyAlignment="1">
      <alignment horizontal="center" vertical="center"/>
    </xf>
    <xf numFmtId="43" fontId="49" fillId="0" borderId="0" xfId="1" applyFont="1" applyFill="1" applyBorder="1" applyAlignment="1" applyProtection="1">
      <alignment horizontal="center"/>
    </xf>
    <xf numFmtId="166" fontId="22" fillId="0" borderId="0" xfId="1" applyNumberFormat="1" applyFont="1" applyFill="1" applyBorder="1" applyAlignment="1" applyProtection="1">
      <alignment horizontal="left" vertical="center"/>
    </xf>
    <xf numFmtId="43" fontId="36" fillId="0" borderId="0" xfId="0" applyNumberFormat="1" applyFont="1" applyAlignment="1">
      <alignment horizontal="center"/>
    </xf>
    <xf numFmtId="43" fontId="24" fillId="0" borderId="0" xfId="1" applyFont="1" applyFill="1" applyBorder="1" applyAlignment="1" applyProtection="1">
      <alignment horizontal="left" vertical="center"/>
    </xf>
    <xf numFmtId="41" fontId="24" fillId="0" borderId="0" xfId="2" applyFont="1" applyFill="1" applyBorder="1" applyAlignment="1" applyProtection="1">
      <alignment horizontal="left" vertical="center"/>
    </xf>
    <xf numFmtId="166" fontId="24" fillId="0" borderId="0" xfId="1" applyNumberFormat="1" applyFont="1" applyFill="1" applyBorder="1" applyAlignment="1" applyProtection="1">
      <alignment horizontal="centerContinuous" vertical="center"/>
    </xf>
    <xf numFmtId="4" fontId="24" fillId="0" borderId="0" xfId="0" applyNumberFormat="1" applyFont="1" applyAlignment="1">
      <alignment horizontal="center"/>
    </xf>
    <xf numFmtId="166" fontId="36" fillId="0" borderId="0" xfId="1" applyNumberFormat="1" applyFont="1" applyFill="1" applyBorder="1" applyAlignment="1" applyProtection="1">
      <alignment horizontal="centerContinuous" vertical="center"/>
    </xf>
    <xf numFmtId="0" fontId="36" fillId="0" borderId="0" xfId="0" applyFont="1" applyAlignment="1">
      <alignment horizontal="center"/>
    </xf>
    <xf numFmtId="43" fontId="19" fillId="0" borderId="0" xfId="0" applyNumberFormat="1" applyFont="1" applyAlignment="1">
      <alignment horizontal="center" vertical="center"/>
    </xf>
    <xf numFmtId="43" fontId="46" fillId="2" borderId="11" xfId="1" applyFont="1" applyFill="1" applyBorder="1" applyAlignment="1" applyProtection="1">
      <alignment horizontal="center" vertical="center"/>
    </xf>
    <xf numFmtId="43" fontId="46" fillId="0" borderId="11" xfId="1" applyFont="1" applyFill="1" applyBorder="1" applyAlignment="1" applyProtection="1">
      <alignment horizontal="center" vertical="center"/>
    </xf>
    <xf numFmtId="166" fontId="42" fillId="2" borderId="0" xfId="1" applyNumberFormat="1" applyFont="1" applyFill="1" applyBorder="1" applyAlignment="1" applyProtection="1">
      <alignment horizontal="center"/>
    </xf>
    <xf numFmtId="173" fontId="42" fillId="2" borderId="0" xfId="1" applyNumberFormat="1" applyFont="1" applyFill="1" applyBorder="1" applyAlignment="1" applyProtection="1">
      <alignment horizontal="center"/>
    </xf>
    <xf numFmtId="166" fontId="42" fillId="2" borderId="0" xfId="0" applyNumberFormat="1" applyFont="1" applyFill="1" applyAlignment="1">
      <alignment horizontal="center"/>
    </xf>
    <xf numFmtId="0" fontId="50" fillId="2" borderId="0" xfId="0" applyFont="1" applyFill="1" applyAlignment="1">
      <alignment horizontal="center"/>
    </xf>
    <xf numFmtId="166" fontId="43" fillId="2" borderId="0" xfId="1" applyNumberFormat="1" applyFont="1" applyFill="1" applyBorder="1" applyAlignment="1" applyProtection="1">
      <alignment horizontal="center"/>
    </xf>
    <xf numFmtId="0" fontId="47" fillId="0" borderId="0" xfId="0" applyFont="1" applyAlignment="1">
      <alignment horizontal="center"/>
    </xf>
    <xf numFmtId="166" fontId="46" fillId="2" borderId="41" xfId="1" applyNumberFormat="1" applyFont="1" applyFill="1" applyBorder="1" applyAlignment="1" applyProtection="1">
      <alignment horizontal="center" vertical="center"/>
    </xf>
    <xf numFmtId="166" fontId="46" fillId="2" borderId="12" xfId="1" applyNumberFormat="1" applyFont="1" applyFill="1" applyBorder="1" applyAlignment="1">
      <alignment horizontal="center" vertical="center"/>
    </xf>
    <xf numFmtId="0" fontId="25" fillId="0" borderId="21" xfId="0" applyFont="1" applyBorder="1" applyAlignment="1">
      <alignment vertical="center" wrapText="1"/>
    </xf>
    <xf numFmtId="0" fontId="0" fillId="0" borderId="0" xfId="0" applyAlignment="1">
      <alignment horizontal="right"/>
    </xf>
    <xf numFmtId="10" fontId="0" fillId="0" borderId="0" xfId="0" applyNumberFormat="1"/>
    <xf numFmtId="41" fontId="20" fillId="2" borderId="11" xfId="2" applyFont="1" applyFill="1" applyBorder="1" applyAlignment="1" applyProtection="1">
      <alignment horizontal="center" vertical="center"/>
    </xf>
    <xf numFmtId="0" fontId="20" fillId="2" borderId="0" xfId="0" applyFont="1" applyFill="1" applyAlignment="1">
      <alignment horizontal="center" vertical="center"/>
    </xf>
    <xf numFmtId="4" fontId="20" fillId="2" borderId="0" xfId="0" applyNumberFormat="1" applyFont="1" applyFill="1" applyAlignment="1">
      <alignment horizontal="center" vertical="center"/>
    </xf>
    <xf numFmtId="166" fontId="20" fillId="2" borderId="0" xfId="0" applyNumberFormat="1" applyFont="1" applyFill="1" applyAlignment="1">
      <alignment horizontal="center" vertical="center"/>
    </xf>
    <xf numFmtId="0" fontId="46" fillId="2" borderId="0" xfId="0" applyFont="1" applyFill="1" applyAlignment="1">
      <alignment horizontal="center" vertical="center"/>
    </xf>
    <xf numFmtId="9" fontId="46" fillId="2" borderId="11" xfId="3" applyFont="1" applyFill="1" applyBorder="1" applyAlignment="1">
      <alignment horizontal="center" vertical="center"/>
    </xf>
    <xf numFmtId="9" fontId="46" fillId="0" borderId="11" xfId="3" applyFont="1" applyFill="1" applyBorder="1" applyAlignment="1">
      <alignment horizontal="center" vertical="center"/>
    </xf>
    <xf numFmtId="43" fontId="46" fillId="2" borderId="11" xfId="1" applyFont="1" applyFill="1" applyBorder="1" applyAlignment="1">
      <alignment horizontal="center" vertical="center"/>
    </xf>
    <xf numFmtId="3" fontId="46" fillId="2" borderId="11" xfId="0" applyNumberFormat="1" applyFont="1" applyFill="1" applyBorder="1" applyAlignment="1">
      <alignment horizontal="center" vertical="center"/>
    </xf>
    <xf numFmtId="4" fontId="46" fillId="2" borderId="11" xfId="0" applyNumberFormat="1" applyFont="1" applyFill="1" applyBorder="1" applyAlignment="1">
      <alignment horizontal="center" vertical="center"/>
    </xf>
    <xf numFmtId="41" fontId="46" fillId="2" borderId="11" xfId="2" applyFont="1" applyFill="1" applyBorder="1" applyAlignment="1">
      <alignment horizontal="center" vertical="center"/>
    </xf>
    <xf numFmtId="166" fontId="46" fillId="0" borderId="11" xfId="0" applyNumberFormat="1" applyFont="1" applyBorder="1" applyAlignment="1">
      <alignment horizontal="center" vertical="center"/>
    </xf>
    <xf numFmtId="168" fontId="46" fillId="2" borderId="11" xfId="0" applyNumberFormat="1" applyFont="1" applyFill="1" applyBorder="1" applyAlignment="1">
      <alignment horizontal="center" vertical="center"/>
    </xf>
    <xf numFmtId="3" fontId="51" fillId="2" borderId="11" xfId="0" applyNumberFormat="1" applyFont="1" applyFill="1" applyBorder="1" applyAlignment="1">
      <alignment horizontal="center" vertical="center"/>
    </xf>
    <xf numFmtId="4" fontId="51" fillId="2" borderId="11" xfId="0" applyNumberFormat="1" applyFont="1" applyFill="1" applyBorder="1" applyAlignment="1">
      <alignment horizontal="center" vertical="center"/>
    </xf>
    <xf numFmtId="166" fontId="51" fillId="2" borderId="11" xfId="1" applyNumberFormat="1" applyFont="1" applyFill="1" applyBorder="1" applyAlignment="1">
      <alignment horizontal="center" vertical="center"/>
    </xf>
    <xf numFmtId="41" fontId="51" fillId="2" borderId="11" xfId="2" applyFont="1" applyFill="1" applyBorder="1" applyAlignment="1">
      <alignment horizontal="center" vertical="center"/>
    </xf>
    <xf numFmtId="168" fontId="51" fillId="2" borderId="11" xfId="0" applyNumberFormat="1" applyFont="1" applyFill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166" fontId="53" fillId="0" borderId="78" xfId="1" applyNumberFormat="1" applyFont="1" applyFill="1" applyBorder="1" applyAlignment="1" applyProtection="1">
      <alignment horizontal="center" vertical="center"/>
    </xf>
    <xf numFmtId="41" fontId="53" fillId="0" borderId="11" xfId="2" applyFont="1" applyFill="1" applyBorder="1" applyAlignment="1" applyProtection="1">
      <alignment horizontal="center" vertical="center"/>
    </xf>
    <xf numFmtId="4" fontId="53" fillId="0" borderId="0" xfId="0" applyNumberFormat="1" applyFont="1" applyAlignment="1">
      <alignment horizontal="center" vertical="center"/>
    </xf>
    <xf numFmtId="0" fontId="53" fillId="2" borderId="0" xfId="0" applyFont="1" applyFill="1" applyAlignment="1">
      <alignment horizontal="center" vertical="center"/>
    </xf>
    <xf numFmtId="41" fontId="53" fillId="2" borderId="15" xfId="1" applyNumberFormat="1" applyFont="1" applyFill="1" applyBorder="1" applyAlignment="1">
      <alignment horizontal="center" vertical="center"/>
    </xf>
    <xf numFmtId="9" fontId="53" fillId="0" borderId="15" xfId="3" applyFont="1" applyFill="1" applyBorder="1" applyAlignment="1">
      <alignment horizontal="center" vertical="center"/>
    </xf>
    <xf numFmtId="43" fontId="53" fillId="2" borderId="15" xfId="1" applyFont="1" applyFill="1" applyBorder="1" applyAlignment="1" applyProtection="1">
      <alignment horizontal="center" vertical="center"/>
    </xf>
    <xf numFmtId="166" fontId="53" fillId="2" borderId="15" xfId="1" applyNumberFormat="1" applyFont="1" applyFill="1" applyBorder="1" applyAlignment="1">
      <alignment horizontal="center" vertical="center"/>
    </xf>
    <xf numFmtId="166" fontId="53" fillId="2" borderId="15" xfId="2" applyNumberFormat="1" applyFont="1" applyFill="1" applyBorder="1" applyAlignment="1">
      <alignment horizontal="center" vertical="center"/>
    </xf>
    <xf numFmtId="168" fontId="53" fillId="2" borderId="15" xfId="0" applyNumberFormat="1" applyFont="1" applyFill="1" applyBorder="1" applyAlignment="1">
      <alignment horizontal="center" vertical="center"/>
    </xf>
    <xf numFmtId="166" fontId="53" fillId="2" borderId="55" xfId="1" applyNumberFormat="1" applyFont="1" applyFill="1" applyBorder="1" applyAlignment="1" applyProtection="1">
      <alignment horizontal="center" vertical="center"/>
    </xf>
    <xf numFmtId="41" fontId="53" fillId="2" borderId="11" xfId="2" applyFont="1" applyFill="1" applyBorder="1" applyAlignment="1" applyProtection="1">
      <alignment horizontal="center" vertical="center"/>
    </xf>
    <xf numFmtId="4" fontId="53" fillId="2" borderId="0" xfId="0" applyNumberFormat="1" applyFont="1" applyFill="1" applyAlignment="1">
      <alignment horizontal="center" vertical="center"/>
    </xf>
    <xf numFmtId="166" fontId="53" fillId="2" borderId="0" xfId="0" applyNumberFormat="1" applyFont="1" applyFill="1" applyAlignment="1">
      <alignment horizontal="center" vertical="center"/>
    </xf>
    <xf numFmtId="9" fontId="53" fillId="0" borderId="0" xfId="3" applyFont="1" applyFill="1" applyBorder="1" applyAlignment="1">
      <alignment horizontal="center" vertical="center"/>
    </xf>
    <xf numFmtId="43" fontId="53" fillId="2" borderId="11" xfId="1" applyFont="1" applyFill="1" applyBorder="1" applyAlignment="1">
      <alignment horizontal="center" vertical="center"/>
    </xf>
    <xf numFmtId="167" fontId="53" fillId="0" borderId="82" xfId="0" applyNumberFormat="1" applyFont="1" applyBorder="1" applyAlignment="1">
      <alignment horizontal="center" vertical="center"/>
    </xf>
    <xf numFmtId="166" fontId="53" fillId="2" borderId="38" xfId="1" applyNumberFormat="1" applyFont="1" applyFill="1" applyBorder="1" applyAlignment="1" applyProtection="1">
      <alignment horizontal="center" vertical="center"/>
    </xf>
    <xf numFmtId="173" fontId="53" fillId="2" borderId="38" xfId="1" applyNumberFormat="1" applyFont="1" applyFill="1" applyBorder="1" applyAlignment="1" applyProtection="1">
      <alignment horizontal="center" vertical="center"/>
    </xf>
    <xf numFmtId="166" fontId="53" fillId="2" borderId="38" xfId="1" applyNumberFormat="1" applyFont="1" applyFill="1" applyBorder="1" applyAlignment="1" applyProtection="1">
      <alignment horizontal="left" vertical="center"/>
    </xf>
    <xf numFmtId="9" fontId="53" fillId="0" borderId="34" xfId="3" applyFont="1" applyFill="1" applyBorder="1" applyAlignment="1" applyProtection="1">
      <alignment horizontal="center" vertical="center"/>
    </xf>
    <xf numFmtId="3" fontId="53" fillId="2" borderId="34" xfId="3" applyNumberFormat="1" applyFont="1" applyFill="1" applyBorder="1" applyAlignment="1" applyProtection="1">
      <alignment horizontal="center" vertical="center"/>
    </xf>
    <xf numFmtId="165" fontId="53" fillId="0" borderId="34" xfId="0" applyNumberFormat="1" applyFont="1" applyBorder="1" applyAlignment="1">
      <alignment horizontal="center" vertical="center"/>
    </xf>
    <xf numFmtId="41" fontId="53" fillId="2" borderId="38" xfId="1" applyNumberFormat="1" applyFont="1" applyFill="1" applyBorder="1" applyAlignment="1" applyProtection="1">
      <alignment horizontal="center" vertical="center"/>
    </xf>
    <xf numFmtId="4" fontId="53" fillId="2" borderId="39" xfId="0" applyNumberFormat="1" applyFont="1" applyFill="1" applyBorder="1" applyAlignment="1">
      <alignment horizontal="center" vertical="center"/>
    </xf>
    <xf numFmtId="9" fontId="53" fillId="2" borderId="43" xfId="3" applyFont="1" applyFill="1" applyBorder="1" applyAlignment="1">
      <alignment horizontal="center" vertical="center"/>
    </xf>
    <xf numFmtId="4" fontId="53" fillId="2" borderId="44" xfId="0" applyNumberFormat="1" applyFont="1" applyFill="1" applyBorder="1" applyAlignment="1">
      <alignment horizontal="center" vertical="center"/>
    </xf>
    <xf numFmtId="170" fontId="53" fillId="2" borderId="34" xfId="0" applyNumberFormat="1" applyFont="1" applyFill="1" applyBorder="1" applyAlignment="1">
      <alignment horizontal="center" vertical="center"/>
    </xf>
    <xf numFmtId="166" fontId="53" fillId="2" borderId="34" xfId="1" applyNumberFormat="1" applyFont="1" applyFill="1" applyBorder="1" applyAlignment="1" applyProtection="1">
      <alignment horizontal="center" vertical="center"/>
    </xf>
    <xf numFmtId="4" fontId="53" fillId="2" borderId="11" xfId="0" applyNumberFormat="1" applyFont="1" applyFill="1" applyBorder="1" applyAlignment="1">
      <alignment horizontal="center" vertical="center"/>
    </xf>
    <xf numFmtId="43" fontId="53" fillId="2" borderId="0" xfId="1" applyFont="1" applyFill="1" applyBorder="1" applyAlignment="1" applyProtection="1">
      <alignment horizontal="left" vertical="center"/>
    </xf>
    <xf numFmtId="9" fontId="53" fillId="0" borderId="11" xfId="0" applyNumberFormat="1" applyFont="1" applyBorder="1" applyAlignment="1">
      <alignment horizontal="center"/>
    </xf>
    <xf numFmtId="46" fontId="53" fillId="0" borderId="11" xfId="0" applyNumberFormat="1" applyFont="1" applyBorder="1" applyAlignment="1">
      <alignment horizontal="center" vertical="center"/>
    </xf>
    <xf numFmtId="43" fontId="53" fillId="2" borderId="11" xfId="1" applyFont="1" applyFill="1" applyBorder="1" applyAlignment="1" applyProtection="1">
      <alignment horizontal="center" vertical="center"/>
    </xf>
    <xf numFmtId="3" fontId="0" fillId="0" borderId="0" xfId="0" applyNumberFormat="1"/>
    <xf numFmtId="9" fontId="53" fillId="0" borderId="85" xfId="3" applyFont="1" applyFill="1" applyBorder="1" applyAlignment="1">
      <alignment horizontal="center" vertical="center"/>
    </xf>
    <xf numFmtId="43" fontId="53" fillId="2" borderId="85" xfId="1" applyFont="1" applyFill="1" applyBorder="1" applyAlignment="1" applyProtection="1">
      <alignment horizontal="center" vertical="center"/>
    </xf>
    <xf numFmtId="43" fontId="53" fillId="2" borderId="85" xfId="1" applyFont="1" applyFill="1" applyBorder="1" applyAlignment="1">
      <alignment horizontal="center" vertical="center"/>
    </xf>
    <xf numFmtId="43" fontId="53" fillId="0" borderId="11" xfId="0" applyNumberFormat="1" applyFont="1" applyBorder="1" applyAlignment="1">
      <alignment horizontal="center"/>
    </xf>
    <xf numFmtId="167" fontId="53" fillId="0" borderId="15" xfId="0" applyNumberFormat="1" applyFont="1" applyBorder="1" applyAlignment="1">
      <alignment horizontal="center" vertical="center"/>
    </xf>
    <xf numFmtId="166" fontId="53" fillId="2" borderId="15" xfId="9" applyNumberFormat="1" applyFont="1" applyFill="1" applyBorder="1" applyAlignment="1">
      <alignment horizontal="center" vertical="center"/>
    </xf>
    <xf numFmtId="174" fontId="53" fillId="0" borderId="15" xfId="1" applyNumberFormat="1" applyFont="1" applyFill="1" applyBorder="1" applyAlignment="1">
      <alignment horizontal="center" vertical="center"/>
    </xf>
    <xf numFmtId="166" fontId="53" fillId="2" borderId="11" xfId="1" applyNumberFormat="1" applyFont="1" applyFill="1" applyBorder="1" applyAlignment="1">
      <alignment horizontal="center" vertical="center"/>
    </xf>
    <xf numFmtId="4" fontId="53" fillId="2" borderId="41" xfId="0" applyNumberFormat="1" applyFont="1" applyFill="1" applyBorder="1" applyAlignment="1">
      <alignment horizontal="center" vertical="center"/>
    </xf>
    <xf numFmtId="43" fontId="53" fillId="2" borderId="41" xfId="1" applyFont="1" applyFill="1" applyBorder="1" applyAlignment="1">
      <alignment horizontal="center" vertical="center"/>
    </xf>
    <xf numFmtId="167" fontId="53" fillId="0" borderId="63" xfId="0" applyNumberFormat="1" applyFont="1" applyBorder="1" applyAlignment="1">
      <alignment horizontal="center" vertical="center"/>
    </xf>
    <xf numFmtId="41" fontId="53" fillId="2" borderId="63" xfId="1" applyNumberFormat="1" applyFont="1" applyFill="1" applyBorder="1" applyAlignment="1">
      <alignment horizontal="center" vertical="center"/>
    </xf>
    <xf numFmtId="173" fontId="53" fillId="0" borderId="63" xfId="1" applyNumberFormat="1" applyFont="1" applyFill="1" applyBorder="1" applyAlignment="1">
      <alignment horizontal="center" vertical="center"/>
    </xf>
    <xf numFmtId="41" fontId="53" fillId="0" borderId="63" xfId="1" applyNumberFormat="1" applyFont="1" applyFill="1" applyBorder="1" applyAlignment="1">
      <alignment horizontal="left" vertical="center"/>
    </xf>
    <xf numFmtId="173" fontId="53" fillId="0" borderId="63" xfId="1" applyNumberFormat="1" applyFont="1" applyFill="1" applyBorder="1" applyAlignment="1">
      <alignment horizontal="left" vertical="center"/>
    </xf>
    <xf numFmtId="9" fontId="53" fillId="0" borderId="63" xfId="3" applyFont="1" applyFill="1" applyBorder="1" applyAlignment="1">
      <alignment horizontal="center" vertical="center"/>
    </xf>
    <xf numFmtId="43" fontId="53" fillId="0" borderId="63" xfId="1" applyFont="1" applyFill="1" applyBorder="1" applyAlignment="1" applyProtection="1">
      <alignment horizontal="center" vertical="center"/>
    </xf>
    <xf numFmtId="4" fontId="53" fillId="0" borderId="63" xfId="0" applyNumberFormat="1" applyFont="1" applyBorder="1" applyAlignment="1">
      <alignment horizontal="center" vertical="center"/>
    </xf>
    <xf numFmtId="4" fontId="53" fillId="0" borderId="63" xfId="2" applyNumberFormat="1" applyFont="1" applyFill="1" applyBorder="1" applyAlignment="1">
      <alignment horizontal="center" vertical="center"/>
    </xf>
    <xf numFmtId="166" fontId="53" fillId="0" borderId="63" xfId="2" applyNumberFormat="1" applyFont="1" applyFill="1" applyBorder="1" applyAlignment="1">
      <alignment horizontal="center" vertical="center"/>
    </xf>
    <xf numFmtId="43" fontId="53" fillId="0" borderId="63" xfId="1" applyFont="1" applyFill="1" applyBorder="1" applyAlignment="1">
      <alignment horizontal="center" vertical="center"/>
    </xf>
    <xf numFmtId="168" fontId="53" fillId="2" borderId="63" xfId="0" applyNumberFormat="1" applyFont="1" applyFill="1" applyBorder="1" applyAlignment="1">
      <alignment horizontal="center" vertical="center"/>
    </xf>
    <xf numFmtId="0" fontId="55" fillId="0" borderId="0" xfId="0" applyFont="1" applyAlignment="1">
      <alignment horizontal="left" vertical="center"/>
    </xf>
    <xf numFmtId="0" fontId="53" fillId="0" borderId="0" xfId="0" applyFont="1" applyAlignment="1">
      <alignment horizontal="left" vertical="center"/>
    </xf>
    <xf numFmtId="0" fontId="56" fillId="0" borderId="0" xfId="0" applyFont="1" applyAlignment="1">
      <alignment horizontal="center" vertical="center" wrapText="1"/>
    </xf>
    <xf numFmtId="43" fontId="53" fillId="2" borderId="0" xfId="1" applyFont="1" applyFill="1" applyBorder="1" applyAlignment="1" applyProtection="1">
      <alignment horizontal="center" vertical="center"/>
    </xf>
    <xf numFmtId="167" fontId="53" fillId="0" borderId="85" xfId="0" applyNumberFormat="1" applyFont="1" applyBorder="1" applyAlignment="1">
      <alignment horizontal="center" vertical="center"/>
    </xf>
    <xf numFmtId="166" fontId="53" fillId="2" borderId="85" xfId="1" applyNumberFormat="1" applyFont="1" applyFill="1" applyBorder="1" applyAlignment="1" applyProtection="1">
      <alignment horizontal="center" vertical="center"/>
    </xf>
    <xf numFmtId="174" fontId="53" fillId="2" borderId="85" xfId="2" applyNumberFormat="1" applyFont="1" applyFill="1" applyBorder="1" applyAlignment="1" applyProtection="1">
      <alignment horizontal="center" vertical="center"/>
    </xf>
    <xf numFmtId="166" fontId="53" fillId="2" borderId="85" xfId="1" applyNumberFormat="1" applyFont="1" applyFill="1" applyBorder="1" applyAlignment="1" applyProtection="1">
      <alignment horizontal="left" vertical="center"/>
    </xf>
    <xf numFmtId="9" fontId="53" fillId="2" borderId="85" xfId="3" applyFont="1" applyFill="1" applyBorder="1" applyAlignment="1" applyProtection="1">
      <alignment horizontal="center" vertical="center"/>
    </xf>
    <xf numFmtId="4" fontId="53" fillId="2" borderId="85" xfId="3" applyNumberFormat="1" applyFont="1" applyFill="1" applyBorder="1" applyAlignment="1" applyProtection="1">
      <alignment horizontal="center" vertical="center"/>
    </xf>
    <xf numFmtId="4" fontId="53" fillId="2" borderId="85" xfId="0" applyNumberFormat="1" applyFont="1" applyFill="1" applyBorder="1" applyAlignment="1">
      <alignment horizontal="center" vertical="center"/>
    </xf>
    <xf numFmtId="9" fontId="53" fillId="2" borderId="85" xfId="3" applyFont="1" applyFill="1" applyBorder="1" applyAlignment="1">
      <alignment horizontal="center" vertical="center"/>
    </xf>
    <xf numFmtId="170" fontId="53" fillId="2" borderId="85" xfId="0" applyNumberFormat="1" applyFont="1" applyFill="1" applyBorder="1" applyAlignment="1">
      <alignment horizontal="center" vertical="center"/>
    </xf>
    <xf numFmtId="166" fontId="53" fillId="2" borderId="43" xfId="1" applyNumberFormat="1" applyFont="1" applyFill="1" applyBorder="1" applyAlignment="1" applyProtection="1">
      <alignment horizontal="center" vertical="center"/>
    </xf>
    <xf numFmtId="166" fontId="53" fillId="0" borderId="11" xfId="1" applyNumberFormat="1" applyFont="1" applyFill="1" applyBorder="1" applyAlignment="1">
      <alignment horizontal="center" vertical="center"/>
    </xf>
    <xf numFmtId="43" fontId="53" fillId="0" borderId="0" xfId="1" applyFont="1" applyFill="1" applyBorder="1" applyAlignment="1">
      <alignment horizontal="center" vertical="center"/>
    </xf>
    <xf numFmtId="43" fontId="53" fillId="2" borderId="0" xfId="1" applyFont="1" applyFill="1" applyBorder="1" applyAlignment="1">
      <alignment horizontal="left" vertical="center"/>
    </xf>
    <xf numFmtId="9" fontId="53" fillId="0" borderId="11" xfId="3" applyFont="1" applyFill="1" applyBorder="1" applyAlignment="1" applyProtection="1">
      <alignment horizontal="center" vertical="center"/>
    </xf>
    <xf numFmtId="166" fontId="53" fillId="0" borderId="0" xfId="0" applyNumberFormat="1" applyFont="1" applyAlignment="1">
      <alignment vertical="center"/>
    </xf>
    <xf numFmtId="43" fontId="53" fillId="2" borderId="11" xfId="0" applyNumberFormat="1" applyFont="1" applyFill="1" applyBorder="1" applyAlignment="1">
      <alignment horizontal="center" vertical="center"/>
    </xf>
    <xf numFmtId="173" fontId="53" fillId="0" borderId="11" xfId="1" applyNumberFormat="1" applyFont="1" applyFill="1" applyBorder="1" applyAlignment="1" applyProtection="1">
      <alignment horizontal="center" vertical="center"/>
    </xf>
    <xf numFmtId="0" fontId="55" fillId="0" borderId="0" xfId="0" applyFont="1" applyAlignment="1">
      <alignment horizontal="center" vertical="center"/>
    </xf>
    <xf numFmtId="43" fontId="55" fillId="0" borderId="0" xfId="1" applyFont="1" applyFill="1" applyBorder="1" applyAlignment="1" applyProtection="1">
      <alignment horizontal="center" vertical="center"/>
    </xf>
    <xf numFmtId="166" fontId="55" fillId="2" borderId="0" xfId="1" applyNumberFormat="1" applyFont="1" applyFill="1" applyBorder="1" applyAlignment="1" applyProtection="1">
      <alignment horizontal="center" vertical="center"/>
    </xf>
    <xf numFmtId="166" fontId="55" fillId="0" borderId="0" xfId="1" applyNumberFormat="1" applyFont="1" applyFill="1" applyBorder="1" applyAlignment="1" applyProtection="1">
      <alignment horizontal="center" vertical="center"/>
    </xf>
    <xf numFmtId="43" fontId="55" fillId="2" borderId="0" xfId="1" applyFont="1" applyFill="1" applyBorder="1" applyAlignment="1" applyProtection="1">
      <alignment horizontal="center" vertical="center"/>
    </xf>
    <xf numFmtId="41" fontId="55" fillId="0" borderId="0" xfId="2" applyFont="1" applyFill="1" applyBorder="1" applyAlignment="1" applyProtection="1">
      <alignment horizontal="center" vertical="center"/>
    </xf>
    <xf numFmtId="166" fontId="55" fillId="2" borderId="0" xfId="0" applyNumberFormat="1" applyFont="1" applyFill="1" applyAlignment="1">
      <alignment horizontal="center" vertical="center"/>
    </xf>
    <xf numFmtId="0" fontId="56" fillId="0" borderId="0" xfId="0" applyFont="1" applyAlignment="1">
      <alignment horizontal="center" vertical="center"/>
    </xf>
    <xf numFmtId="43" fontId="56" fillId="0" borderId="0" xfId="1" applyFont="1" applyFill="1" applyBorder="1" applyAlignment="1" applyProtection="1">
      <alignment horizontal="center" vertical="center"/>
    </xf>
    <xf numFmtId="9" fontId="53" fillId="0" borderId="0" xfId="0" applyNumberFormat="1" applyFont="1" applyAlignment="1">
      <alignment horizontal="center" vertical="center"/>
    </xf>
    <xf numFmtId="166" fontId="56" fillId="2" borderId="0" xfId="1" applyNumberFormat="1" applyFont="1" applyFill="1" applyBorder="1" applyAlignment="1" applyProtection="1">
      <alignment horizontal="center" vertical="center"/>
    </xf>
    <xf numFmtId="166" fontId="56" fillId="0" borderId="0" xfId="1" applyNumberFormat="1" applyFont="1" applyFill="1" applyBorder="1" applyAlignment="1" applyProtection="1">
      <alignment horizontal="center" vertical="center"/>
    </xf>
    <xf numFmtId="43" fontId="56" fillId="0" borderId="0" xfId="0" applyNumberFormat="1" applyFont="1" applyAlignment="1">
      <alignment horizontal="center" vertical="center"/>
    </xf>
    <xf numFmtId="41" fontId="56" fillId="0" borderId="0" xfId="2" applyFont="1" applyFill="1" applyBorder="1" applyAlignment="1" applyProtection="1">
      <alignment horizontal="center" vertical="center"/>
    </xf>
    <xf numFmtId="0" fontId="56" fillId="2" borderId="0" xfId="0" applyFont="1" applyFill="1" applyAlignment="1">
      <alignment horizontal="center" vertical="center"/>
    </xf>
    <xf numFmtId="43" fontId="56" fillId="2" borderId="0" xfId="1" applyFont="1" applyFill="1" applyBorder="1" applyAlignment="1" applyProtection="1">
      <alignment horizontal="center" vertical="center"/>
    </xf>
    <xf numFmtId="3" fontId="53" fillId="0" borderId="15" xfId="0" applyNumberFormat="1" applyFont="1" applyBorder="1" applyAlignment="1">
      <alignment horizontal="center" vertical="center"/>
    </xf>
    <xf numFmtId="165" fontId="53" fillId="2" borderId="0" xfId="0" applyNumberFormat="1" applyFont="1" applyFill="1" applyAlignment="1">
      <alignment horizontal="center" vertical="center"/>
    </xf>
    <xf numFmtId="0" fontId="53" fillId="2" borderId="0" xfId="0" applyFont="1" applyFill="1" applyAlignment="1">
      <alignment horizontal="left" vertical="center"/>
    </xf>
    <xf numFmtId="43" fontId="53" fillId="0" borderId="0" xfId="0" applyNumberFormat="1" applyFont="1" applyAlignment="1">
      <alignment horizontal="center" vertical="center"/>
    </xf>
    <xf numFmtId="179" fontId="53" fillId="0" borderId="11" xfId="0" applyNumberFormat="1" applyFont="1" applyBorder="1" applyAlignment="1">
      <alignment horizontal="center" vertical="center"/>
    </xf>
    <xf numFmtId="9" fontId="53" fillId="0" borderId="11" xfId="0" applyNumberFormat="1" applyFont="1" applyBorder="1" applyAlignment="1">
      <alignment horizontal="center" vertical="center"/>
    </xf>
    <xf numFmtId="0" fontId="53" fillId="2" borderId="11" xfId="0" applyFont="1" applyFill="1" applyBorder="1" applyAlignment="1">
      <alignment horizontal="center" vertical="center"/>
    </xf>
    <xf numFmtId="3" fontId="53" fillId="0" borderId="0" xfId="0" applyNumberFormat="1" applyFont="1" applyAlignment="1">
      <alignment vertical="center"/>
    </xf>
    <xf numFmtId="0" fontId="53" fillId="0" borderId="0" xfId="0" applyFont="1" applyAlignment="1">
      <alignment vertical="center"/>
    </xf>
    <xf numFmtId="166" fontId="53" fillId="0" borderId="0" xfId="1" applyNumberFormat="1" applyFont="1" applyFill="1" applyBorder="1" applyAlignment="1" applyProtection="1">
      <alignment vertical="center"/>
    </xf>
    <xf numFmtId="176" fontId="53" fillId="2" borderId="0" xfId="0" applyNumberFormat="1" applyFont="1" applyFill="1" applyAlignment="1">
      <alignment horizontal="center" vertical="center"/>
    </xf>
    <xf numFmtId="3" fontId="53" fillId="0" borderId="0" xfId="0" applyNumberFormat="1" applyFont="1" applyAlignment="1">
      <alignment horizontal="center" vertical="center"/>
    </xf>
    <xf numFmtId="166" fontId="53" fillId="0" borderId="0" xfId="1" applyNumberFormat="1" applyFont="1" applyFill="1" applyBorder="1" applyAlignment="1" applyProtection="1">
      <alignment horizontal="left" vertical="center"/>
    </xf>
    <xf numFmtId="166" fontId="57" fillId="0" borderId="0" xfId="1" applyNumberFormat="1" applyFont="1" applyFill="1" applyBorder="1" applyAlignment="1" applyProtection="1">
      <alignment vertical="center"/>
    </xf>
    <xf numFmtId="0" fontId="58" fillId="0" borderId="0" xfId="0" applyFont="1" applyAlignment="1">
      <alignment vertical="center"/>
    </xf>
    <xf numFmtId="0" fontId="58" fillId="0" borderId="0" xfId="7" applyFont="1" applyAlignment="1">
      <alignment vertical="center"/>
    </xf>
    <xf numFmtId="9" fontId="53" fillId="2" borderId="0" xfId="3" applyFont="1" applyFill="1" applyBorder="1" applyAlignment="1" applyProtection="1">
      <alignment horizontal="center" vertical="center"/>
    </xf>
    <xf numFmtId="0" fontId="52" fillId="2" borderId="63" xfId="7" applyFont="1" applyFill="1" applyBorder="1" applyAlignment="1">
      <alignment vertical="center"/>
    </xf>
    <xf numFmtId="0" fontId="55" fillId="2" borderId="0" xfId="0" applyFont="1" applyFill="1" applyAlignment="1">
      <alignment horizontal="center" vertical="center"/>
    </xf>
    <xf numFmtId="0" fontId="52" fillId="2" borderId="11" xfId="7" applyFont="1" applyFill="1" applyBorder="1" applyAlignment="1">
      <alignment vertical="center"/>
    </xf>
    <xf numFmtId="0" fontId="52" fillId="4" borderId="11" xfId="7" applyFont="1" applyFill="1" applyBorder="1" applyAlignment="1">
      <alignment vertical="center"/>
    </xf>
    <xf numFmtId="0" fontId="52" fillId="0" borderId="0" xfId="0" applyFont="1" applyAlignment="1">
      <alignment vertical="center"/>
    </xf>
    <xf numFmtId="0" fontId="52" fillId="2" borderId="0" xfId="0" applyFont="1" applyFill="1" applyAlignment="1">
      <alignment vertical="center"/>
    </xf>
    <xf numFmtId="175" fontId="52" fillId="2" borderId="11" xfId="7" applyNumberFormat="1" applyFont="1" applyFill="1" applyBorder="1" applyAlignment="1">
      <alignment vertical="center"/>
    </xf>
    <xf numFmtId="0" fontId="52" fillId="2" borderId="11" xfId="0" applyFont="1" applyFill="1" applyBorder="1" applyAlignment="1">
      <alignment vertical="center"/>
    </xf>
    <xf numFmtId="166" fontId="56" fillId="5" borderId="11" xfId="1" applyNumberFormat="1" applyFont="1" applyFill="1" applyBorder="1" applyAlignment="1">
      <alignment horizontal="center" vertical="center" wrapText="1"/>
    </xf>
    <xf numFmtId="0" fontId="56" fillId="6" borderId="11" xfId="0" applyFont="1" applyFill="1" applyBorder="1" applyAlignment="1">
      <alignment horizontal="center" vertical="center" wrapText="1"/>
    </xf>
    <xf numFmtId="166" fontId="53" fillId="0" borderId="25" xfId="1" applyNumberFormat="1" applyFont="1" applyFill="1" applyBorder="1" applyAlignment="1">
      <alignment horizontal="centerContinuous" vertical="center"/>
    </xf>
    <xf numFmtId="166" fontId="53" fillId="0" borderId="20" xfId="1" applyNumberFormat="1" applyFont="1" applyFill="1" applyBorder="1" applyAlignment="1">
      <alignment horizontal="centerContinuous" vertical="center"/>
    </xf>
    <xf numFmtId="166" fontId="53" fillId="0" borderId="25" xfId="1" applyNumberFormat="1" applyFont="1" applyFill="1" applyBorder="1" applyAlignment="1" applyProtection="1">
      <alignment horizontal="centerContinuous" vertical="center"/>
    </xf>
    <xf numFmtId="166" fontId="53" fillId="0" borderId="20" xfId="1" applyNumberFormat="1" applyFont="1" applyFill="1" applyBorder="1" applyAlignment="1" applyProtection="1">
      <alignment horizontal="centerContinuous" vertical="center"/>
    </xf>
    <xf numFmtId="166" fontId="53" fillId="0" borderId="20" xfId="0" applyNumberFormat="1" applyFont="1" applyBorder="1" applyAlignment="1">
      <alignment horizontal="center" vertical="center"/>
    </xf>
    <xf numFmtId="3" fontId="53" fillId="0" borderId="63" xfId="0" applyNumberFormat="1" applyFont="1" applyBorder="1" applyAlignment="1">
      <alignment horizontal="center"/>
    </xf>
    <xf numFmtId="166" fontId="53" fillId="2" borderId="40" xfId="1" applyNumberFormat="1" applyFont="1" applyFill="1" applyBorder="1" applyAlignment="1" applyProtection="1">
      <alignment horizontal="center" vertical="center"/>
    </xf>
    <xf numFmtId="43" fontId="53" fillId="0" borderId="87" xfId="1" applyFont="1" applyFill="1" applyBorder="1" applyAlignment="1" applyProtection="1">
      <alignment horizontal="center" vertical="center"/>
    </xf>
    <xf numFmtId="43" fontId="53" fillId="0" borderId="38" xfId="1" applyFont="1" applyFill="1" applyBorder="1" applyAlignment="1" applyProtection="1">
      <alignment horizontal="center" vertical="center"/>
    </xf>
    <xf numFmtId="9" fontId="53" fillId="0" borderId="41" xfId="3" applyFont="1" applyFill="1" applyBorder="1" applyAlignment="1" applyProtection="1">
      <alignment horizontal="center" vertical="center"/>
    </xf>
    <xf numFmtId="4" fontId="53" fillId="0" borderId="82" xfId="0" applyNumberFormat="1" applyFont="1" applyBorder="1" applyAlignment="1">
      <alignment horizontal="center" vertical="center"/>
    </xf>
    <xf numFmtId="46" fontId="53" fillId="0" borderId="24" xfId="0" applyNumberFormat="1" applyFont="1" applyBorder="1" applyAlignment="1">
      <alignment horizontal="center" vertical="center"/>
    </xf>
    <xf numFmtId="46" fontId="53" fillId="0" borderId="12" xfId="0" applyNumberFormat="1" applyFont="1" applyBorder="1" applyAlignment="1">
      <alignment horizontal="center" vertical="center"/>
    </xf>
    <xf numFmtId="0" fontId="53" fillId="0" borderId="12" xfId="0" applyFont="1" applyBorder="1" applyAlignment="1">
      <alignment horizontal="center"/>
    </xf>
    <xf numFmtId="0" fontId="53" fillId="0" borderId="35" xfId="0" applyFont="1" applyBorder="1" applyAlignment="1">
      <alignment horizontal="center"/>
    </xf>
    <xf numFmtId="0" fontId="53" fillId="0" borderId="29" xfId="0" applyFont="1" applyBorder="1" applyAlignment="1">
      <alignment horizontal="center"/>
    </xf>
    <xf numFmtId="166" fontId="53" fillId="2" borderId="0" xfId="1" applyNumberFormat="1" applyFont="1" applyFill="1" applyBorder="1" applyAlignment="1" applyProtection="1">
      <alignment horizontal="center"/>
    </xf>
    <xf numFmtId="166" fontId="53" fillId="5" borderId="26" xfId="1" applyNumberFormat="1" applyFont="1" applyFill="1" applyBorder="1" applyAlignment="1">
      <alignment horizontal="center" vertical="center" wrapText="1"/>
    </xf>
    <xf numFmtId="166" fontId="53" fillId="2" borderId="63" xfId="1" applyNumberFormat="1" applyFont="1" applyFill="1" applyBorder="1" applyAlignment="1">
      <alignment horizontal="center" vertical="center"/>
    </xf>
    <xf numFmtId="166" fontId="53" fillId="2" borderId="49" xfId="1" applyNumberFormat="1" applyFont="1" applyFill="1" applyBorder="1" applyAlignment="1">
      <alignment horizontal="center" vertical="center"/>
    </xf>
    <xf numFmtId="166" fontId="53" fillId="2" borderId="28" xfId="1" applyNumberFormat="1" applyFont="1" applyFill="1" applyBorder="1" applyAlignment="1" applyProtection="1">
      <alignment horizontal="centerContinuous" vertical="center"/>
    </xf>
    <xf numFmtId="43" fontId="53" fillId="2" borderId="0" xfId="1" applyFont="1" applyFill="1" applyBorder="1" applyAlignment="1" applyProtection="1">
      <alignment horizontal="center"/>
    </xf>
    <xf numFmtId="0" fontId="53" fillId="0" borderId="0" xfId="0" applyFont="1"/>
    <xf numFmtId="43" fontId="57" fillId="2" borderId="0" xfId="1" applyFont="1" applyFill="1" applyBorder="1" applyAlignment="1" applyProtection="1">
      <alignment horizontal="center"/>
    </xf>
    <xf numFmtId="0" fontId="53" fillId="0" borderId="11" xfId="0" applyFont="1" applyBorder="1" applyAlignment="1">
      <alignment horizontal="center" vertical="center"/>
    </xf>
    <xf numFmtId="0" fontId="53" fillId="0" borderId="0" xfId="0" applyFont="1" applyAlignment="1">
      <alignment horizontal="center"/>
    </xf>
    <xf numFmtId="173" fontId="53" fillId="0" borderId="0" xfId="1" applyNumberFormat="1" applyFont="1" applyFill="1" applyBorder="1" applyAlignment="1" applyProtection="1">
      <alignment horizontal="center"/>
    </xf>
    <xf numFmtId="41" fontId="53" fillId="0" borderId="0" xfId="2" applyFont="1" applyFill="1" applyBorder="1" applyAlignment="1" applyProtection="1">
      <alignment horizontal="center"/>
    </xf>
    <xf numFmtId="9" fontId="53" fillId="0" borderId="0" xfId="0" applyNumberFormat="1" applyFont="1" applyAlignment="1">
      <alignment horizontal="center"/>
    </xf>
    <xf numFmtId="43" fontId="53" fillId="0" borderId="0" xfId="0" applyNumberFormat="1" applyFont="1" applyAlignment="1">
      <alignment horizontal="center"/>
    </xf>
    <xf numFmtId="0" fontId="53" fillId="0" borderId="0" xfId="0" applyFont="1" applyAlignment="1">
      <alignment horizontal="left"/>
    </xf>
    <xf numFmtId="0" fontId="53" fillId="0" borderId="0" xfId="0" applyFont="1" applyAlignment="1">
      <alignment horizontal="center" vertical="center" wrapText="1"/>
    </xf>
    <xf numFmtId="0" fontId="53" fillId="0" borderId="0" xfId="0" applyFont="1" applyAlignment="1">
      <alignment horizontal="center" wrapText="1"/>
    </xf>
    <xf numFmtId="43" fontId="53" fillId="5" borderId="26" xfId="1" applyFont="1" applyFill="1" applyBorder="1" applyAlignment="1">
      <alignment horizontal="center" vertical="center" wrapText="1"/>
    </xf>
    <xf numFmtId="166" fontId="53" fillId="7" borderId="26" xfId="1" applyNumberFormat="1" applyFont="1" applyFill="1" applyBorder="1" applyAlignment="1">
      <alignment horizontal="center" vertical="center" wrapText="1"/>
    </xf>
    <xf numFmtId="166" fontId="53" fillId="7" borderId="46" xfId="1" applyNumberFormat="1" applyFont="1" applyFill="1" applyBorder="1" applyAlignment="1">
      <alignment horizontal="center" vertical="center" wrapText="1"/>
    </xf>
    <xf numFmtId="0" fontId="53" fillId="7" borderId="46" xfId="0" applyFont="1" applyFill="1" applyBorder="1" applyAlignment="1">
      <alignment horizontal="center" vertical="center" wrapText="1"/>
    </xf>
    <xf numFmtId="43" fontId="53" fillId="7" borderId="46" xfId="1" applyFont="1" applyFill="1" applyBorder="1" applyAlignment="1">
      <alignment horizontal="center" vertical="center" wrapText="1"/>
    </xf>
    <xf numFmtId="0" fontId="53" fillId="0" borderId="26" xfId="0" applyFont="1" applyBorder="1" applyAlignment="1">
      <alignment horizontal="center" vertical="center" wrapText="1"/>
    </xf>
    <xf numFmtId="3" fontId="53" fillId="0" borderId="63" xfId="2" applyNumberFormat="1" applyFont="1" applyFill="1" applyBorder="1" applyAlignment="1">
      <alignment horizontal="center" vertical="center"/>
    </xf>
    <xf numFmtId="166" fontId="53" fillId="2" borderId="63" xfId="0" applyNumberFormat="1" applyFont="1" applyFill="1" applyBorder="1" applyAlignment="1">
      <alignment horizontal="right" vertical="center"/>
    </xf>
    <xf numFmtId="167" fontId="53" fillId="0" borderId="0" xfId="0" applyNumberFormat="1" applyFont="1" applyAlignment="1">
      <alignment horizontal="center" vertical="center"/>
    </xf>
    <xf numFmtId="173" fontId="53" fillId="0" borderId="0" xfId="1" applyNumberFormat="1" applyFont="1" applyFill="1" applyBorder="1" applyAlignment="1" applyProtection="1">
      <alignment horizontal="center" vertical="center"/>
    </xf>
    <xf numFmtId="41" fontId="53" fillId="0" borderId="0" xfId="1" applyNumberFormat="1" applyFont="1" applyFill="1" applyBorder="1" applyAlignment="1" applyProtection="1">
      <alignment horizontal="center" vertical="center"/>
    </xf>
    <xf numFmtId="9" fontId="53" fillId="0" borderId="0" xfId="3" applyFont="1" applyFill="1" applyBorder="1" applyAlignment="1" applyProtection="1">
      <alignment horizontal="center" vertical="center"/>
    </xf>
    <xf numFmtId="170" fontId="53" fillId="0" borderId="0" xfId="0" applyNumberFormat="1" applyFont="1" applyAlignment="1">
      <alignment horizontal="center" vertical="center"/>
    </xf>
    <xf numFmtId="173" fontId="53" fillId="2" borderId="0" xfId="1" applyNumberFormat="1" applyFont="1" applyFill="1" applyBorder="1" applyAlignment="1" applyProtection="1">
      <alignment horizontal="center"/>
    </xf>
    <xf numFmtId="41" fontId="53" fillId="2" borderId="0" xfId="2" applyFont="1" applyFill="1" applyBorder="1" applyAlignment="1" applyProtection="1">
      <alignment horizontal="center"/>
    </xf>
    <xf numFmtId="164" fontId="53" fillId="2" borderId="0" xfId="0" applyNumberFormat="1" applyFont="1" applyFill="1" applyAlignment="1">
      <alignment horizontal="center"/>
    </xf>
    <xf numFmtId="43" fontId="53" fillId="0" borderId="66" xfId="1" applyFont="1" applyFill="1" applyBorder="1" applyAlignment="1">
      <alignment vertical="center"/>
    </xf>
    <xf numFmtId="43" fontId="53" fillId="0" borderId="5" xfId="1" applyFont="1" applyFill="1" applyBorder="1" applyAlignment="1">
      <alignment vertical="center"/>
    </xf>
    <xf numFmtId="166" fontId="53" fillId="0" borderId="21" xfId="1" applyNumberFormat="1" applyFont="1" applyFill="1" applyBorder="1" applyAlignment="1">
      <alignment horizontal="center" vertical="center"/>
    </xf>
    <xf numFmtId="166" fontId="53" fillId="0" borderId="22" xfId="1" applyNumberFormat="1" applyFont="1" applyFill="1" applyBorder="1" applyAlignment="1">
      <alignment horizontal="center" vertical="center"/>
    </xf>
    <xf numFmtId="43" fontId="53" fillId="0" borderId="0" xfId="1" applyFont="1" applyFill="1" applyBorder="1" applyAlignment="1">
      <alignment horizontal="left" vertical="center"/>
    </xf>
    <xf numFmtId="0" fontId="53" fillId="2" borderId="0" xfId="0" applyFont="1" applyFill="1" applyAlignment="1">
      <alignment horizontal="left"/>
    </xf>
    <xf numFmtId="43" fontId="53" fillId="0" borderId="10" xfId="1" applyFont="1" applyFill="1" applyBorder="1" applyAlignment="1">
      <alignment horizontal="left" vertical="center"/>
    </xf>
    <xf numFmtId="43" fontId="53" fillId="0" borderId="47" xfId="1" applyFont="1" applyFill="1" applyBorder="1" applyAlignment="1">
      <alignment horizontal="left" vertical="center"/>
    </xf>
    <xf numFmtId="43" fontId="53" fillId="2" borderId="11" xfId="0" applyNumberFormat="1" applyFont="1" applyFill="1" applyBorder="1" applyAlignment="1">
      <alignment horizontal="center"/>
    </xf>
    <xf numFmtId="43" fontId="53" fillId="0" borderId="36" xfId="1" applyFont="1" applyFill="1" applyBorder="1" applyAlignment="1">
      <alignment horizontal="center" vertical="center"/>
    </xf>
    <xf numFmtId="173" fontId="53" fillId="0" borderId="71" xfId="1" applyNumberFormat="1" applyFont="1" applyFill="1" applyBorder="1" applyAlignment="1">
      <alignment horizontal="center" vertical="center"/>
    </xf>
    <xf numFmtId="43" fontId="53" fillId="0" borderId="71" xfId="1" applyFont="1" applyFill="1" applyBorder="1" applyAlignment="1">
      <alignment horizontal="center" vertical="center"/>
    </xf>
    <xf numFmtId="166" fontId="53" fillId="0" borderId="36" xfId="1" applyNumberFormat="1" applyFont="1" applyFill="1" applyBorder="1" applyAlignment="1">
      <alignment horizontal="centerContinuous" vertical="center"/>
    </xf>
    <xf numFmtId="43" fontId="53" fillId="0" borderId="67" xfId="1" applyFont="1" applyFill="1" applyBorder="1" applyAlignment="1" applyProtection="1">
      <alignment horizontal="left" vertical="center"/>
    </xf>
    <xf numFmtId="43" fontId="53" fillId="0" borderId="60" xfId="1" applyFont="1" applyFill="1" applyBorder="1" applyAlignment="1" applyProtection="1">
      <alignment horizontal="left" vertical="center"/>
    </xf>
    <xf numFmtId="43" fontId="53" fillId="0" borderId="27" xfId="1" applyFont="1" applyFill="1" applyBorder="1" applyAlignment="1" applyProtection="1">
      <alignment horizontal="left" vertical="center"/>
    </xf>
    <xf numFmtId="173" fontId="53" fillId="0" borderId="72" xfId="1" applyNumberFormat="1" applyFont="1" applyFill="1" applyBorder="1" applyAlignment="1" applyProtection="1">
      <alignment horizontal="left" vertical="center"/>
    </xf>
    <xf numFmtId="43" fontId="53" fillId="0" borderId="72" xfId="1" applyFont="1" applyFill="1" applyBorder="1" applyAlignment="1" applyProtection="1">
      <alignment horizontal="left" vertical="center"/>
    </xf>
    <xf numFmtId="166" fontId="53" fillId="0" borderId="27" xfId="1" applyNumberFormat="1" applyFont="1" applyFill="1" applyBorder="1" applyAlignment="1" applyProtection="1">
      <alignment horizontal="centerContinuous" vertical="center"/>
    </xf>
    <xf numFmtId="0" fontId="53" fillId="0" borderId="11" xfId="0" applyFont="1" applyBorder="1" applyAlignment="1">
      <alignment horizontal="center"/>
    </xf>
    <xf numFmtId="20" fontId="53" fillId="0" borderId="0" xfId="1" applyNumberFormat="1" applyFont="1" applyFill="1" applyBorder="1" applyAlignment="1" applyProtection="1">
      <alignment horizontal="center"/>
    </xf>
    <xf numFmtId="166" fontId="53" fillId="2" borderId="0" xfId="1" applyNumberFormat="1" applyFont="1" applyFill="1" applyBorder="1" applyAlignment="1" applyProtection="1"/>
    <xf numFmtId="166" fontId="53" fillId="0" borderId="0" xfId="1" applyNumberFormat="1" applyFont="1" applyFill="1" applyBorder="1" applyAlignment="1" applyProtection="1"/>
    <xf numFmtId="3" fontId="53" fillId="0" borderId="0" xfId="0" applyNumberFormat="1" applyFont="1" applyAlignment="1">
      <alignment horizontal="center"/>
    </xf>
    <xf numFmtId="165" fontId="53" fillId="0" borderId="0" xfId="2" applyNumberFormat="1" applyFont="1" applyFill="1" applyBorder="1" applyAlignment="1" applyProtection="1">
      <alignment horizontal="center"/>
    </xf>
    <xf numFmtId="43" fontId="57" fillId="0" borderId="0" xfId="1" applyFont="1" applyFill="1" applyBorder="1" applyAlignment="1" applyProtection="1">
      <alignment horizontal="center"/>
    </xf>
    <xf numFmtId="0" fontId="59" fillId="0" borderId="0" xfId="0" applyFont="1" applyAlignment="1">
      <alignment horizontal="center" vertical="center"/>
    </xf>
    <xf numFmtId="43" fontId="53" fillId="0" borderId="0" xfId="1" applyFont="1" applyFill="1" applyBorder="1" applyAlignment="1" applyProtection="1"/>
    <xf numFmtId="166" fontId="53" fillId="0" borderId="14" xfId="1" applyNumberFormat="1" applyFont="1" applyFill="1" applyBorder="1" applyAlignment="1">
      <alignment horizontal="center" vertical="center"/>
    </xf>
    <xf numFmtId="166" fontId="53" fillId="0" borderId="26" xfId="1" applyNumberFormat="1" applyFont="1" applyFill="1" applyBorder="1" applyAlignment="1" applyProtection="1">
      <alignment horizontal="center" vertical="center"/>
    </xf>
    <xf numFmtId="180" fontId="53" fillId="0" borderId="0" xfId="1" applyNumberFormat="1" applyFont="1" applyFill="1" applyBorder="1" applyAlignment="1" applyProtection="1">
      <alignment horizontal="center"/>
    </xf>
    <xf numFmtId="3" fontId="53" fillId="0" borderId="11" xfId="0" applyNumberFormat="1" applyFont="1" applyBorder="1" applyAlignment="1">
      <alignment horizontal="center"/>
    </xf>
    <xf numFmtId="167" fontId="53" fillId="0" borderId="11" xfId="0" applyNumberFormat="1" applyFont="1" applyBorder="1" applyAlignment="1">
      <alignment horizontal="center" vertical="center"/>
    </xf>
    <xf numFmtId="41" fontId="53" fillId="2" borderId="11" xfId="1" applyNumberFormat="1" applyFont="1" applyFill="1" applyBorder="1" applyAlignment="1">
      <alignment horizontal="center" vertical="center"/>
    </xf>
    <xf numFmtId="173" fontId="53" fillId="2" borderId="11" xfId="1" applyNumberFormat="1" applyFont="1" applyFill="1" applyBorder="1" applyAlignment="1">
      <alignment horizontal="center" vertical="center"/>
    </xf>
    <xf numFmtId="41" fontId="53" fillId="2" borderId="11" xfId="1" applyNumberFormat="1" applyFont="1" applyFill="1" applyBorder="1" applyAlignment="1">
      <alignment horizontal="left" vertical="center"/>
    </xf>
    <xf numFmtId="173" fontId="53" fillId="2" borderId="11" xfId="1" applyNumberFormat="1" applyFont="1" applyFill="1" applyBorder="1" applyAlignment="1">
      <alignment horizontal="left" vertical="center"/>
    </xf>
    <xf numFmtId="3" fontId="53" fillId="2" borderId="11" xfId="3" applyNumberFormat="1" applyFont="1" applyFill="1" applyBorder="1" applyAlignment="1">
      <alignment horizontal="center" vertical="center"/>
    </xf>
    <xf numFmtId="4" fontId="53" fillId="0" borderId="11" xfId="2" applyNumberFormat="1" applyFont="1" applyFill="1" applyBorder="1" applyAlignment="1">
      <alignment horizontal="center" vertical="center"/>
    </xf>
    <xf numFmtId="166" fontId="53" fillId="2" borderId="11" xfId="2" applyNumberFormat="1" applyFont="1" applyFill="1" applyBorder="1" applyAlignment="1">
      <alignment horizontal="center" vertical="center"/>
    </xf>
    <xf numFmtId="166" fontId="53" fillId="2" borderId="11" xfId="0" applyNumberFormat="1" applyFont="1" applyFill="1" applyBorder="1" applyAlignment="1">
      <alignment horizontal="right" vertical="center"/>
    </xf>
    <xf numFmtId="9" fontId="53" fillId="2" borderId="11" xfId="3" applyFont="1" applyFill="1" applyBorder="1" applyAlignment="1">
      <alignment horizontal="center" vertical="center"/>
    </xf>
    <xf numFmtId="168" fontId="53" fillId="2" borderId="11" xfId="0" applyNumberFormat="1" applyFont="1" applyFill="1" applyBorder="1" applyAlignment="1">
      <alignment horizontal="center" vertical="center"/>
    </xf>
    <xf numFmtId="166" fontId="53" fillId="0" borderId="63" xfId="1" applyNumberFormat="1" applyFont="1" applyFill="1" applyBorder="1" applyAlignment="1">
      <alignment horizontal="center" vertical="center"/>
    </xf>
    <xf numFmtId="164" fontId="53" fillId="2" borderId="11" xfId="0" applyNumberFormat="1" applyFont="1" applyFill="1" applyBorder="1" applyAlignment="1">
      <alignment horizontal="right" vertical="center"/>
    </xf>
    <xf numFmtId="166" fontId="53" fillId="2" borderId="79" xfId="1" applyNumberFormat="1" applyFont="1" applyFill="1" applyBorder="1" applyAlignment="1" applyProtection="1">
      <alignment horizontal="center" vertical="center"/>
    </xf>
    <xf numFmtId="167" fontId="53" fillId="2" borderId="14" xfId="0" applyNumberFormat="1" applyFont="1" applyFill="1" applyBorder="1" applyAlignment="1">
      <alignment horizontal="center" vertical="center"/>
    </xf>
    <xf numFmtId="41" fontId="53" fillId="2" borderId="14" xfId="1" applyNumberFormat="1" applyFont="1" applyFill="1" applyBorder="1" applyAlignment="1" applyProtection="1">
      <alignment horizontal="center" vertical="center"/>
    </xf>
    <xf numFmtId="173" fontId="53" fillId="2" borderId="14" xfId="1" applyNumberFormat="1" applyFont="1" applyFill="1" applyBorder="1" applyAlignment="1">
      <alignment horizontal="center" vertical="center"/>
    </xf>
    <xf numFmtId="41" fontId="53" fillId="2" borderId="14" xfId="1" applyNumberFormat="1" applyFont="1" applyFill="1" applyBorder="1" applyAlignment="1">
      <alignment horizontal="left" vertical="center"/>
    </xf>
    <xf numFmtId="41" fontId="53" fillId="2" borderId="14" xfId="1" applyNumberFormat="1" applyFont="1" applyFill="1" applyBorder="1" applyAlignment="1">
      <alignment horizontal="center" vertical="center"/>
    </xf>
    <xf numFmtId="173" fontId="53" fillId="2" borderId="14" xfId="1" applyNumberFormat="1" applyFont="1" applyFill="1" applyBorder="1" applyAlignment="1">
      <alignment horizontal="left" vertical="center"/>
    </xf>
    <xf numFmtId="9" fontId="53" fillId="2" borderId="14" xfId="3" applyFont="1" applyFill="1" applyBorder="1" applyAlignment="1">
      <alignment horizontal="center" vertical="center"/>
    </xf>
    <xf numFmtId="3" fontId="53" fillId="2" borderId="14" xfId="3" applyNumberFormat="1" applyFont="1" applyFill="1" applyBorder="1" applyAlignment="1">
      <alignment horizontal="center" vertical="center"/>
    </xf>
    <xf numFmtId="43" fontId="53" fillId="0" borderId="14" xfId="1" applyFont="1" applyFill="1" applyBorder="1" applyAlignment="1" applyProtection="1">
      <alignment horizontal="center" vertical="center"/>
    </xf>
    <xf numFmtId="4" fontId="53" fillId="0" borderId="14" xfId="2" applyNumberFormat="1" applyFont="1" applyFill="1" applyBorder="1" applyAlignment="1">
      <alignment horizontal="center" vertical="center"/>
    </xf>
    <xf numFmtId="178" fontId="53" fillId="0" borderId="14" xfId="2" applyNumberFormat="1" applyFont="1" applyFill="1" applyBorder="1" applyAlignment="1">
      <alignment horizontal="center" vertical="center"/>
    </xf>
    <xf numFmtId="166" fontId="53" fillId="2" borderId="14" xfId="2" applyNumberFormat="1" applyFont="1" applyFill="1" applyBorder="1" applyAlignment="1">
      <alignment horizontal="center" vertical="center"/>
    </xf>
    <xf numFmtId="166" fontId="53" fillId="2" borderId="14" xfId="0" applyNumberFormat="1" applyFont="1" applyFill="1" applyBorder="1" applyAlignment="1">
      <alignment horizontal="center" vertical="center"/>
    </xf>
    <xf numFmtId="4" fontId="53" fillId="2" borderId="14" xfId="0" applyNumberFormat="1" applyFont="1" applyFill="1" applyBorder="1" applyAlignment="1">
      <alignment horizontal="center" vertical="center"/>
    </xf>
    <xf numFmtId="43" fontId="53" fillId="2" borderId="14" xfId="1" applyFont="1" applyFill="1" applyBorder="1" applyAlignment="1">
      <alignment horizontal="center" vertical="center"/>
    </xf>
    <xf numFmtId="168" fontId="53" fillId="2" borderId="14" xfId="0" applyNumberFormat="1" applyFont="1" applyFill="1" applyBorder="1" applyAlignment="1">
      <alignment horizontal="center" vertical="center"/>
    </xf>
    <xf numFmtId="41" fontId="53" fillId="0" borderId="15" xfId="1" applyNumberFormat="1" applyFont="1" applyFill="1" applyBorder="1" applyAlignment="1">
      <alignment horizontal="left" vertical="center"/>
    </xf>
    <xf numFmtId="4" fontId="53" fillId="0" borderId="15" xfId="3" applyNumberFormat="1" applyFont="1" applyFill="1" applyBorder="1" applyAlignment="1">
      <alignment horizontal="center" vertical="center"/>
    </xf>
    <xf numFmtId="43" fontId="53" fillId="0" borderId="15" xfId="1" applyFont="1" applyFill="1" applyBorder="1" applyAlignment="1" applyProtection="1">
      <alignment horizontal="center" vertical="center"/>
    </xf>
    <xf numFmtId="4" fontId="53" fillId="0" borderId="15" xfId="2" applyNumberFormat="1" applyFont="1" applyFill="1" applyBorder="1" applyAlignment="1">
      <alignment horizontal="center" vertical="center"/>
    </xf>
    <xf numFmtId="166" fontId="53" fillId="2" borderId="15" xfId="0" applyNumberFormat="1" applyFont="1" applyFill="1" applyBorder="1" applyAlignment="1">
      <alignment horizontal="center" vertical="center"/>
    </xf>
    <xf numFmtId="4" fontId="53" fillId="0" borderId="15" xfId="0" applyNumberFormat="1" applyFont="1" applyBorder="1" applyAlignment="1">
      <alignment horizontal="center" vertical="center"/>
    </xf>
    <xf numFmtId="43" fontId="53" fillId="0" borderId="15" xfId="1" applyFont="1" applyFill="1" applyBorder="1" applyAlignment="1">
      <alignment horizontal="center" vertical="center"/>
    </xf>
    <xf numFmtId="0" fontId="53" fillId="2" borderId="0" xfId="0" applyFont="1" applyFill="1"/>
    <xf numFmtId="43" fontId="56" fillId="5" borderId="11" xfId="1" applyFont="1" applyFill="1" applyBorder="1" applyAlignment="1">
      <alignment horizontal="center" vertical="center" wrapText="1"/>
    </xf>
    <xf numFmtId="167" fontId="53" fillId="0" borderId="91" xfId="0" applyNumberFormat="1" applyFont="1" applyBorder="1" applyAlignment="1">
      <alignment horizontal="center" vertical="center"/>
    </xf>
    <xf numFmtId="3" fontId="53" fillId="0" borderId="91" xfId="0" applyNumberFormat="1" applyFont="1" applyBorder="1" applyAlignment="1">
      <alignment horizontal="center" vertical="center"/>
    </xf>
    <xf numFmtId="166" fontId="53" fillId="2" borderId="91" xfId="9" applyNumberFormat="1" applyFont="1" applyFill="1" applyBorder="1" applyAlignment="1">
      <alignment horizontal="center" vertical="center"/>
    </xf>
    <xf numFmtId="41" fontId="53" fillId="2" borderId="91" xfId="1" applyNumberFormat="1" applyFont="1" applyFill="1" applyBorder="1" applyAlignment="1">
      <alignment horizontal="center" vertical="center"/>
    </xf>
    <xf numFmtId="174" fontId="53" fillId="0" borderId="91" xfId="1" applyNumberFormat="1" applyFont="1" applyFill="1" applyBorder="1" applyAlignment="1">
      <alignment horizontal="center" vertical="center"/>
    </xf>
    <xf numFmtId="41" fontId="53" fillId="0" borderId="91" xfId="1" applyNumberFormat="1" applyFont="1" applyFill="1" applyBorder="1" applyAlignment="1">
      <alignment horizontal="left" vertical="center"/>
    </xf>
    <xf numFmtId="166" fontId="53" fillId="2" borderId="91" xfId="1" applyNumberFormat="1" applyFont="1" applyFill="1" applyBorder="1" applyAlignment="1">
      <alignment horizontal="center" vertical="center"/>
    </xf>
    <xf numFmtId="9" fontId="53" fillId="0" borderId="91" xfId="3" applyFont="1" applyFill="1" applyBorder="1" applyAlignment="1">
      <alignment horizontal="center" vertical="center"/>
    </xf>
    <xf numFmtId="4" fontId="53" fillId="0" borderId="91" xfId="3" applyNumberFormat="1" applyFont="1" applyFill="1" applyBorder="1" applyAlignment="1">
      <alignment horizontal="center" vertical="center"/>
    </xf>
    <xf numFmtId="43" fontId="53" fillId="0" borderId="91" xfId="1" applyFont="1" applyFill="1" applyBorder="1" applyAlignment="1" applyProtection="1">
      <alignment horizontal="center" vertical="center"/>
    </xf>
    <xf numFmtId="43" fontId="53" fillId="2" borderId="91" xfId="1" applyFont="1" applyFill="1" applyBorder="1" applyAlignment="1" applyProtection="1">
      <alignment horizontal="center" vertical="center"/>
    </xf>
    <xf numFmtId="4" fontId="53" fillId="0" borderId="91" xfId="2" applyNumberFormat="1" applyFont="1" applyFill="1" applyBorder="1" applyAlignment="1">
      <alignment horizontal="center" vertical="center"/>
    </xf>
    <xf numFmtId="166" fontId="53" fillId="2" borderId="91" xfId="2" applyNumberFormat="1" applyFont="1" applyFill="1" applyBorder="1" applyAlignment="1">
      <alignment horizontal="center" vertical="center"/>
    </xf>
    <xf numFmtId="166" fontId="53" fillId="2" borderId="91" xfId="0" applyNumberFormat="1" applyFont="1" applyFill="1" applyBorder="1" applyAlignment="1">
      <alignment horizontal="center" vertical="center"/>
    </xf>
    <xf numFmtId="4" fontId="53" fillId="0" borderId="91" xfId="0" applyNumberFormat="1" applyFont="1" applyBorder="1" applyAlignment="1">
      <alignment horizontal="center" vertical="center"/>
    </xf>
    <xf numFmtId="43" fontId="53" fillId="0" borderId="91" xfId="1" applyFont="1" applyFill="1" applyBorder="1" applyAlignment="1">
      <alignment horizontal="center" vertical="center"/>
    </xf>
    <xf numFmtId="168" fontId="53" fillId="2" borderId="91" xfId="0" applyNumberFormat="1" applyFont="1" applyFill="1" applyBorder="1" applyAlignment="1">
      <alignment horizontal="center" vertical="center"/>
    </xf>
    <xf numFmtId="174" fontId="53" fillId="2" borderId="15" xfId="1" applyNumberFormat="1" applyFont="1" applyFill="1" applyBorder="1" applyAlignment="1">
      <alignment horizontal="center" vertical="center"/>
    </xf>
    <xf numFmtId="9" fontId="53" fillId="2" borderId="15" xfId="3" applyFont="1" applyFill="1" applyBorder="1" applyAlignment="1">
      <alignment horizontal="center" vertical="center"/>
    </xf>
    <xf numFmtId="43" fontId="53" fillId="0" borderId="15" xfId="1" applyFont="1" applyBorder="1" applyAlignment="1">
      <alignment horizontal="center" vertical="center"/>
    </xf>
    <xf numFmtId="4" fontId="53" fillId="2" borderId="15" xfId="2" applyNumberFormat="1" applyFont="1" applyFill="1" applyBorder="1" applyAlignment="1">
      <alignment horizontal="center" vertical="center"/>
    </xf>
    <xf numFmtId="4" fontId="53" fillId="2" borderId="15" xfId="0" applyNumberFormat="1" applyFont="1" applyFill="1" applyBorder="1" applyAlignment="1">
      <alignment horizontal="center" vertical="center"/>
    </xf>
    <xf numFmtId="43" fontId="53" fillId="2" borderId="15" xfId="1" applyFont="1" applyFill="1" applyBorder="1" applyAlignment="1">
      <alignment horizontal="center" vertical="center"/>
    </xf>
    <xf numFmtId="4" fontId="53" fillId="0" borderId="25" xfId="0" applyNumberFormat="1" applyFont="1" applyBorder="1" applyAlignment="1">
      <alignment horizontal="center" vertical="center"/>
    </xf>
    <xf numFmtId="43" fontId="53" fillId="0" borderId="0" xfId="1" applyFont="1" applyFill="1" applyBorder="1" applyAlignment="1" applyProtection="1">
      <alignment horizontal="left" vertical="center"/>
    </xf>
    <xf numFmtId="3" fontId="53" fillId="2" borderId="63" xfId="3" applyNumberFormat="1" applyFont="1" applyFill="1" applyBorder="1" applyAlignment="1">
      <alignment horizontal="center" vertical="center"/>
    </xf>
    <xf numFmtId="167" fontId="53" fillId="2" borderId="63" xfId="0" applyNumberFormat="1" applyFont="1" applyFill="1" applyBorder="1" applyAlignment="1">
      <alignment horizontal="center" vertical="center"/>
    </xf>
    <xf numFmtId="167" fontId="53" fillId="2" borderId="11" xfId="0" applyNumberFormat="1" applyFont="1" applyFill="1" applyBorder="1" applyAlignment="1">
      <alignment horizontal="center" vertical="center"/>
    </xf>
    <xf numFmtId="3" fontId="53" fillId="2" borderId="63" xfId="0" applyNumberFormat="1" applyFont="1" applyFill="1" applyBorder="1" applyAlignment="1">
      <alignment horizontal="center"/>
    </xf>
    <xf numFmtId="3" fontId="53" fillId="2" borderId="11" xfId="0" applyNumberFormat="1" applyFont="1" applyFill="1" applyBorder="1" applyAlignment="1">
      <alignment horizontal="center"/>
    </xf>
    <xf numFmtId="4" fontId="53" fillId="2" borderId="11" xfId="2" applyNumberFormat="1" applyFont="1" applyFill="1" applyBorder="1" applyAlignment="1">
      <alignment horizontal="center" vertical="center"/>
    </xf>
    <xf numFmtId="43" fontId="60" fillId="0" borderId="11" xfId="1" applyFont="1" applyFill="1" applyBorder="1" applyAlignment="1" applyProtection="1">
      <alignment horizontal="center" vertical="center"/>
    </xf>
    <xf numFmtId="43" fontId="60" fillId="2" borderId="11" xfId="1" applyFont="1" applyFill="1" applyBorder="1" applyAlignment="1" applyProtection="1">
      <alignment horizontal="center" vertical="center"/>
    </xf>
    <xf numFmtId="167" fontId="61" fillId="2" borderId="63" xfId="0" applyNumberFormat="1" applyFont="1" applyFill="1" applyBorder="1" applyAlignment="1">
      <alignment horizontal="center" vertical="center"/>
    </xf>
    <xf numFmtId="167" fontId="61" fillId="2" borderId="11" xfId="0" applyNumberFormat="1" applyFont="1" applyFill="1" applyBorder="1" applyAlignment="1">
      <alignment horizontal="center" vertical="center"/>
    </xf>
    <xf numFmtId="3" fontId="61" fillId="2" borderId="63" xfId="0" applyNumberFormat="1" applyFont="1" applyFill="1" applyBorder="1" applyAlignment="1">
      <alignment horizontal="center"/>
    </xf>
    <xf numFmtId="3" fontId="61" fillId="2" borderId="11" xfId="0" applyNumberFormat="1" applyFont="1" applyFill="1" applyBorder="1" applyAlignment="1">
      <alignment horizontal="center"/>
    </xf>
    <xf numFmtId="41" fontId="61" fillId="2" borderId="11" xfId="1" applyNumberFormat="1" applyFont="1" applyFill="1" applyBorder="1" applyAlignment="1">
      <alignment horizontal="center" vertical="center"/>
    </xf>
    <xf numFmtId="173" fontId="61" fillId="2" borderId="11" xfId="1" applyNumberFormat="1" applyFont="1" applyFill="1" applyBorder="1" applyAlignment="1">
      <alignment horizontal="center" vertical="center"/>
    </xf>
    <xf numFmtId="41" fontId="61" fillId="2" borderId="11" xfId="1" applyNumberFormat="1" applyFont="1" applyFill="1" applyBorder="1" applyAlignment="1">
      <alignment horizontal="left" vertical="center"/>
    </xf>
    <xf numFmtId="173" fontId="61" fillId="2" borderId="11" xfId="1" applyNumberFormat="1" applyFont="1" applyFill="1" applyBorder="1" applyAlignment="1">
      <alignment horizontal="left" vertical="center"/>
    </xf>
    <xf numFmtId="9" fontId="61" fillId="2" borderId="11" xfId="3" applyFont="1" applyFill="1" applyBorder="1" applyAlignment="1">
      <alignment horizontal="center" vertical="center"/>
    </xf>
    <xf numFmtId="3" fontId="61" fillId="2" borderId="11" xfId="3" applyNumberFormat="1" applyFont="1" applyFill="1" applyBorder="1" applyAlignment="1">
      <alignment horizontal="center" vertical="center"/>
    </xf>
    <xf numFmtId="166" fontId="61" fillId="2" borderId="63" xfId="1" applyNumberFormat="1" applyFont="1" applyFill="1" applyBorder="1" applyAlignment="1">
      <alignment horizontal="center" vertical="center"/>
    </xf>
    <xf numFmtId="166" fontId="61" fillId="2" borderId="11" xfId="1" applyNumberFormat="1" applyFont="1" applyFill="1" applyBorder="1" applyAlignment="1">
      <alignment horizontal="center" vertical="center"/>
    </xf>
    <xf numFmtId="43" fontId="61" fillId="2" borderId="11" xfId="1" applyFont="1" applyFill="1" applyBorder="1" applyAlignment="1" applyProtection="1">
      <alignment horizontal="center" vertical="center"/>
    </xf>
    <xf numFmtId="4" fontId="61" fillId="2" borderId="11" xfId="2" applyNumberFormat="1" applyFont="1" applyFill="1" applyBorder="1" applyAlignment="1">
      <alignment horizontal="center" vertical="center"/>
    </xf>
    <xf numFmtId="166" fontId="61" fillId="2" borderId="11" xfId="2" applyNumberFormat="1" applyFont="1" applyFill="1" applyBorder="1" applyAlignment="1">
      <alignment horizontal="center" vertical="center"/>
    </xf>
    <xf numFmtId="166" fontId="61" fillId="2" borderId="11" xfId="0" applyNumberFormat="1" applyFont="1" applyFill="1" applyBorder="1" applyAlignment="1">
      <alignment horizontal="right" vertical="center"/>
    </xf>
    <xf numFmtId="4" fontId="61" fillId="2" borderId="11" xfId="0" applyNumberFormat="1" applyFont="1" applyFill="1" applyBorder="1" applyAlignment="1">
      <alignment horizontal="center" vertical="center"/>
    </xf>
    <xf numFmtId="43" fontId="61" fillId="2" borderId="11" xfId="1" applyFont="1" applyFill="1" applyBorder="1" applyAlignment="1">
      <alignment horizontal="center" vertical="center"/>
    </xf>
    <xf numFmtId="166" fontId="61" fillId="2" borderId="55" xfId="1" applyNumberFormat="1" applyFont="1" applyFill="1" applyBorder="1" applyAlignment="1" applyProtection="1">
      <alignment horizontal="center" vertical="center"/>
    </xf>
    <xf numFmtId="166" fontId="61" fillId="2" borderId="0" xfId="1" applyNumberFormat="1" applyFont="1" applyFill="1" applyBorder="1" applyAlignment="1" applyProtection="1">
      <alignment horizontal="center" vertical="center"/>
    </xf>
    <xf numFmtId="41" fontId="61" fillId="2" borderId="11" xfId="2" applyFont="1" applyFill="1" applyBorder="1" applyAlignment="1" applyProtection="1">
      <alignment horizontal="center" vertical="center"/>
    </xf>
    <xf numFmtId="0" fontId="61" fillId="2" borderId="0" xfId="0" applyFont="1" applyFill="1" applyAlignment="1">
      <alignment horizontal="center" vertical="center"/>
    </xf>
    <xf numFmtId="4" fontId="61" fillId="2" borderId="0" xfId="0" applyNumberFormat="1" applyFont="1" applyFill="1" applyAlignment="1">
      <alignment horizontal="center" vertical="center"/>
    </xf>
    <xf numFmtId="166" fontId="61" fillId="2" borderId="0" xfId="0" applyNumberFormat="1" applyFont="1" applyFill="1" applyAlignment="1">
      <alignment horizontal="center" vertical="center"/>
    </xf>
    <xf numFmtId="167" fontId="54" fillId="2" borderId="11" xfId="0" applyNumberFormat="1" applyFont="1" applyFill="1" applyBorder="1" applyAlignment="1">
      <alignment horizontal="center" vertical="center"/>
    </xf>
    <xf numFmtId="3" fontId="54" fillId="2" borderId="63" xfId="0" applyNumberFormat="1" applyFont="1" applyFill="1" applyBorder="1" applyAlignment="1">
      <alignment horizontal="center"/>
    </xf>
    <xf numFmtId="3" fontId="54" fillId="2" borderId="11" xfId="0" applyNumberFormat="1" applyFont="1" applyFill="1" applyBorder="1" applyAlignment="1">
      <alignment horizontal="center"/>
    </xf>
    <xf numFmtId="41" fontId="54" fillId="2" borderId="11" xfId="1" applyNumberFormat="1" applyFont="1" applyFill="1" applyBorder="1" applyAlignment="1">
      <alignment horizontal="center" vertical="center"/>
    </xf>
    <xf numFmtId="173" fontId="54" fillId="2" borderId="11" xfId="1" applyNumberFormat="1" applyFont="1" applyFill="1" applyBorder="1" applyAlignment="1">
      <alignment horizontal="center" vertical="center"/>
    </xf>
    <xf numFmtId="41" fontId="54" fillId="2" borderId="11" xfId="1" applyNumberFormat="1" applyFont="1" applyFill="1" applyBorder="1" applyAlignment="1">
      <alignment horizontal="left" vertical="center"/>
    </xf>
    <xf numFmtId="173" fontId="54" fillId="2" borderId="11" xfId="1" applyNumberFormat="1" applyFont="1" applyFill="1" applyBorder="1" applyAlignment="1">
      <alignment horizontal="left" vertical="center"/>
    </xf>
    <xf numFmtId="9" fontId="54" fillId="2" borderId="11" xfId="3" applyFont="1" applyFill="1" applyBorder="1" applyAlignment="1">
      <alignment horizontal="center" vertical="center"/>
    </xf>
    <xf numFmtId="3" fontId="54" fillId="2" borderId="11" xfId="3" applyNumberFormat="1" applyFont="1" applyFill="1" applyBorder="1" applyAlignment="1">
      <alignment horizontal="center" vertical="center"/>
    </xf>
    <xf numFmtId="166" fontId="54" fillId="2" borderId="63" xfId="1" applyNumberFormat="1" applyFont="1" applyFill="1" applyBorder="1" applyAlignment="1">
      <alignment horizontal="center" vertical="center"/>
    </xf>
    <xf numFmtId="166" fontId="54" fillId="2" borderId="11" xfId="1" applyNumberFormat="1" applyFont="1" applyFill="1" applyBorder="1" applyAlignment="1">
      <alignment horizontal="center" vertical="center"/>
    </xf>
    <xf numFmtId="4" fontId="54" fillId="2" borderId="11" xfId="2" applyNumberFormat="1" applyFont="1" applyFill="1" applyBorder="1" applyAlignment="1">
      <alignment horizontal="center" vertical="center"/>
    </xf>
    <xf numFmtId="4" fontId="54" fillId="2" borderId="11" xfId="0" applyNumberFormat="1" applyFont="1" applyFill="1" applyBorder="1" applyAlignment="1">
      <alignment horizontal="center" vertical="center"/>
    </xf>
    <xf numFmtId="43" fontId="54" fillId="2" borderId="11" xfId="1" applyFont="1" applyFill="1" applyBorder="1" applyAlignment="1">
      <alignment horizontal="center" vertical="center"/>
    </xf>
    <xf numFmtId="166" fontId="54" fillId="2" borderId="11" xfId="1" applyNumberFormat="1" applyFont="1" applyFill="1" applyBorder="1" applyAlignment="1" applyProtection="1">
      <alignment horizontal="center" vertical="center"/>
    </xf>
    <xf numFmtId="41" fontId="54" fillId="2" borderId="11" xfId="1" applyNumberFormat="1" applyFont="1" applyFill="1" applyBorder="1" applyAlignment="1" applyProtection="1">
      <alignment horizontal="center" vertical="center"/>
    </xf>
    <xf numFmtId="2" fontId="54" fillId="2" borderId="11" xfId="1" applyNumberFormat="1" applyFont="1" applyFill="1" applyBorder="1" applyAlignment="1">
      <alignment horizontal="center" vertical="center"/>
    </xf>
    <xf numFmtId="41" fontId="53" fillId="2" borderId="15" xfId="1" applyNumberFormat="1" applyFont="1" applyFill="1" applyBorder="1" applyAlignment="1">
      <alignment horizontal="left" vertical="center"/>
    </xf>
    <xf numFmtId="4" fontId="53" fillId="2" borderId="15" xfId="3" applyNumberFormat="1" applyFont="1" applyFill="1" applyBorder="1" applyAlignment="1">
      <alignment horizontal="center" vertical="center"/>
    </xf>
    <xf numFmtId="172" fontId="53" fillId="2" borderId="0" xfId="2" applyNumberFormat="1" applyFont="1" applyFill="1" applyBorder="1" applyAlignment="1" applyProtection="1">
      <alignment horizontal="center" vertical="center"/>
    </xf>
    <xf numFmtId="164" fontId="61" fillId="2" borderId="11" xfId="0" applyNumberFormat="1" applyFont="1" applyFill="1" applyBorder="1"/>
    <xf numFmtId="166" fontId="61" fillId="2" borderId="11" xfId="0" applyNumberFormat="1" applyFont="1" applyFill="1" applyBorder="1" applyAlignment="1">
      <alignment horizontal="center" vertical="center"/>
    </xf>
    <xf numFmtId="168" fontId="61" fillId="2" borderId="11" xfId="0" applyNumberFormat="1" applyFont="1" applyFill="1" applyBorder="1" applyAlignment="1">
      <alignment horizontal="center" vertical="center"/>
    </xf>
    <xf numFmtId="3" fontId="54" fillId="0" borderId="15" xfId="0" applyNumberFormat="1" applyFont="1" applyBorder="1" applyAlignment="1">
      <alignment horizontal="center" vertical="center"/>
    </xf>
    <xf numFmtId="9" fontId="54" fillId="2" borderId="15" xfId="3" applyFont="1" applyFill="1" applyBorder="1" applyAlignment="1">
      <alignment horizontal="center" vertical="center"/>
    </xf>
    <xf numFmtId="4" fontId="54" fillId="2" borderId="15" xfId="2" applyNumberFormat="1" applyFont="1" applyFill="1" applyBorder="1" applyAlignment="1">
      <alignment horizontal="center" vertical="center"/>
    </xf>
    <xf numFmtId="43" fontId="54" fillId="2" borderId="15" xfId="1" applyFont="1" applyFill="1" applyBorder="1" applyAlignment="1">
      <alignment horizontal="center" vertical="center"/>
    </xf>
    <xf numFmtId="168" fontId="54" fillId="2" borderId="15" xfId="0" applyNumberFormat="1" applyFont="1" applyFill="1" applyBorder="1" applyAlignment="1">
      <alignment horizontal="center" vertical="center"/>
    </xf>
    <xf numFmtId="3" fontId="54" fillId="0" borderId="92" xfId="0" applyNumberFormat="1" applyFont="1" applyBorder="1" applyAlignment="1">
      <alignment horizontal="center" vertical="center"/>
    </xf>
    <xf numFmtId="9" fontId="54" fillId="2" borderId="92" xfId="3" applyFont="1" applyFill="1" applyBorder="1" applyAlignment="1">
      <alignment horizontal="center" vertical="center"/>
    </xf>
    <xf numFmtId="4" fontId="54" fillId="2" borderId="92" xfId="2" applyNumberFormat="1" applyFont="1" applyFill="1" applyBorder="1" applyAlignment="1">
      <alignment horizontal="center" vertical="center"/>
    </xf>
    <xf numFmtId="43" fontId="54" fillId="2" borderId="92" xfId="1" applyFont="1" applyFill="1" applyBorder="1" applyAlignment="1">
      <alignment horizontal="center" vertical="center"/>
    </xf>
    <xf numFmtId="168" fontId="54" fillId="2" borderId="92" xfId="0" applyNumberFormat="1" applyFont="1" applyFill="1" applyBorder="1" applyAlignment="1">
      <alignment horizontal="center" vertical="center"/>
    </xf>
    <xf numFmtId="167" fontId="61" fillId="0" borderId="15" xfId="0" applyNumberFormat="1" applyFont="1" applyBorder="1" applyAlignment="1">
      <alignment horizontal="center" vertical="center"/>
    </xf>
    <xf numFmtId="3" fontId="61" fillId="0" borderId="15" xfId="0" applyNumberFormat="1" applyFont="1" applyBorder="1" applyAlignment="1">
      <alignment horizontal="center" vertical="center"/>
    </xf>
    <xf numFmtId="166" fontId="61" fillId="2" borderId="15" xfId="9" applyNumberFormat="1" applyFont="1" applyFill="1" applyBorder="1" applyAlignment="1">
      <alignment horizontal="center" vertical="center"/>
    </xf>
    <xf numFmtId="41" fontId="61" fillId="2" borderId="15" xfId="1" applyNumberFormat="1" applyFont="1" applyFill="1" applyBorder="1" applyAlignment="1">
      <alignment horizontal="center" vertical="center"/>
    </xf>
    <xf numFmtId="174" fontId="61" fillId="0" borderId="15" xfId="1" applyNumberFormat="1" applyFont="1" applyFill="1" applyBorder="1" applyAlignment="1">
      <alignment horizontal="center" vertical="center"/>
    </xf>
    <xf numFmtId="41" fontId="61" fillId="2" borderId="15" xfId="1" applyNumberFormat="1" applyFont="1" applyFill="1" applyBorder="1" applyAlignment="1">
      <alignment horizontal="left" vertical="center"/>
    </xf>
    <xf numFmtId="166" fontId="61" fillId="2" borderId="15" xfId="1" applyNumberFormat="1" applyFont="1" applyFill="1" applyBorder="1" applyAlignment="1">
      <alignment horizontal="center" vertical="center"/>
    </xf>
    <xf numFmtId="9" fontId="61" fillId="2" borderId="15" xfId="3" applyFont="1" applyFill="1" applyBorder="1" applyAlignment="1">
      <alignment horizontal="center" vertical="center"/>
    </xf>
    <xf numFmtId="9" fontId="61" fillId="0" borderId="15" xfId="3" applyFont="1" applyFill="1" applyBorder="1" applyAlignment="1">
      <alignment horizontal="center" vertical="center"/>
    </xf>
    <xf numFmtId="4" fontId="61" fillId="2" borderId="15" xfId="3" applyNumberFormat="1" applyFont="1" applyFill="1" applyBorder="1" applyAlignment="1">
      <alignment horizontal="center" vertical="center"/>
    </xf>
    <xf numFmtId="43" fontId="61" fillId="2" borderId="15" xfId="1" applyFont="1" applyFill="1" applyBorder="1" applyAlignment="1" applyProtection="1">
      <alignment horizontal="center" vertical="center"/>
    </xf>
    <xf numFmtId="4" fontId="61" fillId="2" borderId="15" xfId="2" applyNumberFormat="1" applyFont="1" applyFill="1" applyBorder="1" applyAlignment="1">
      <alignment horizontal="center" vertical="center"/>
    </xf>
    <xf numFmtId="166" fontId="61" fillId="2" borderId="15" xfId="2" applyNumberFormat="1" applyFont="1" applyFill="1" applyBorder="1" applyAlignment="1">
      <alignment horizontal="center" vertical="center"/>
    </xf>
    <xf numFmtId="166" fontId="61" fillId="2" borderId="15" xfId="0" applyNumberFormat="1" applyFont="1" applyFill="1" applyBorder="1" applyAlignment="1">
      <alignment horizontal="center" vertical="center"/>
    </xf>
    <xf numFmtId="4" fontId="61" fillId="2" borderId="15" xfId="0" applyNumberFormat="1" applyFont="1" applyFill="1" applyBorder="1" applyAlignment="1">
      <alignment horizontal="center" vertical="center"/>
    </xf>
    <xf numFmtId="43" fontId="61" fillId="2" borderId="15" xfId="1" applyFont="1" applyFill="1" applyBorder="1" applyAlignment="1">
      <alignment horizontal="center" vertical="center"/>
    </xf>
    <xf numFmtId="168" fontId="61" fillId="2" borderId="15" xfId="0" applyNumberFormat="1" applyFont="1" applyFill="1" applyBorder="1" applyAlignment="1">
      <alignment horizontal="center" vertical="center"/>
    </xf>
    <xf numFmtId="20" fontId="61" fillId="2" borderId="0" xfId="0" applyNumberFormat="1" applyFont="1" applyFill="1" applyAlignment="1">
      <alignment horizontal="center" vertical="center"/>
    </xf>
    <xf numFmtId="166" fontId="61" fillId="2" borderId="11" xfId="1" applyNumberFormat="1" applyFont="1" applyFill="1" applyBorder="1"/>
    <xf numFmtId="174" fontId="61" fillId="2" borderId="15" xfId="1" applyNumberFormat="1" applyFont="1" applyFill="1" applyBorder="1" applyAlignment="1">
      <alignment horizontal="center" vertical="center"/>
    </xf>
    <xf numFmtId="41" fontId="53" fillId="0" borderId="0" xfId="2" applyFont="1" applyFill="1" applyBorder="1" applyAlignment="1" applyProtection="1">
      <alignment horizontal="center" vertical="center"/>
    </xf>
    <xf numFmtId="166" fontId="53" fillId="0" borderId="0" xfId="1" applyNumberFormat="1" applyFont="1" applyFill="1" applyBorder="1" applyAlignment="1" applyProtection="1">
      <alignment horizontal="center" vertical="center"/>
    </xf>
    <xf numFmtId="166" fontId="53" fillId="0" borderId="0" xfId="0" applyNumberFormat="1" applyFont="1" applyAlignment="1">
      <alignment horizontal="center" vertical="center"/>
    </xf>
    <xf numFmtId="43" fontId="57" fillId="0" borderId="0" xfId="1" applyFont="1" applyFill="1" applyBorder="1" applyAlignment="1" applyProtection="1">
      <alignment horizontal="center" vertical="center"/>
    </xf>
    <xf numFmtId="43" fontId="53" fillId="0" borderId="0" xfId="1" applyFont="1" applyFill="1" applyBorder="1" applyAlignment="1" applyProtection="1">
      <alignment horizontal="center" vertical="center"/>
    </xf>
    <xf numFmtId="43" fontId="53" fillId="0" borderId="20" xfId="0" applyNumberFormat="1" applyFont="1" applyBorder="1" applyAlignment="1">
      <alignment horizontal="center" vertical="center"/>
    </xf>
    <xf numFmtId="166" fontId="53" fillId="2" borderId="0" xfId="1" applyNumberFormat="1" applyFont="1" applyFill="1" applyBorder="1" applyAlignment="1" applyProtection="1">
      <alignment horizontal="center" vertical="center"/>
    </xf>
    <xf numFmtId="43" fontId="53" fillId="0" borderId="20" xfId="1" applyFont="1" applyFill="1" applyBorder="1" applyAlignment="1" applyProtection="1">
      <alignment horizontal="center" vertical="center"/>
    </xf>
    <xf numFmtId="166" fontId="53" fillId="0" borderId="0" xfId="1" applyNumberFormat="1" applyFont="1" applyAlignment="1">
      <alignment horizontal="center" vertical="center"/>
    </xf>
    <xf numFmtId="43" fontId="53" fillId="0" borderId="11" xfId="1" applyFont="1" applyFill="1" applyBorder="1" applyAlignment="1" applyProtection="1">
      <alignment horizontal="center" vertical="center"/>
    </xf>
    <xf numFmtId="0" fontId="53" fillId="2" borderId="11" xfId="0" applyFont="1" applyFill="1" applyBorder="1" applyAlignment="1">
      <alignment horizontal="center"/>
    </xf>
    <xf numFmtId="43" fontId="53" fillId="0" borderId="11" xfId="1" applyFont="1" applyFill="1" applyBorder="1" applyAlignment="1">
      <alignment horizontal="center" vertical="center"/>
    </xf>
    <xf numFmtId="43" fontId="53" fillId="0" borderId="11" xfId="0" applyNumberFormat="1" applyFont="1" applyBorder="1" applyAlignment="1">
      <alignment horizontal="center" vertical="center"/>
    </xf>
    <xf numFmtId="43" fontId="53" fillId="0" borderId="20" xfId="1" applyFont="1" applyFill="1" applyBorder="1" applyAlignment="1">
      <alignment horizontal="center" vertical="center"/>
    </xf>
    <xf numFmtId="9" fontId="53" fillId="0" borderId="11" xfId="3" applyFont="1" applyFill="1" applyBorder="1" applyAlignment="1">
      <alignment horizontal="center" vertical="center"/>
    </xf>
    <xf numFmtId="166" fontId="53" fillId="0" borderId="11" xfId="0" applyNumberFormat="1" applyFont="1" applyBorder="1" applyAlignment="1">
      <alignment horizontal="center" vertical="center"/>
    </xf>
    <xf numFmtId="4" fontId="53" fillId="0" borderId="11" xfId="0" applyNumberFormat="1" applyFont="1" applyBorder="1" applyAlignment="1">
      <alignment horizontal="center" vertical="center"/>
    </xf>
    <xf numFmtId="0" fontId="56" fillId="5" borderId="11" xfId="0" applyFont="1" applyFill="1" applyBorder="1" applyAlignment="1">
      <alignment horizontal="center" vertical="center" wrapText="1"/>
    </xf>
    <xf numFmtId="0" fontId="56" fillId="0" borderId="11" xfId="0" applyFont="1" applyBorder="1" applyAlignment="1">
      <alignment horizontal="center" vertical="center" wrapText="1"/>
    </xf>
    <xf numFmtId="43" fontId="56" fillId="6" borderId="11" xfId="1" applyFont="1" applyFill="1" applyBorder="1" applyAlignment="1">
      <alignment horizontal="center" vertical="center" wrapText="1"/>
    </xf>
    <xf numFmtId="166" fontId="53" fillId="0" borderId="25" xfId="1" applyNumberFormat="1" applyFont="1" applyFill="1" applyBorder="1" applyAlignment="1">
      <alignment horizontal="center" vertical="center"/>
    </xf>
    <xf numFmtId="166" fontId="53" fillId="0" borderId="0" xfId="1" applyNumberFormat="1" applyFont="1" applyFill="1" applyBorder="1" applyAlignment="1" applyProtection="1">
      <alignment horizontal="center"/>
    </xf>
    <xf numFmtId="0" fontId="53" fillId="2" borderId="0" xfId="0" applyFont="1" applyFill="1" applyAlignment="1">
      <alignment horizontal="center"/>
    </xf>
    <xf numFmtId="43" fontId="53" fillId="0" borderId="11" xfId="1" applyFont="1" applyFill="1" applyBorder="1" applyAlignment="1" applyProtection="1">
      <alignment horizontal="center"/>
    </xf>
    <xf numFmtId="0" fontId="59" fillId="0" borderId="0" xfId="0" applyFont="1" applyAlignment="1">
      <alignment horizontal="center"/>
    </xf>
    <xf numFmtId="166" fontId="57" fillId="0" borderId="0" xfId="1" applyNumberFormat="1" applyFont="1" applyFill="1" applyBorder="1" applyAlignment="1" applyProtection="1">
      <alignment horizontal="center"/>
    </xf>
    <xf numFmtId="43" fontId="53" fillId="0" borderId="0" xfId="1" applyFont="1" applyFill="1" applyBorder="1" applyAlignment="1" applyProtection="1">
      <alignment horizontal="center"/>
    </xf>
    <xf numFmtId="0" fontId="53" fillId="5" borderId="26" xfId="0" applyFont="1" applyFill="1" applyBorder="1" applyAlignment="1">
      <alignment horizontal="center" vertical="center" wrapText="1"/>
    </xf>
    <xf numFmtId="0" fontId="53" fillId="0" borderId="46" xfId="0" applyFont="1" applyBorder="1" applyAlignment="1">
      <alignment horizontal="center" vertical="center" wrapText="1"/>
    </xf>
    <xf numFmtId="0" fontId="53" fillId="0" borderId="11" xfId="0" applyFont="1" applyBorder="1" applyAlignment="1">
      <alignment horizontal="center" vertical="center" wrapText="1"/>
    </xf>
    <xf numFmtId="1" fontId="53" fillId="2" borderId="11" xfId="0" applyNumberFormat="1" applyFont="1" applyFill="1" applyBorder="1"/>
    <xf numFmtId="166" fontId="53" fillId="2" borderId="11" xfId="0" applyNumberFormat="1" applyFont="1" applyFill="1" applyBorder="1" applyAlignment="1">
      <alignment horizontal="center" vertical="center"/>
    </xf>
    <xf numFmtId="164" fontId="53" fillId="2" borderId="11" xfId="0" applyNumberFormat="1" applyFont="1" applyFill="1" applyBorder="1"/>
    <xf numFmtId="173" fontId="53" fillId="2" borderId="0" xfId="0" applyNumberFormat="1" applyFont="1" applyFill="1" applyAlignment="1">
      <alignment horizontal="center" vertical="center"/>
    </xf>
    <xf numFmtId="178" fontId="53" fillId="2" borderId="11" xfId="2" applyNumberFormat="1" applyFont="1" applyFill="1" applyBorder="1" applyAlignment="1">
      <alignment horizontal="center" vertical="center"/>
    </xf>
    <xf numFmtId="167" fontId="53" fillId="8" borderId="63" xfId="0" applyNumberFormat="1" applyFont="1" applyFill="1" applyBorder="1" applyAlignment="1">
      <alignment horizontal="center" vertical="center"/>
    </xf>
    <xf numFmtId="166" fontId="53" fillId="8" borderId="38" xfId="1" applyNumberFormat="1" applyFont="1" applyFill="1" applyBorder="1" applyAlignment="1" applyProtection="1">
      <alignment horizontal="center" vertical="center"/>
    </xf>
    <xf numFmtId="43" fontId="53" fillId="8" borderId="38" xfId="1" applyFont="1" applyFill="1" applyBorder="1" applyAlignment="1" applyProtection="1">
      <alignment horizontal="center" vertical="center"/>
    </xf>
    <xf numFmtId="4" fontId="53" fillId="8" borderId="41" xfId="0" applyNumberFormat="1" applyFont="1" applyFill="1" applyBorder="1" applyAlignment="1">
      <alignment horizontal="center" vertical="center"/>
    </xf>
    <xf numFmtId="20" fontId="53" fillId="2" borderId="0" xfId="0" applyNumberFormat="1" applyFont="1" applyFill="1" applyAlignment="1">
      <alignment horizontal="center" vertical="center"/>
    </xf>
    <xf numFmtId="167" fontId="53" fillId="0" borderId="92" xfId="0" applyNumberFormat="1" applyFont="1" applyBorder="1" applyAlignment="1">
      <alignment horizontal="center" vertical="center"/>
    </xf>
    <xf numFmtId="3" fontId="53" fillId="0" borderId="92" xfId="0" applyNumberFormat="1" applyFont="1" applyBorder="1" applyAlignment="1">
      <alignment horizontal="center" vertical="center"/>
    </xf>
    <xf numFmtId="166" fontId="53" fillId="2" borderId="92" xfId="9" applyNumberFormat="1" applyFont="1" applyFill="1" applyBorder="1" applyAlignment="1">
      <alignment horizontal="center" vertical="center"/>
    </xf>
    <xf numFmtId="41" fontId="53" fillId="2" borderId="92" xfId="1" applyNumberFormat="1" applyFont="1" applyFill="1" applyBorder="1" applyAlignment="1">
      <alignment horizontal="center" vertical="center"/>
    </xf>
    <xf numFmtId="174" fontId="53" fillId="0" borderId="92" xfId="1" applyNumberFormat="1" applyFont="1" applyFill="1" applyBorder="1" applyAlignment="1">
      <alignment horizontal="center" vertical="center"/>
    </xf>
    <xf numFmtId="41" fontId="53" fillId="2" borderId="92" xfId="1" applyNumberFormat="1" applyFont="1" applyFill="1" applyBorder="1" applyAlignment="1">
      <alignment horizontal="left" vertical="center"/>
    </xf>
    <xf numFmtId="174" fontId="53" fillId="2" borderId="92" xfId="1" applyNumberFormat="1" applyFont="1" applyFill="1" applyBorder="1" applyAlignment="1">
      <alignment horizontal="center" vertical="center"/>
    </xf>
    <xf numFmtId="9" fontId="53" fillId="2" borderId="92" xfId="3" applyFont="1" applyFill="1" applyBorder="1" applyAlignment="1">
      <alignment horizontal="center" vertical="center"/>
    </xf>
    <xf numFmtId="9" fontId="53" fillId="0" borderId="92" xfId="3" applyFont="1" applyFill="1" applyBorder="1" applyAlignment="1">
      <alignment horizontal="center" vertical="center"/>
    </xf>
    <xf numFmtId="4" fontId="53" fillId="2" borderId="92" xfId="3" applyNumberFormat="1" applyFont="1" applyFill="1" applyBorder="1" applyAlignment="1">
      <alignment horizontal="center" vertical="center"/>
    </xf>
    <xf numFmtId="43" fontId="53" fillId="2" borderId="92" xfId="1" applyFont="1" applyFill="1" applyBorder="1" applyAlignment="1" applyProtection="1">
      <alignment horizontal="center" vertical="center"/>
    </xf>
    <xf numFmtId="4" fontId="53" fillId="2" borderId="92" xfId="2" applyNumberFormat="1" applyFont="1" applyFill="1" applyBorder="1" applyAlignment="1">
      <alignment horizontal="center" vertical="center"/>
    </xf>
    <xf numFmtId="166" fontId="53" fillId="2" borderId="92" xfId="2" applyNumberFormat="1" applyFont="1" applyFill="1" applyBorder="1" applyAlignment="1">
      <alignment horizontal="center" vertical="center"/>
    </xf>
    <xf numFmtId="166" fontId="53" fillId="2" borderId="92" xfId="0" applyNumberFormat="1" applyFont="1" applyFill="1" applyBorder="1" applyAlignment="1">
      <alignment horizontal="center" vertical="center"/>
    </xf>
    <xf numFmtId="4" fontId="53" fillId="2" borderId="92" xfId="0" applyNumberFormat="1" applyFont="1" applyFill="1" applyBorder="1" applyAlignment="1">
      <alignment horizontal="center" vertical="center"/>
    </xf>
    <xf numFmtId="167" fontId="53" fillId="8" borderId="15" xfId="0" applyNumberFormat="1" applyFont="1" applyFill="1" applyBorder="1" applyAlignment="1">
      <alignment horizontal="center" vertical="center"/>
    </xf>
    <xf numFmtId="166" fontId="53" fillId="8" borderId="85" xfId="1" applyNumberFormat="1" applyFont="1" applyFill="1" applyBorder="1" applyAlignment="1" applyProtection="1">
      <alignment horizontal="center" vertical="center"/>
    </xf>
    <xf numFmtId="43" fontId="53" fillId="8" borderId="85" xfId="1" applyFont="1" applyFill="1" applyBorder="1" applyAlignment="1" applyProtection="1">
      <alignment horizontal="center" vertical="center"/>
    </xf>
    <xf numFmtId="4" fontId="53" fillId="8" borderId="85" xfId="0" applyNumberFormat="1" applyFont="1" applyFill="1" applyBorder="1" applyAlignment="1">
      <alignment horizontal="center" vertical="center"/>
    </xf>
    <xf numFmtId="171" fontId="53" fillId="0" borderId="0" xfId="1" applyNumberFormat="1" applyFont="1" applyFill="1" applyBorder="1" applyAlignment="1" applyProtection="1">
      <alignment horizontal="center"/>
    </xf>
    <xf numFmtId="43" fontId="53" fillId="0" borderId="34" xfId="1" applyFont="1" applyFill="1" applyBorder="1" applyAlignment="1">
      <alignment horizontal="center" vertical="center"/>
    </xf>
    <xf numFmtId="43" fontId="53" fillId="0" borderId="0" xfId="1" applyFont="1" applyFill="1" applyAlignment="1">
      <alignment horizontal="center" vertical="center"/>
    </xf>
    <xf numFmtId="43" fontId="53" fillId="0" borderId="0" xfId="1" applyFont="1" applyFill="1" applyAlignment="1">
      <alignment vertical="center"/>
    </xf>
    <xf numFmtId="166" fontId="53" fillId="2" borderId="11" xfId="1" applyNumberFormat="1" applyFont="1" applyFill="1" applyBorder="1" applyAlignment="1">
      <alignment horizontal="center"/>
    </xf>
    <xf numFmtId="0" fontId="53" fillId="2" borderId="13" xfId="0" applyFont="1" applyFill="1" applyBorder="1"/>
    <xf numFmtId="2" fontId="53" fillId="2" borderId="11" xfId="0" applyNumberFormat="1" applyFont="1" applyFill="1" applyBorder="1" applyAlignment="1">
      <alignment horizontal="center"/>
    </xf>
    <xf numFmtId="166" fontId="53" fillId="0" borderId="38" xfId="1" applyNumberFormat="1" applyFont="1" applyFill="1" applyBorder="1" applyAlignment="1" applyProtection="1">
      <alignment horizontal="center" vertical="center"/>
    </xf>
    <xf numFmtId="3" fontId="53" fillId="0" borderId="63" xfId="2" applyNumberFormat="1" applyFont="1" applyFill="1" applyBorder="1" applyAlignment="1">
      <alignment horizontal="right" vertical="center"/>
    </xf>
    <xf numFmtId="3" fontId="53" fillId="0" borderId="82" xfId="0" applyNumberFormat="1" applyFont="1" applyBorder="1" applyAlignment="1">
      <alignment horizontal="right" vertical="center"/>
    </xf>
    <xf numFmtId="41" fontId="53" fillId="0" borderId="0" xfId="0" applyNumberFormat="1" applyFont="1" applyAlignment="1">
      <alignment vertical="center"/>
    </xf>
    <xf numFmtId="0" fontId="59" fillId="2" borderId="0" xfId="0" applyFont="1" applyFill="1" applyAlignment="1">
      <alignment horizontal="left" vertical="center"/>
    </xf>
    <xf numFmtId="0" fontId="52" fillId="2" borderId="0" xfId="7" applyFont="1" applyFill="1" applyAlignment="1">
      <alignment vertical="center"/>
    </xf>
    <xf numFmtId="0" fontId="52" fillId="4" borderId="0" xfId="7" applyFont="1" applyFill="1" applyAlignment="1">
      <alignment vertical="center"/>
    </xf>
    <xf numFmtId="175" fontId="52" fillId="2" borderId="0" xfId="7" applyNumberFormat="1" applyFont="1" applyFill="1" applyAlignment="1">
      <alignment vertical="center"/>
    </xf>
    <xf numFmtId="43" fontId="53" fillId="2" borderId="63" xfId="1" applyFont="1" applyFill="1" applyBorder="1" applyAlignment="1" applyProtection="1">
      <alignment horizontal="center" vertical="center"/>
    </xf>
    <xf numFmtId="41" fontId="56" fillId="0" borderId="0" xfId="2" applyFont="1" applyFill="1" applyBorder="1" applyAlignment="1" applyProtection="1">
      <alignment horizontal="right" vertical="center"/>
    </xf>
    <xf numFmtId="3" fontId="53" fillId="0" borderId="37" xfId="0" applyNumberFormat="1" applyFont="1" applyBorder="1" applyAlignment="1">
      <alignment horizontal="center" vertical="center"/>
    </xf>
    <xf numFmtId="166" fontId="53" fillId="2" borderId="67" xfId="1" applyNumberFormat="1" applyFont="1" applyFill="1" applyBorder="1" applyAlignment="1" applyProtection="1">
      <alignment horizontal="center" vertical="center"/>
    </xf>
    <xf numFmtId="2" fontId="53" fillId="0" borderId="0" xfId="0" applyNumberFormat="1" applyFont="1" applyAlignment="1">
      <alignment horizontal="right" vertical="center"/>
    </xf>
    <xf numFmtId="173" fontId="53" fillId="0" borderId="22" xfId="1" applyNumberFormat="1" applyFont="1" applyFill="1" applyBorder="1" applyAlignment="1">
      <alignment horizontal="center" vertical="center"/>
    </xf>
    <xf numFmtId="41" fontId="53" fillId="0" borderId="23" xfId="1" applyNumberFormat="1" applyFont="1" applyFill="1" applyBorder="1" applyAlignment="1">
      <alignment horizontal="left" vertical="center"/>
    </xf>
    <xf numFmtId="173" fontId="53" fillId="2" borderId="44" xfId="1" applyNumberFormat="1" applyFont="1" applyFill="1" applyBorder="1" applyAlignment="1" applyProtection="1">
      <alignment horizontal="center" vertical="center"/>
    </xf>
    <xf numFmtId="173" fontId="53" fillId="0" borderId="22" xfId="1" applyNumberFormat="1" applyFont="1" applyFill="1" applyBorder="1" applyAlignment="1">
      <alignment horizontal="left" vertical="center"/>
    </xf>
    <xf numFmtId="43" fontId="53" fillId="0" borderId="4" xfId="1" applyFont="1" applyFill="1" applyBorder="1" applyAlignment="1">
      <alignment vertical="center"/>
    </xf>
    <xf numFmtId="43" fontId="53" fillId="0" borderId="23" xfId="1" applyFont="1" applyFill="1" applyBorder="1" applyAlignment="1">
      <alignment vertical="center"/>
    </xf>
    <xf numFmtId="43" fontId="53" fillId="0" borderId="95" xfId="1" applyFont="1" applyFill="1" applyBorder="1" applyAlignment="1">
      <alignment horizontal="left" vertical="center"/>
    </xf>
    <xf numFmtId="43" fontId="53" fillId="0" borderId="20" xfId="1" applyFont="1" applyFill="1" applyBorder="1" applyAlignment="1">
      <alignment horizontal="left" vertical="center"/>
    </xf>
    <xf numFmtId="43" fontId="53" fillId="0" borderId="45" xfId="1" applyFont="1" applyFill="1" applyBorder="1" applyAlignment="1" applyProtection="1">
      <alignment horizontal="left" vertical="center"/>
    </xf>
    <xf numFmtId="43" fontId="53" fillId="0" borderId="87" xfId="1" applyFont="1" applyFill="1" applyBorder="1" applyAlignment="1" applyProtection="1">
      <alignment horizontal="left" vertical="center"/>
    </xf>
    <xf numFmtId="0" fontId="68" fillId="0" borderId="0" xfId="7" applyFont="1" applyAlignment="1">
      <alignment vertical="center"/>
    </xf>
    <xf numFmtId="0" fontId="54" fillId="2" borderId="0" xfId="0" applyFont="1" applyFill="1" applyAlignment="1">
      <alignment vertical="center" wrapText="1"/>
    </xf>
    <xf numFmtId="0" fontId="54" fillId="2" borderId="0" xfId="0" applyFont="1" applyFill="1" applyAlignment="1">
      <alignment horizontal="center" vertical="center" wrapText="1"/>
    </xf>
    <xf numFmtId="167" fontId="54" fillId="0" borderId="15" xfId="0" applyNumberFormat="1" applyFont="1" applyBorder="1" applyAlignment="1">
      <alignment horizontal="center" vertical="center"/>
    </xf>
    <xf numFmtId="166" fontId="54" fillId="2" borderId="15" xfId="9" applyNumberFormat="1" applyFont="1" applyFill="1" applyBorder="1" applyAlignment="1">
      <alignment horizontal="center" vertical="center"/>
    </xf>
    <xf numFmtId="41" fontId="54" fillId="2" borderId="15" xfId="1" applyNumberFormat="1" applyFont="1" applyFill="1" applyBorder="1" applyAlignment="1">
      <alignment horizontal="center" vertical="center"/>
    </xf>
    <xf numFmtId="174" fontId="54" fillId="0" borderId="15" xfId="1" applyNumberFormat="1" applyFont="1" applyFill="1" applyBorder="1" applyAlignment="1">
      <alignment horizontal="center" vertical="center"/>
    </xf>
    <xf numFmtId="166" fontId="54" fillId="2" borderId="15" xfId="1" applyNumberFormat="1" applyFont="1" applyFill="1" applyBorder="1" applyAlignment="1">
      <alignment horizontal="center" vertical="center"/>
    </xf>
    <xf numFmtId="9" fontId="54" fillId="0" borderId="15" xfId="3" applyFont="1" applyFill="1" applyBorder="1" applyAlignment="1">
      <alignment horizontal="center" vertical="center"/>
    </xf>
    <xf numFmtId="43" fontId="54" fillId="2" borderId="15" xfId="1" applyFont="1" applyFill="1" applyBorder="1" applyAlignment="1" applyProtection="1">
      <alignment horizontal="center" vertical="center"/>
    </xf>
    <xf numFmtId="4" fontId="54" fillId="0" borderId="15" xfId="2" applyNumberFormat="1" applyFont="1" applyFill="1" applyBorder="1" applyAlignment="1">
      <alignment horizontal="center" vertical="center"/>
    </xf>
    <xf numFmtId="166" fontId="54" fillId="2" borderId="15" xfId="2" applyNumberFormat="1" applyFont="1" applyFill="1" applyBorder="1" applyAlignment="1">
      <alignment horizontal="center" vertical="center"/>
    </xf>
    <xf numFmtId="166" fontId="54" fillId="2" borderId="15" xfId="0" applyNumberFormat="1" applyFont="1" applyFill="1" applyBorder="1" applyAlignment="1">
      <alignment horizontal="center" vertical="center"/>
    </xf>
    <xf numFmtId="4" fontId="54" fillId="0" borderId="15" xfId="0" applyNumberFormat="1" applyFont="1" applyBorder="1" applyAlignment="1">
      <alignment horizontal="center" vertical="center"/>
    </xf>
    <xf numFmtId="0" fontId="54" fillId="2" borderId="0" xfId="0" applyFont="1" applyFill="1" applyAlignment="1">
      <alignment horizontal="center" vertical="center"/>
    </xf>
    <xf numFmtId="41" fontId="54" fillId="2" borderId="15" xfId="1" applyNumberFormat="1" applyFont="1" applyFill="1" applyBorder="1" applyAlignment="1">
      <alignment horizontal="left" vertical="center"/>
    </xf>
    <xf numFmtId="174" fontId="54" fillId="2" borderId="15" xfId="1" applyNumberFormat="1" applyFont="1" applyFill="1" applyBorder="1" applyAlignment="1">
      <alignment horizontal="center" vertical="center"/>
    </xf>
    <xf numFmtId="4" fontId="54" fillId="2" borderId="15" xfId="3" applyNumberFormat="1" applyFont="1" applyFill="1" applyBorder="1" applyAlignment="1">
      <alignment horizontal="center" vertical="center"/>
    </xf>
    <xf numFmtId="4" fontId="54" fillId="2" borderId="15" xfId="0" applyNumberFormat="1" applyFont="1" applyFill="1" applyBorder="1" applyAlignment="1">
      <alignment horizontal="center" vertical="center"/>
    </xf>
    <xf numFmtId="166" fontId="54" fillId="2" borderId="55" xfId="1" applyNumberFormat="1" applyFont="1" applyFill="1" applyBorder="1" applyAlignment="1" applyProtection="1">
      <alignment horizontal="center" vertical="center"/>
    </xf>
    <xf numFmtId="43" fontId="54" fillId="2" borderId="0" xfId="1" applyFont="1" applyFill="1" applyBorder="1" applyAlignment="1" applyProtection="1">
      <alignment horizontal="center" vertical="center"/>
    </xf>
    <xf numFmtId="41" fontId="54" fillId="2" borderId="11" xfId="2" applyFont="1" applyFill="1" applyBorder="1" applyAlignment="1" applyProtection="1">
      <alignment horizontal="center" vertical="center"/>
    </xf>
    <xf numFmtId="4" fontId="54" fillId="2" borderId="0" xfId="0" applyNumberFormat="1" applyFont="1" applyFill="1" applyAlignment="1">
      <alignment horizontal="center" vertical="center"/>
    </xf>
    <xf numFmtId="166" fontId="54" fillId="2" borderId="0" xfId="0" applyNumberFormat="1" applyFont="1" applyFill="1" applyAlignment="1">
      <alignment horizontal="center" vertical="center"/>
    </xf>
    <xf numFmtId="169" fontId="54" fillId="2" borderId="15" xfId="1" applyNumberFormat="1" applyFont="1" applyFill="1" applyBorder="1" applyAlignment="1" applyProtection="1">
      <alignment horizontal="center" vertical="center"/>
    </xf>
    <xf numFmtId="173" fontId="53" fillId="0" borderId="88" xfId="1" applyNumberFormat="1" applyFont="1" applyFill="1" applyBorder="1" applyAlignment="1">
      <alignment horizontal="center" vertical="center"/>
    </xf>
    <xf numFmtId="41" fontId="53" fillId="0" borderId="89" xfId="1" applyNumberFormat="1" applyFont="1" applyFill="1" applyBorder="1" applyAlignment="1">
      <alignment horizontal="left" vertical="center"/>
    </xf>
    <xf numFmtId="173" fontId="53" fillId="0" borderId="88" xfId="1" applyNumberFormat="1" applyFont="1" applyFill="1" applyBorder="1" applyAlignment="1">
      <alignment horizontal="left" vertical="center"/>
    </xf>
    <xf numFmtId="173" fontId="53" fillId="2" borderId="0" xfId="1" applyNumberFormat="1" applyFont="1" applyFill="1" applyBorder="1" applyAlignment="1" applyProtection="1">
      <alignment horizontal="center" vertical="center"/>
    </xf>
    <xf numFmtId="3" fontId="53" fillId="0" borderId="63" xfId="0" applyNumberFormat="1" applyFont="1" applyBorder="1" applyAlignment="1">
      <alignment horizontal="center" vertical="center"/>
    </xf>
    <xf numFmtId="164" fontId="53" fillId="2" borderId="0" xfId="0" applyNumberFormat="1" applyFont="1" applyFill="1" applyAlignment="1">
      <alignment horizontal="center" vertical="center"/>
    </xf>
    <xf numFmtId="0" fontId="53" fillId="0" borderId="12" xfId="0" applyFont="1" applyBorder="1" applyAlignment="1">
      <alignment horizontal="center" vertical="center"/>
    </xf>
    <xf numFmtId="0" fontId="53" fillId="0" borderId="35" xfId="0" applyFont="1" applyBorder="1" applyAlignment="1">
      <alignment horizontal="center" vertical="center"/>
    </xf>
    <xf numFmtId="0" fontId="53" fillId="0" borderId="29" xfId="0" applyFont="1" applyBorder="1" applyAlignment="1">
      <alignment horizontal="center" vertical="center"/>
    </xf>
    <xf numFmtId="20" fontId="53" fillId="0" borderId="0" xfId="1" applyNumberFormat="1" applyFont="1" applyFill="1" applyBorder="1" applyAlignment="1" applyProtection="1">
      <alignment horizontal="center" vertical="center"/>
    </xf>
    <xf numFmtId="180" fontId="53" fillId="0" borderId="0" xfId="1" applyNumberFormat="1" applyFont="1" applyFill="1" applyBorder="1" applyAlignment="1" applyProtection="1">
      <alignment horizontal="center" vertical="center"/>
    </xf>
    <xf numFmtId="43" fontId="57" fillId="2" borderId="0" xfId="1" applyFont="1" applyFill="1" applyBorder="1" applyAlignment="1" applyProtection="1">
      <alignment horizontal="center" vertical="center"/>
    </xf>
    <xf numFmtId="0" fontId="53" fillId="2" borderId="13" xfId="0" applyFont="1" applyFill="1" applyBorder="1" applyAlignment="1">
      <alignment vertical="center"/>
    </xf>
    <xf numFmtId="43" fontId="53" fillId="0" borderId="0" xfId="1" applyFont="1" applyFill="1" applyBorder="1" applyAlignment="1" applyProtection="1">
      <alignment vertical="center"/>
    </xf>
    <xf numFmtId="2" fontId="53" fillId="2" borderId="11" xfId="0" applyNumberFormat="1" applyFont="1" applyFill="1" applyBorder="1" applyAlignment="1">
      <alignment horizontal="center" vertical="center"/>
    </xf>
    <xf numFmtId="166" fontId="57" fillId="0" borderId="0" xfId="1" applyNumberFormat="1" applyFont="1" applyFill="1" applyBorder="1" applyAlignment="1" applyProtection="1">
      <alignment horizontal="center" vertical="center"/>
    </xf>
    <xf numFmtId="167" fontId="54" fillId="0" borderId="63" xfId="0" applyNumberFormat="1" applyFont="1" applyBorder="1" applyAlignment="1">
      <alignment horizontal="center" vertical="center"/>
    </xf>
    <xf numFmtId="3" fontId="54" fillId="0" borderId="63" xfId="0" applyNumberFormat="1" applyFont="1" applyBorder="1" applyAlignment="1">
      <alignment horizontal="center" vertical="center"/>
    </xf>
    <xf numFmtId="166" fontId="54" fillId="0" borderId="63" xfId="1" applyNumberFormat="1" applyFont="1" applyFill="1" applyBorder="1" applyAlignment="1">
      <alignment horizontal="center" vertical="center"/>
    </xf>
    <xf numFmtId="43" fontId="54" fillId="0" borderId="11" xfId="1" applyFont="1" applyFill="1" applyBorder="1" applyAlignment="1">
      <alignment horizontal="center" vertical="center"/>
    </xf>
    <xf numFmtId="168" fontId="54" fillId="0" borderId="11" xfId="0" applyNumberFormat="1" applyFont="1" applyBorder="1" applyAlignment="1">
      <alignment horizontal="center" vertical="center"/>
    </xf>
    <xf numFmtId="173" fontId="54" fillId="2" borderId="25" xfId="1" applyNumberFormat="1" applyFont="1" applyFill="1" applyBorder="1" applyAlignment="1">
      <alignment horizontal="center" vertical="center"/>
    </xf>
    <xf numFmtId="41" fontId="54" fillId="2" borderId="20" xfId="1" applyNumberFormat="1" applyFont="1" applyFill="1" applyBorder="1" applyAlignment="1">
      <alignment horizontal="left" vertical="center"/>
    </xf>
    <xf numFmtId="173" fontId="54" fillId="2" borderId="25" xfId="1" applyNumberFormat="1" applyFont="1" applyFill="1" applyBorder="1" applyAlignment="1">
      <alignment horizontal="left" vertical="center"/>
    </xf>
    <xf numFmtId="43" fontId="54" fillId="2" borderId="11" xfId="1" applyFont="1" applyFill="1" applyBorder="1" applyAlignment="1" applyProtection="1">
      <alignment horizontal="center" vertical="center"/>
    </xf>
    <xf numFmtId="3" fontId="54" fillId="2" borderId="11" xfId="2" applyNumberFormat="1" applyFont="1" applyFill="1" applyBorder="1" applyAlignment="1">
      <alignment horizontal="right" vertical="center"/>
    </xf>
    <xf numFmtId="168" fontId="54" fillId="0" borderId="15" xfId="0" applyNumberFormat="1" applyFont="1" applyBorder="1" applyAlignment="1">
      <alignment horizontal="center" vertical="center"/>
    </xf>
    <xf numFmtId="167" fontId="54" fillId="2" borderId="63" xfId="0" applyNumberFormat="1" applyFont="1" applyFill="1" applyBorder="1" applyAlignment="1">
      <alignment horizontal="center" vertical="center"/>
    </xf>
    <xf numFmtId="3" fontId="54" fillId="2" borderId="11" xfId="0" applyNumberFormat="1" applyFont="1" applyFill="1" applyBorder="1" applyAlignment="1">
      <alignment horizontal="center" vertical="center"/>
    </xf>
    <xf numFmtId="166" fontId="54" fillId="2" borderId="11" xfId="0" applyNumberFormat="1" applyFont="1" applyFill="1" applyBorder="1" applyAlignment="1">
      <alignment horizontal="center" vertical="center"/>
    </xf>
    <xf numFmtId="4" fontId="54" fillId="2" borderId="63" xfId="0" applyNumberFormat="1" applyFont="1" applyFill="1" applyBorder="1" applyAlignment="1">
      <alignment horizontal="center" vertical="center"/>
    </xf>
    <xf numFmtId="166" fontId="54" fillId="2" borderId="0" xfId="1" applyNumberFormat="1" applyFont="1" applyFill="1" applyBorder="1" applyAlignment="1" applyProtection="1">
      <alignment horizontal="center" vertical="center"/>
    </xf>
    <xf numFmtId="166" fontId="54" fillId="2" borderId="79" xfId="1" applyNumberFormat="1" applyFont="1" applyFill="1" applyBorder="1" applyAlignment="1" applyProtection="1">
      <alignment horizontal="center" vertical="center"/>
    </xf>
    <xf numFmtId="173" fontId="54" fillId="2" borderId="36" xfId="1" applyNumberFormat="1" applyFont="1" applyFill="1" applyBorder="1" applyAlignment="1">
      <alignment horizontal="center" vertical="center"/>
    </xf>
    <xf numFmtId="173" fontId="54" fillId="2" borderId="36" xfId="1" applyNumberFormat="1" applyFont="1" applyFill="1" applyBorder="1" applyAlignment="1">
      <alignment horizontal="left" vertical="center"/>
    </xf>
    <xf numFmtId="43" fontId="54" fillId="2" borderId="14" xfId="1" applyFont="1" applyFill="1" applyBorder="1" applyAlignment="1" applyProtection="1">
      <alignment horizontal="center" vertical="center"/>
    </xf>
    <xf numFmtId="43" fontId="54" fillId="2" borderId="14" xfId="1" applyFont="1" applyFill="1" applyBorder="1" applyAlignment="1">
      <alignment horizontal="center" vertical="center"/>
    </xf>
    <xf numFmtId="3" fontId="53" fillId="0" borderId="11" xfId="0" applyNumberFormat="1" applyFont="1" applyBorder="1" applyAlignment="1">
      <alignment horizontal="center" vertical="center"/>
    </xf>
    <xf numFmtId="173" fontId="53" fillId="0" borderId="25" xfId="1" applyNumberFormat="1" applyFont="1" applyFill="1" applyBorder="1" applyAlignment="1">
      <alignment horizontal="center" vertical="center"/>
    </xf>
    <xf numFmtId="41" fontId="53" fillId="0" borderId="20" xfId="1" applyNumberFormat="1" applyFont="1" applyFill="1" applyBorder="1" applyAlignment="1">
      <alignment horizontal="left" vertical="center"/>
    </xf>
    <xf numFmtId="173" fontId="53" fillId="0" borderId="25" xfId="1" applyNumberFormat="1" applyFont="1" applyFill="1" applyBorder="1" applyAlignment="1">
      <alignment horizontal="left" vertical="center"/>
    </xf>
    <xf numFmtId="3" fontId="53" fillId="0" borderId="11" xfId="3" applyNumberFormat="1" applyFont="1" applyFill="1" applyBorder="1" applyAlignment="1">
      <alignment horizontal="center" vertical="center"/>
    </xf>
    <xf numFmtId="3" fontId="53" fillId="0" borderId="11" xfId="2" applyNumberFormat="1" applyFont="1" applyFill="1" applyBorder="1" applyAlignment="1">
      <alignment horizontal="right" vertical="center"/>
    </xf>
    <xf numFmtId="164" fontId="53" fillId="0" borderId="11" xfId="0" applyNumberFormat="1" applyFont="1" applyBorder="1" applyAlignment="1">
      <alignment horizontal="right" vertical="center"/>
    </xf>
    <xf numFmtId="166" fontId="53" fillId="0" borderId="55" xfId="1" applyNumberFormat="1" applyFont="1" applyFill="1" applyBorder="1" applyAlignment="1" applyProtection="1">
      <alignment horizontal="center" vertical="center"/>
    </xf>
    <xf numFmtId="167" fontId="60" fillId="0" borderId="15" xfId="0" applyNumberFormat="1" applyFont="1" applyBorder="1" applyAlignment="1">
      <alignment horizontal="center" vertical="center"/>
    </xf>
    <xf numFmtId="166" fontId="53" fillId="0" borderId="11" xfId="0" applyNumberFormat="1" applyFont="1" applyBorder="1" applyAlignment="1">
      <alignment horizontal="right" vertical="center"/>
    </xf>
    <xf numFmtId="168" fontId="53" fillId="0" borderId="11" xfId="0" applyNumberFormat="1" applyFont="1" applyBorder="1" applyAlignment="1">
      <alignment horizontal="center" vertical="center"/>
    </xf>
    <xf numFmtId="165" fontId="53" fillId="0" borderId="0" xfId="0" applyNumberFormat="1" applyFont="1" applyAlignment="1">
      <alignment horizontal="center" vertical="center"/>
    </xf>
    <xf numFmtId="172" fontId="53" fillId="0" borderId="0" xfId="2" applyNumberFormat="1" applyFont="1" applyFill="1" applyBorder="1" applyAlignment="1" applyProtection="1">
      <alignment horizontal="center" vertical="center"/>
    </xf>
    <xf numFmtId="167" fontId="61" fillId="0" borderId="63" xfId="0" applyNumberFormat="1" applyFont="1" applyBorder="1" applyAlignment="1">
      <alignment horizontal="center" vertical="center"/>
    </xf>
    <xf numFmtId="3" fontId="61" fillId="0" borderId="63" xfId="0" applyNumberFormat="1" applyFont="1" applyBorder="1" applyAlignment="1">
      <alignment horizontal="center" vertical="center"/>
    </xf>
    <xf numFmtId="3" fontId="61" fillId="0" borderId="11" xfId="0" applyNumberFormat="1" applyFont="1" applyBorder="1" applyAlignment="1">
      <alignment horizontal="center" vertical="center"/>
    </xf>
    <xf numFmtId="173" fontId="61" fillId="2" borderId="25" xfId="1" applyNumberFormat="1" applyFont="1" applyFill="1" applyBorder="1" applyAlignment="1">
      <alignment horizontal="center" vertical="center"/>
    </xf>
    <xf numFmtId="41" fontId="61" fillId="2" borderId="20" xfId="1" applyNumberFormat="1" applyFont="1" applyFill="1" applyBorder="1" applyAlignment="1">
      <alignment horizontal="left" vertical="center"/>
    </xf>
    <xf numFmtId="173" fontId="61" fillId="2" borderId="25" xfId="1" applyNumberFormat="1" applyFont="1" applyFill="1" applyBorder="1" applyAlignment="1">
      <alignment horizontal="left" vertical="center"/>
    </xf>
    <xf numFmtId="166" fontId="61" fillId="0" borderId="63" xfId="1" applyNumberFormat="1" applyFont="1" applyFill="1" applyBorder="1" applyAlignment="1">
      <alignment horizontal="center" vertical="center"/>
    </xf>
    <xf numFmtId="3" fontId="61" fillId="2" borderId="11" xfId="2" applyNumberFormat="1" applyFont="1" applyFill="1" applyBorder="1" applyAlignment="1">
      <alignment horizontal="right" vertical="center"/>
    </xf>
    <xf numFmtId="4" fontId="61" fillId="0" borderId="63" xfId="0" applyNumberFormat="1" applyFont="1" applyBorder="1" applyAlignment="1">
      <alignment horizontal="center" vertical="center"/>
    </xf>
    <xf numFmtId="168" fontId="61" fillId="0" borderId="11" xfId="0" applyNumberFormat="1" applyFont="1" applyBorder="1" applyAlignment="1">
      <alignment horizontal="center" vertical="center"/>
    </xf>
    <xf numFmtId="172" fontId="61" fillId="2" borderId="0" xfId="2" applyNumberFormat="1" applyFont="1" applyFill="1" applyBorder="1" applyAlignment="1" applyProtection="1">
      <alignment horizontal="center" vertical="center"/>
    </xf>
    <xf numFmtId="173" fontId="61" fillId="0" borderId="25" xfId="1" applyNumberFormat="1" applyFont="1" applyFill="1" applyBorder="1" applyAlignment="1">
      <alignment horizontal="center" vertical="center"/>
    </xf>
    <xf numFmtId="41" fontId="61" fillId="0" borderId="20" xfId="1" applyNumberFormat="1" applyFont="1" applyFill="1" applyBorder="1" applyAlignment="1">
      <alignment horizontal="left" vertical="center"/>
    </xf>
    <xf numFmtId="173" fontId="61" fillId="0" borderId="25" xfId="1" applyNumberFormat="1" applyFont="1" applyFill="1" applyBorder="1" applyAlignment="1">
      <alignment horizontal="left" vertical="center"/>
    </xf>
    <xf numFmtId="166" fontId="61" fillId="0" borderId="11" xfId="1" applyNumberFormat="1" applyFont="1" applyFill="1" applyBorder="1" applyAlignment="1">
      <alignment horizontal="center" vertical="center"/>
    </xf>
    <xf numFmtId="9" fontId="61" fillId="0" borderId="11" xfId="3" applyFont="1" applyFill="1" applyBorder="1" applyAlignment="1">
      <alignment horizontal="center" vertical="center"/>
    </xf>
    <xf numFmtId="3" fontId="61" fillId="0" borderId="11" xfId="3" applyNumberFormat="1" applyFont="1" applyFill="1" applyBorder="1" applyAlignment="1">
      <alignment horizontal="center" vertical="center"/>
    </xf>
    <xf numFmtId="43" fontId="61" fillId="0" borderId="11" xfId="1" applyFont="1" applyFill="1" applyBorder="1" applyAlignment="1" applyProtection="1">
      <alignment horizontal="center" vertical="center"/>
    </xf>
    <xf numFmtId="3" fontId="61" fillId="0" borderId="11" xfId="2" applyNumberFormat="1" applyFont="1" applyFill="1" applyBorder="1" applyAlignment="1">
      <alignment horizontal="right" vertical="center"/>
    </xf>
    <xf numFmtId="43" fontId="61" fillId="0" borderId="11" xfId="1" applyFont="1" applyFill="1" applyBorder="1" applyAlignment="1">
      <alignment horizontal="center" vertical="center"/>
    </xf>
    <xf numFmtId="166" fontId="61" fillId="0" borderId="11" xfId="0" applyNumberFormat="1" applyFont="1" applyBorder="1" applyAlignment="1">
      <alignment horizontal="right" vertical="center"/>
    </xf>
    <xf numFmtId="4" fontId="61" fillId="0" borderId="11" xfId="0" applyNumberFormat="1" applyFont="1" applyBorder="1" applyAlignment="1">
      <alignment horizontal="center" vertical="center"/>
    </xf>
    <xf numFmtId="166" fontId="61" fillId="0" borderId="55" xfId="1" applyNumberFormat="1" applyFont="1" applyFill="1" applyBorder="1" applyAlignment="1" applyProtection="1">
      <alignment horizontal="center" vertical="center"/>
    </xf>
    <xf numFmtId="172" fontId="61" fillId="0" borderId="0" xfId="2" applyNumberFormat="1" applyFont="1" applyFill="1" applyBorder="1" applyAlignment="1" applyProtection="1">
      <alignment horizontal="center" vertical="center"/>
    </xf>
    <xf numFmtId="41" fontId="61" fillId="0" borderId="11" xfId="2" applyFont="1" applyFill="1" applyBorder="1" applyAlignment="1" applyProtection="1">
      <alignment horizontal="center" vertical="center"/>
    </xf>
    <xf numFmtId="0" fontId="61" fillId="0" borderId="0" xfId="0" applyFont="1" applyAlignment="1">
      <alignment horizontal="center" vertical="center"/>
    </xf>
    <xf numFmtId="4" fontId="61" fillId="0" borderId="0" xfId="0" applyNumberFormat="1" applyFont="1" applyAlignment="1">
      <alignment horizontal="center" vertical="center"/>
    </xf>
    <xf numFmtId="166" fontId="61" fillId="0" borderId="0" xfId="0" applyNumberFormat="1" applyFont="1" applyAlignment="1">
      <alignment horizontal="center" vertical="center"/>
    </xf>
    <xf numFmtId="166" fontId="53" fillId="0" borderId="0" xfId="0" applyNumberFormat="1" applyFont="1" applyAlignment="1">
      <alignment horizontal="center" vertical="center"/>
    </xf>
    <xf numFmtId="166" fontId="53" fillId="0" borderId="0" xfId="1" applyNumberFormat="1" applyFont="1" applyFill="1" applyBorder="1" applyAlignment="1" applyProtection="1">
      <alignment horizontal="center" vertical="center"/>
    </xf>
    <xf numFmtId="0" fontId="53" fillId="10" borderId="26" xfId="0" applyFont="1" applyFill="1" applyBorder="1" applyAlignment="1">
      <alignment horizontal="center" vertical="center" wrapText="1"/>
    </xf>
    <xf numFmtId="43" fontId="53" fillId="10" borderId="26" xfId="1" applyFont="1" applyFill="1" applyBorder="1" applyAlignment="1">
      <alignment horizontal="center" vertical="center" wrapText="1"/>
    </xf>
    <xf numFmtId="43" fontId="53" fillId="10" borderId="63" xfId="1" applyFont="1" applyFill="1" applyBorder="1" applyAlignment="1" applyProtection="1">
      <alignment horizontal="center" vertical="center"/>
    </xf>
    <xf numFmtId="43" fontId="53" fillId="0" borderId="11" xfId="1" applyFont="1" applyFill="1" applyBorder="1" applyAlignment="1" applyProtection="1">
      <alignment horizontal="center" vertical="center"/>
    </xf>
    <xf numFmtId="166" fontId="53" fillId="0" borderId="0" xfId="0" applyNumberFormat="1" applyFont="1" applyAlignment="1">
      <alignment horizontal="center" vertical="center"/>
    </xf>
    <xf numFmtId="166" fontId="53" fillId="0" borderId="0" xfId="1" applyNumberFormat="1" applyFont="1" applyFill="1" applyBorder="1" applyAlignment="1" applyProtection="1">
      <alignment horizontal="center" vertical="center"/>
    </xf>
    <xf numFmtId="43" fontId="53" fillId="0" borderId="11" xfId="1" applyFont="1" applyFill="1" applyBorder="1" applyAlignment="1">
      <alignment horizontal="center" vertical="center"/>
    </xf>
    <xf numFmtId="4" fontId="53" fillId="0" borderId="11" xfId="0" applyNumberFormat="1" applyFont="1" applyBorder="1" applyAlignment="1">
      <alignment horizontal="center" vertical="center"/>
    </xf>
    <xf numFmtId="166" fontId="53" fillId="2" borderId="0" xfId="1" applyNumberFormat="1" applyFont="1" applyFill="1" applyBorder="1" applyAlignment="1" applyProtection="1">
      <alignment horizontal="center" vertical="center"/>
    </xf>
    <xf numFmtId="9" fontId="53" fillId="0" borderId="11" xfId="3" applyFont="1" applyFill="1" applyBorder="1" applyAlignment="1">
      <alignment horizontal="center" vertical="center"/>
    </xf>
    <xf numFmtId="166" fontId="53" fillId="0" borderId="11" xfId="0" applyNumberFormat="1" applyFont="1" applyBorder="1" applyAlignment="1">
      <alignment horizontal="center" vertical="center"/>
    </xf>
    <xf numFmtId="0" fontId="53" fillId="2" borderId="0" xfId="0" applyFont="1" applyFill="1" applyAlignment="1">
      <alignment horizontal="center" vertical="center"/>
    </xf>
    <xf numFmtId="0" fontId="53" fillId="2" borderId="0" xfId="0" applyFont="1" applyFill="1" applyAlignment="1">
      <alignment horizontal="center"/>
    </xf>
    <xf numFmtId="0" fontId="59" fillId="2" borderId="0" xfId="0" applyFont="1" applyFill="1" applyAlignment="1">
      <alignment horizontal="center" vertical="center"/>
    </xf>
    <xf numFmtId="166" fontId="53" fillId="0" borderId="0" xfId="0" applyNumberFormat="1" applyFont="1" applyAlignment="1">
      <alignment horizontal="center" vertical="center"/>
    </xf>
    <xf numFmtId="166" fontId="53" fillId="0" borderId="0" xfId="1" applyNumberFormat="1" applyFont="1" applyFill="1" applyBorder="1" applyAlignment="1" applyProtection="1">
      <alignment horizontal="center" vertical="center"/>
    </xf>
    <xf numFmtId="9" fontId="53" fillId="2" borderId="0" xfId="0" applyNumberFormat="1" applyFont="1" applyFill="1" applyAlignment="1">
      <alignment horizontal="center" vertical="center"/>
    </xf>
    <xf numFmtId="41" fontId="54" fillId="2" borderId="14" xfId="1" applyNumberFormat="1" applyFont="1" applyFill="1" applyBorder="1" applyAlignment="1" applyProtection="1">
      <alignment horizontal="center" vertical="center"/>
    </xf>
    <xf numFmtId="3" fontId="53" fillId="2" borderId="0" xfId="0" applyNumberFormat="1" applyFont="1" applyFill="1" applyAlignment="1">
      <alignment horizontal="center" vertical="center"/>
    </xf>
    <xf numFmtId="41" fontId="54" fillId="2" borderId="14" xfId="1" applyNumberFormat="1" applyFont="1" applyFill="1" applyBorder="1" applyAlignment="1">
      <alignment horizontal="center" vertical="center"/>
    </xf>
    <xf numFmtId="43" fontId="53" fillId="2" borderId="36" xfId="1" applyFont="1" applyFill="1" applyBorder="1" applyAlignment="1">
      <alignment horizontal="center" vertical="center"/>
    </xf>
    <xf numFmtId="43" fontId="53" fillId="2" borderId="27" xfId="1" applyFont="1" applyFill="1" applyBorder="1" applyAlignment="1" applyProtection="1">
      <alignment horizontal="left" vertical="center"/>
    </xf>
    <xf numFmtId="0" fontId="53" fillId="2" borderId="0" xfId="0" applyFont="1" applyFill="1" applyAlignment="1">
      <alignment vertical="center"/>
    </xf>
    <xf numFmtId="0" fontId="53" fillId="11" borderId="26" xfId="0" applyFont="1" applyFill="1" applyBorder="1" applyAlignment="1">
      <alignment horizontal="center" vertical="center" wrapText="1"/>
    </xf>
    <xf numFmtId="43" fontId="53" fillId="11" borderId="26" xfId="1" applyFont="1" applyFill="1" applyBorder="1" applyAlignment="1">
      <alignment horizontal="center" vertical="center" wrapText="1"/>
    </xf>
    <xf numFmtId="41" fontId="53" fillId="2" borderId="0" xfId="2" applyFont="1" applyFill="1" applyBorder="1" applyAlignment="1" applyProtection="1">
      <alignment horizontal="center" vertical="center"/>
    </xf>
    <xf numFmtId="166" fontId="53" fillId="2" borderId="63" xfId="2" applyNumberFormat="1" applyFont="1" applyFill="1" applyBorder="1" applyAlignment="1">
      <alignment horizontal="center" vertical="center"/>
    </xf>
    <xf numFmtId="164" fontId="54" fillId="2" borderId="11" xfId="0" applyNumberFormat="1" applyFont="1" applyFill="1" applyBorder="1" applyAlignment="1">
      <alignment vertical="center"/>
    </xf>
    <xf numFmtId="166" fontId="54" fillId="2" borderId="11" xfId="1" applyNumberFormat="1" applyFont="1" applyFill="1" applyBorder="1" applyAlignment="1">
      <alignment vertical="center"/>
    </xf>
    <xf numFmtId="166" fontId="54" fillId="2" borderId="11" xfId="2" applyNumberFormat="1" applyFont="1" applyFill="1" applyBorder="1" applyAlignment="1">
      <alignment horizontal="center" vertical="center"/>
    </xf>
    <xf numFmtId="166" fontId="54" fillId="2" borderId="14" xfId="2" applyNumberFormat="1" applyFont="1" applyFill="1" applyBorder="1" applyAlignment="1">
      <alignment horizontal="center" vertical="center"/>
    </xf>
    <xf numFmtId="166" fontId="53" fillId="2" borderId="0" xfId="0" applyNumberFormat="1" applyFont="1" applyFill="1" applyAlignment="1">
      <alignment vertical="center"/>
    </xf>
    <xf numFmtId="43" fontId="53" fillId="2" borderId="0" xfId="0" applyNumberFormat="1" applyFont="1" applyFill="1" applyAlignment="1">
      <alignment horizontal="center" vertical="center"/>
    </xf>
    <xf numFmtId="164" fontId="53" fillId="2" borderId="11" xfId="0" applyNumberFormat="1" applyFont="1" applyFill="1" applyBorder="1" applyAlignment="1">
      <alignment vertical="center"/>
    </xf>
    <xf numFmtId="43" fontId="26" fillId="0" borderId="25" xfId="0" applyNumberFormat="1" applyFont="1" applyBorder="1" applyAlignment="1">
      <alignment horizontal="center"/>
    </xf>
    <xf numFmtId="43" fontId="26" fillId="0" borderId="47" xfId="0" applyNumberFormat="1" applyFont="1" applyBorder="1" applyAlignment="1">
      <alignment horizontal="center"/>
    </xf>
    <xf numFmtId="43" fontId="26" fillId="0" borderId="20" xfId="0" applyNumberFormat="1" applyFont="1" applyBorder="1" applyAlignment="1">
      <alignment horizontal="center"/>
    </xf>
    <xf numFmtId="43" fontId="26" fillId="0" borderId="25" xfId="1" applyFont="1" applyFill="1" applyBorder="1" applyAlignment="1" applyProtection="1">
      <alignment horizontal="center"/>
    </xf>
    <xf numFmtId="43" fontId="26" fillId="0" borderId="47" xfId="1" applyFont="1" applyFill="1" applyBorder="1" applyAlignment="1" applyProtection="1">
      <alignment horizontal="center"/>
    </xf>
    <xf numFmtId="43" fontId="26" fillId="0" borderId="20" xfId="1" applyFont="1" applyFill="1" applyBorder="1" applyAlignment="1" applyProtection="1">
      <alignment horizontal="center"/>
    </xf>
    <xf numFmtId="166" fontId="36" fillId="0" borderId="22" xfId="0" applyNumberFormat="1" applyFont="1" applyBorder="1" applyAlignment="1">
      <alignment horizontal="center" vertical="center"/>
    </xf>
    <xf numFmtId="166" fontId="36" fillId="0" borderId="23" xfId="0" applyNumberFormat="1" applyFont="1" applyBorder="1" applyAlignment="1">
      <alignment horizontal="center" vertical="center"/>
    </xf>
    <xf numFmtId="43" fontId="36" fillId="0" borderId="25" xfId="0" applyNumberFormat="1" applyFont="1" applyBorder="1" applyAlignment="1">
      <alignment horizontal="center" vertical="center"/>
    </xf>
    <xf numFmtId="43" fontId="36" fillId="0" borderId="20" xfId="0" applyNumberFormat="1" applyFont="1" applyBorder="1" applyAlignment="1">
      <alignment horizontal="center" vertical="center"/>
    </xf>
    <xf numFmtId="43" fontId="36" fillId="0" borderId="36" xfId="0" applyNumberFormat="1" applyFont="1" applyBorder="1" applyAlignment="1">
      <alignment horizontal="center" vertical="center"/>
    </xf>
    <xf numFmtId="43" fontId="36" fillId="0" borderId="49" xfId="0" applyNumberFormat="1" applyFont="1" applyBorder="1" applyAlignment="1">
      <alignment horizontal="center" vertical="center"/>
    </xf>
    <xf numFmtId="43" fontId="24" fillId="0" borderId="22" xfId="1" applyFont="1" applyFill="1" applyBorder="1" applyAlignment="1">
      <alignment horizontal="center" vertical="center"/>
    </xf>
    <xf numFmtId="43" fontId="24" fillId="0" borderId="5" xfId="1" applyFont="1" applyFill="1" applyBorder="1" applyAlignment="1">
      <alignment horizontal="center" vertical="center"/>
    </xf>
    <xf numFmtId="43" fontId="24" fillId="0" borderId="23" xfId="1" applyFont="1" applyFill="1" applyBorder="1" applyAlignment="1">
      <alignment horizontal="center" vertical="center"/>
    </xf>
    <xf numFmtId="43" fontId="24" fillId="0" borderId="25" xfId="1" applyFont="1" applyFill="1" applyBorder="1" applyAlignment="1">
      <alignment horizontal="center" vertical="center"/>
    </xf>
    <xf numFmtId="43" fontId="24" fillId="0" borderId="47" xfId="1" applyFont="1" applyFill="1" applyBorder="1" applyAlignment="1">
      <alignment horizontal="center" vertical="center"/>
    </xf>
    <xf numFmtId="43" fontId="24" fillId="0" borderId="20" xfId="1" applyFont="1" applyFill="1" applyBorder="1" applyAlignment="1">
      <alignment horizontal="center" vertical="center"/>
    </xf>
    <xf numFmtId="43" fontId="24" fillId="0" borderId="25" xfId="1" applyFont="1" applyFill="1" applyBorder="1" applyAlignment="1" applyProtection="1">
      <alignment horizontal="center"/>
    </xf>
    <xf numFmtId="43" fontId="24" fillId="0" borderId="20" xfId="1" applyFont="1" applyFill="1" applyBorder="1" applyAlignment="1" applyProtection="1">
      <alignment horizontal="center"/>
    </xf>
    <xf numFmtId="0" fontId="24" fillId="0" borderId="14" xfId="0" applyFont="1" applyBorder="1" applyAlignment="1">
      <alignment horizontal="center" vertical="center" wrapText="1"/>
    </xf>
    <xf numFmtId="0" fontId="24" fillId="0" borderId="62" xfId="0" applyFont="1" applyBorder="1" applyAlignment="1">
      <alignment horizontal="center" vertical="center" wrapText="1"/>
    </xf>
    <xf numFmtId="0" fontId="24" fillId="0" borderId="63" xfId="0" applyFont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43" fontId="24" fillId="0" borderId="25" xfId="0" applyNumberFormat="1" applyFont="1" applyBorder="1" applyAlignment="1">
      <alignment horizontal="center" vertical="center"/>
    </xf>
    <xf numFmtId="43" fontId="24" fillId="0" borderId="20" xfId="0" applyNumberFormat="1" applyFont="1" applyBorder="1" applyAlignment="1">
      <alignment horizontal="center" vertical="center"/>
    </xf>
    <xf numFmtId="43" fontId="24" fillId="0" borderId="47" xfId="0" applyNumberFormat="1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 wrapText="1"/>
    </xf>
    <xf numFmtId="0" fontId="25" fillId="2" borderId="24" xfId="0" applyFont="1" applyFill="1" applyBorder="1" applyAlignment="1">
      <alignment horizontal="center" vertical="center" wrapText="1"/>
    </xf>
    <xf numFmtId="0" fontId="25" fillId="2" borderId="12" xfId="0" applyFont="1" applyFill="1" applyBorder="1" applyAlignment="1">
      <alignment horizontal="center" vertical="center" wrapText="1"/>
    </xf>
    <xf numFmtId="43" fontId="25" fillId="0" borderId="21" xfId="1" applyFont="1" applyFill="1" applyBorder="1" applyAlignment="1">
      <alignment horizontal="center" vertical="center" wrapText="1"/>
    </xf>
    <xf numFmtId="43" fontId="25" fillId="0" borderId="11" xfId="1" applyFont="1" applyFill="1" applyBorder="1" applyAlignment="1">
      <alignment horizontal="center" vertical="center" wrapText="1"/>
    </xf>
    <xf numFmtId="0" fontId="25" fillId="0" borderId="66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21" xfId="0" applyFont="1" applyBorder="1" applyAlignment="1">
      <alignment vertical="center" wrapText="1"/>
    </xf>
    <xf numFmtId="166" fontId="25" fillId="0" borderId="21" xfId="1" applyNumberFormat="1" applyFont="1" applyFill="1" applyBorder="1" applyAlignment="1">
      <alignment horizontal="center" vertical="center" wrapText="1"/>
    </xf>
    <xf numFmtId="166" fontId="25" fillId="0" borderId="11" xfId="1" applyNumberFormat="1" applyFont="1" applyFill="1" applyBorder="1" applyAlignment="1">
      <alignment horizontal="center" vertical="center" wrapText="1"/>
    </xf>
    <xf numFmtId="173" fontId="39" fillId="0" borderId="0" xfId="1" applyNumberFormat="1" applyFont="1" applyFill="1" applyBorder="1" applyAlignment="1" applyProtection="1">
      <alignment horizontal="center"/>
    </xf>
    <xf numFmtId="43" fontId="36" fillId="0" borderId="27" xfId="0" applyNumberFormat="1" applyFont="1" applyBorder="1" applyAlignment="1">
      <alignment horizontal="center"/>
    </xf>
    <xf numFmtId="43" fontId="36" fillId="0" borderId="28" xfId="0" applyNumberFormat="1" applyFont="1" applyBorder="1" applyAlignment="1">
      <alignment horizontal="center"/>
    </xf>
    <xf numFmtId="0" fontId="7" fillId="0" borderId="14" xfId="4" applyFont="1" applyBorder="1" applyAlignment="1">
      <alignment horizontal="center" vertical="center" wrapText="1"/>
    </xf>
    <xf numFmtId="0" fontId="7" fillId="0" borderId="46" xfId="4" applyFont="1" applyBorder="1" applyAlignment="1">
      <alignment horizontal="center" vertical="center" wrapText="1"/>
    </xf>
    <xf numFmtId="2" fontId="7" fillId="0" borderId="14" xfId="4" applyNumberFormat="1" applyFont="1" applyBorder="1" applyAlignment="1">
      <alignment horizontal="center" vertical="center" wrapText="1"/>
    </xf>
    <xf numFmtId="2" fontId="7" fillId="0" borderId="46" xfId="4" applyNumberFormat="1" applyFont="1" applyBorder="1" applyAlignment="1">
      <alignment horizontal="center" vertical="center" wrapText="1"/>
    </xf>
    <xf numFmtId="43" fontId="7" fillId="0" borderId="14" xfId="5" applyFont="1" applyFill="1" applyBorder="1" applyAlignment="1" applyProtection="1">
      <alignment horizontal="center" vertical="center" wrapText="1"/>
    </xf>
    <xf numFmtId="43" fontId="7" fillId="0" borderId="46" xfId="5" applyFont="1" applyFill="1" applyBorder="1" applyAlignment="1" applyProtection="1">
      <alignment horizontal="center" vertical="center" wrapText="1"/>
    </xf>
    <xf numFmtId="43" fontId="7" fillId="0" borderId="14" xfId="1" applyFont="1" applyFill="1" applyBorder="1" applyAlignment="1" applyProtection="1">
      <alignment horizontal="center" vertical="center" wrapText="1"/>
    </xf>
    <xf numFmtId="43" fontId="7" fillId="0" borderId="46" xfId="1" applyFont="1" applyFill="1" applyBorder="1" applyAlignment="1" applyProtection="1">
      <alignment horizontal="center" vertical="center" wrapText="1"/>
    </xf>
    <xf numFmtId="43" fontId="7" fillId="0" borderId="36" xfId="1" applyFont="1" applyFill="1" applyBorder="1" applyAlignment="1" applyProtection="1">
      <alignment horizontal="center" vertical="center" wrapText="1"/>
    </xf>
    <xf numFmtId="43" fontId="7" fillId="0" borderId="49" xfId="1" applyFont="1" applyFill="1" applyBorder="1" applyAlignment="1" applyProtection="1">
      <alignment horizontal="center" vertical="center" wrapText="1"/>
    </xf>
    <xf numFmtId="0" fontId="7" fillId="0" borderId="25" xfId="4" applyFont="1" applyBorder="1" applyAlignment="1">
      <alignment horizontal="center" vertical="center" wrapText="1"/>
    </xf>
    <xf numFmtId="0" fontId="7" fillId="0" borderId="47" xfId="4" applyFont="1" applyBorder="1" applyAlignment="1">
      <alignment horizontal="center" vertical="center" wrapText="1"/>
    </xf>
    <xf numFmtId="0" fontId="7" fillId="0" borderId="20" xfId="4" applyFont="1" applyBorder="1" applyAlignment="1">
      <alignment horizontal="center" vertical="center" wrapText="1"/>
    </xf>
    <xf numFmtId="2" fontId="8" fillId="0" borderId="37" xfId="4" applyNumberFormat="1" applyFont="1" applyBorder="1" applyAlignment="1">
      <alignment horizontal="center" vertical="center"/>
    </xf>
    <xf numFmtId="2" fontId="8" fillId="0" borderId="48" xfId="4" applyNumberFormat="1" applyFont="1" applyBorder="1" applyAlignment="1">
      <alignment horizontal="center" vertical="center"/>
    </xf>
    <xf numFmtId="43" fontId="8" fillId="0" borderId="37" xfId="1" applyFont="1" applyFill="1" applyBorder="1" applyAlignment="1" applyProtection="1">
      <alignment horizontal="center" vertical="center"/>
    </xf>
    <xf numFmtId="43" fontId="8" fillId="0" borderId="48" xfId="1" applyFont="1" applyFill="1" applyBorder="1" applyAlignment="1" applyProtection="1">
      <alignment horizontal="center" vertical="center"/>
    </xf>
    <xf numFmtId="0" fontId="8" fillId="0" borderId="37" xfId="4" applyFont="1" applyBorder="1" applyAlignment="1">
      <alignment horizontal="center" vertical="center"/>
    </xf>
    <xf numFmtId="0" fontId="8" fillId="0" borderId="48" xfId="4" applyFont="1" applyBorder="1" applyAlignment="1">
      <alignment horizontal="center" vertical="center"/>
    </xf>
    <xf numFmtId="9" fontId="8" fillId="0" borderId="37" xfId="6" applyFont="1" applyFill="1" applyBorder="1" applyAlignment="1" applyProtection="1">
      <alignment horizontal="center" vertical="center"/>
    </xf>
    <xf numFmtId="9" fontId="8" fillId="0" borderId="48" xfId="6" applyFont="1" applyFill="1" applyBorder="1" applyAlignment="1" applyProtection="1">
      <alignment horizontal="center" vertical="center"/>
    </xf>
    <xf numFmtId="0" fontId="0" fillId="0" borderId="46" xfId="0" applyBorder="1" applyAlignment="1">
      <alignment horizontal="center"/>
    </xf>
    <xf numFmtId="0" fontId="8" fillId="0" borderId="37" xfId="4" applyFont="1" applyBorder="1" applyAlignment="1">
      <alignment horizontal="left" vertical="center" wrapText="1"/>
    </xf>
    <xf numFmtId="0" fontId="8" fillId="0" borderId="48" xfId="4" applyFont="1" applyBorder="1" applyAlignment="1">
      <alignment horizontal="left" vertical="center" wrapText="1"/>
    </xf>
    <xf numFmtId="14" fontId="8" fillId="0" borderId="37" xfId="4" applyNumberFormat="1" applyFont="1" applyBorder="1" applyAlignment="1">
      <alignment horizontal="center" vertical="center"/>
    </xf>
    <xf numFmtId="14" fontId="8" fillId="0" borderId="48" xfId="4" applyNumberFormat="1" applyFont="1" applyBorder="1" applyAlignment="1">
      <alignment horizontal="center" vertical="center"/>
    </xf>
    <xf numFmtId="43" fontId="8" fillId="0" borderId="37" xfId="5" applyFont="1" applyFill="1" applyBorder="1" applyAlignment="1" applyProtection="1">
      <alignment horizontal="center" vertical="center"/>
    </xf>
    <xf numFmtId="43" fontId="8" fillId="0" borderId="48" xfId="5" applyFont="1" applyFill="1" applyBorder="1" applyAlignment="1" applyProtection="1">
      <alignment horizontal="center" vertical="center"/>
    </xf>
    <xf numFmtId="43" fontId="4" fillId="0" borderId="27" xfId="1" applyFont="1" applyFill="1" applyBorder="1" applyAlignment="1" applyProtection="1">
      <alignment horizontal="center"/>
    </xf>
    <xf numFmtId="43" fontId="4" fillId="0" borderId="28" xfId="1" applyFont="1" applyFill="1" applyBorder="1" applyAlignment="1" applyProtection="1">
      <alignment horizontal="center"/>
    </xf>
    <xf numFmtId="43" fontId="4" fillId="0" borderId="22" xfId="1" applyFont="1" applyFill="1" applyBorder="1" applyAlignment="1">
      <alignment horizontal="center" vertical="center"/>
    </xf>
    <xf numFmtId="43" fontId="4" fillId="0" borderId="23" xfId="1" applyFont="1" applyFill="1" applyBorder="1" applyAlignment="1">
      <alignment horizontal="center" vertical="center"/>
    </xf>
    <xf numFmtId="43" fontId="4" fillId="0" borderId="25" xfId="1" applyFont="1" applyFill="1" applyBorder="1" applyAlignment="1">
      <alignment horizontal="center" vertical="center"/>
    </xf>
    <xf numFmtId="43" fontId="4" fillId="0" borderId="20" xfId="1" applyFont="1" applyFill="1" applyBorder="1" applyAlignment="1">
      <alignment horizontal="center" vertical="center"/>
    </xf>
    <xf numFmtId="43" fontId="4" fillId="0" borderId="36" xfId="1" applyFont="1" applyFill="1" applyBorder="1" applyAlignment="1">
      <alignment horizontal="center" vertical="center"/>
    </xf>
    <xf numFmtId="43" fontId="4" fillId="0" borderId="49" xfId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62" xfId="0" applyFont="1" applyBorder="1" applyAlignment="1">
      <alignment horizontal="center" vertical="center" wrapText="1"/>
    </xf>
    <xf numFmtId="0" fontId="4" fillId="0" borderId="6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43" fontId="4" fillId="0" borderId="25" xfId="1" applyFont="1" applyFill="1" applyBorder="1" applyAlignment="1" applyProtection="1">
      <alignment horizontal="center"/>
    </xf>
    <xf numFmtId="43" fontId="4" fillId="0" borderId="20" xfId="1" applyFont="1" applyFill="1" applyBorder="1" applyAlignment="1" applyProtection="1">
      <alignment horizontal="center"/>
    </xf>
    <xf numFmtId="43" fontId="4" fillId="0" borderId="25" xfId="0" applyNumberFormat="1" applyFont="1" applyBorder="1" applyAlignment="1">
      <alignment horizontal="center"/>
    </xf>
    <xf numFmtId="43" fontId="4" fillId="0" borderId="47" xfId="0" applyNumberFormat="1" applyFont="1" applyBorder="1" applyAlignment="1">
      <alignment horizontal="center"/>
    </xf>
    <xf numFmtId="43" fontId="4" fillId="0" borderId="20" xfId="0" applyNumberFormat="1" applyFont="1" applyBorder="1" applyAlignment="1">
      <alignment horizontal="center"/>
    </xf>
    <xf numFmtId="43" fontId="4" fillId="0" borderId="25" xfId="0" applyNumberFormat="1" applyFont="1" applyBorder="1" applyAlignment="1">
      <alignment horizontal="center" vertical="center"/>
    </xf>
    <xf numFmtId="43" fontId="4" fillId="0" borderId="20" xfId="0" applyNumberFormat="1" applyFont="1" applyBorder="1" applyAlignment="1">
      <alignment horizontal="center" vertical="center"/>
    </xf>
    <xf numFmtId="43" fontId="4" fillId="0" borderId="47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43" fontId="4" fillId="0" borderId="25" xfId="1" applyFont="1" applyFill="1" applyBorder="1" applyAlignment="1" applyProtection="1">
      <alignment horizontal="center" vertical="center"/>
    </xf>
    <xf numFmtId="43" fontId="4" fillId="0" borderId="20" xfId="1" applyFont="1" applyFill="1" applyBorder="1" applyAlignment="1" applyProtection="1">
      <alignment horizontal="center" vertical="center"/>
    </xf>
    <xf numFmtId="14" fontId="4" fillId="0" borderId="0" xfId="0" applyNumberFormat="1" applyFont="1" applyAlignment="1">
      <alignment horizontal="center"/>
    </xf>
    <xf numFmtId="20" fontId="3" fillId="0" borderId="0" xfId="1" applyNumberFormat="1" applyFont="1" applyFill="1" applyBorder="1" applyAlignment="1" applyProtection="1">
      <alignment horizontal="center"/>
    </xf>
    <xf numFmtId="43" fontId="3" fillId="0" borderId="0" xfId="1" applyFont="1" applyFill="1" applyBorder="1" applyAlignment="1" applyProtection="1">
      <alignment horizontal="center"/>
    </xf>
    <xf numFmtId="166" fontId="4" fillId="0" borderId="25" xfId="1" applyNumberFormat="1" applyFont="1" applyFill="1" applyBorder="1" applyAlignment="1">
      <alignment horizontal="center" vertical="center"/>
    </xf>
    <xf numFmtId="166" fontId="4" fillId="0" borderId="47" xfId="1" applyNumberFormat="1" applyFont="1" applyFill="1" applyBorder="1" applyAlignment="1">
      <alignment horizontal="center" vertical="center"/>
    </xf>
    <xf numFmtId="166" fontId="4" fillId="0" borderId="20" xfId="1" applyNumberFormat="1" applyFont="1" applyFill="1" applyBorder="1" applyAlignment="1">
      <alignment horizontal="center" vertical="center"/>
    </xf>
    <xf numFmtId="41" fontId="4" fillId="0" borderId="11" xfId="2" applyFont="1" applyFill="1" applyBorder="1" applyAlignment="1">
      <alignment horizontal="center" vertical="center"/>
    </xf>
    <xf numFmtId="43" fontId="4" fillId="0" borderId="11" xfId="1" applyFont="1" applyFill="1" applyBorder="1" applyAlignment="1">
      <alignment horizontal="center" vertical="center"/>
    </xf>
    <xf numFmtId="166" fontId="4" fillId="0" borderId="22" xfId="1" applyNumberFormat="1" applyFont="1" applyFill="1" applyBorder="1" applyAlignment="1">
      <alignment horizontal="center" vertical="center"/>
    </xf>
    <xf numFmtId="166" fontId="4" fillId="0" borderId="5" xfId="1" applyNumberFormat="1" applyFont="1" applyFill="1" applyBorder="1" applyAlignment="1">
      <alignment horizontal="center" vertical="center"/>
    </xf>
    <xf numFmtId="166" fontId="4" fillId="0" borderId="23" xfId="1" applyNumberFormat="1" applyFont="1" applyFill="1" applyBorder="1" applyAlignment="1">
      <alignment horizontal="center" vertical="center"/>
    </xf>
    <xf numFmtId="43" fontId="4" fillId="0" borderId="7" xfId="1" applyFont="1" applyFill="1" applyBorder="1" applyAlignment="1">
      <alignment horizontal="center" vertical="center" wrapText="1"/>
    </xf>
    <xf numFmtId="43" fontId="4" fillId="0" borderId="32" xfId="1" applyFont="1" applyFill="1" applyBorder="1" applyAlignment="1">
      <alignment horizontal="center" vertical="center" wrapText="1"/>
    </xf>
    <xf numFmtId="43" fontId="4" fillId="0" borderId="31" xfId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0" xfId="0" applyFont="1" applyBorder="1" applyAlignment="1">
      <alignment horizontal="center" vertical="center" wrapText="1"/>
    </xf>
    <xf numFmtId="0" fontId="4" fillId="0" borderId="64" xfId="0" applyFont="1" applyBorder="1" applyAlignment="1">
      <alignment horizontal="center" vertical="center" wrapText="1"/>
    </xf>
    <xf numFmtId="0" fontId="4" fillId="0" borderId="70" xfId="0" applyFont="1" applyBorder="1" applyAlignment="1">
      <alignment horizontal="center" vertical="center" wrapText="1"/>
    </xf>
    <xf numFmtId="0" fontId="4" fillId="0" borderId="67" xfId="0" applyFont="1" applyBorder="1" applyAlignment="1">
      <alignment horizontal="center" vertical="center" wrapText="1"/>
    </xf>
    <xf numFmtId="166" fontId="4" fillId="0" borderId="11" xfId="1" applyNumberFormat="1" applyFont="1" applyFill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6" fontId="4" fillId="0" borderId="2" xfId="1" applyNumberFormat="1" applyFont="1" applyFill="1" applyBorder="1" applyAlignment="1">
      <alignment horizontal="center" vertical="center" wrapText="1"/>
    </xf>
    <xf numFmtId="166" fontId="4" fillId="0" borderId="0" xfId="1" applyNumberFormat="1" applyFont="1" applyFill="1" applyBorder="1" applyAlignment="1">
      <alignment horizontal="center" vertical="center" wrapText="1"/>
    </xf>
    <xf numFmtId="166" fontId="4" fillId="0" borderId="60" xfId="1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43" fontId="4" fillId="0" borderId="5" xfId="1" applyFont="1" applyFill="1" applyBorder="1" applyAlignment="1">
      <alignment horizontal="center" vertical="center" wrapText="1"/>
    </xf>
    <xf numFmtId="43" fontId="4" fillId="0" borderId="6" xfId="1" applyFont="1" applyFill="1" applyBorder="1" applyAlignment="1">
      <alignment horizontal="center" vertical="center" wrapText="1"/>
    </xf>
    <xf numFmtId="166" fontId="4" fillId="0" borderId="7" xfId="1" applyNumberFormat="1" applyFont="1" applyFill="1" applyBorder="1" applyAlignment="1">
      <alignment horizontal="center" vertical="center" wrapText="1"/>
    </xf>
    <xf numFmtId="166" fontId="4" fillId="0" borderId="32" xfId="1" applyNumberFormat="1" applyFont="1" applyFill="1" applyBorder="1" applyAlignment="1">
      <alignment horizontal="center" vertical="center" wrapText="1"/>
    </xf>
    <xf numFmtId="166" fontId="4" fillId="0" borderId="31" xfId="1" applyNumberFormat="1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43" fontId="19" fillId="0" borderId="10" xfId="1" applyFont="1" applyFill="1" applyBorder="1" applyAlignment="1">
      <alignment horizontal="center" vertical="center" wrapText="1"/>
    </xf>
    <xf numFmtId="43" fontId="19" fillId="0" borderId="57" xfId="1" applyFont="1" applyFill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166" fontId="19" fillId="0" borderId="20" xfId="1" applyNumberFormat="1" applyFont="1" applyFill="1" applyBorder="1" applyAlignment="1">
      <alignment horizontal="center" vertical="center" wrapText="1"/>
    </xf>
    <xf numFmtId="166" fontId="19" fillId="0" borderId="28" xfId="1" applyNumberFormat="1" applyFont="1" applyFill="1" applyBorder="1" applyAlignment="1">
      <alignment horizontal="center" vertical="center" wrapText="1"/>
    </xf>
    <xf numFmtId="43" fontId="24" fillId="0" borderId="27" xfId="0" applyNumberFormat="1" applyFont="1" applyBorder="1" applyAlignment="1">
      <alignment horizontal="center"/>
    </xf>
    <xf numFmtId="43" fontId="24" fillId="0" borderId="28" xfId="0" applyNumberFormat="1" applyFont="1" applyBorder="1" applyAlignment="1">
      <alignment horizontal="center"/>
    </xf>
    <xf numFmtId="43" fontId="24" fillId="0" borderId="36" xfId="0" applyNumberFormat="1" applyFont="1" applyBorder="1" applyAlignment="1">
      <alignment horizontal="center" vertical="center"/>
    </xf>
    <xf numFmtId="43" fontId="24" fillId="0" borderId="49" xfId="0" applyNumberFormat="1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 wrapText="1"/>
    </xf>
    <xf numFmtId="0" fontId="22" fillId="0" borderId="28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60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79" xfId="0" applyFont="1" applyBorder="1" applyAlignment="1">
      <alignment horizontal="center" vertical="center" wrapText="1"/>
    </xf>
    <xf numFmtId="0" fontId="22" fillId="0" borderId="61" xfId="0" applyFont="1" applyBorder="1" applyAlignment="1">
      <alignment horizontal="center" vertical="center" wrapText="1"/>
    </xf>
    <xf numFmtId="43" fontId="22" fillId="0" borderId="7" xfId="1" applyFont="1" applyFill="1" applyBorder="1" applyAlignment="1">
      <alignment horizontal="center" vertical="center" wrapText="1"/>
    </xf>
    <xf numFmtId="43" fontId="22" fillId="0" borderId="32" xfId="1" applyFont="1" applyFill="1" applyBorder="1" applyAlignment="1">
      <alignment horizontal="center" vertical="center" wrapText="1"/>
    </xf>
    <xf numFmtId="43" fontId="22" fillId="0" borderId="31" xfId="1" applyFont="1" applyFill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43" fontId="24" fillId="0" borderId="0" xfId="1" applyFont="1" applyFill="1" applyBorder="1" applyAlignment="1" applyProtection="1">
      <alignment horizontal="center"/>
    </xf>
    <xf numFmtId="0" fontId="22" fillId="0" borderId="8" xfId="0" applyFont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5" fillId="0" borderId="4" xfId="0" applyFont="1" applyBorder="1" applyAlignment="1">
      <alignment vertical="center" wrapText="1"/>
    </xf>
    <xf numFmtId="0" fontId="25" fillId="0" borderId="5" xfId="0" applyFont="1" applyBorder="1" applyAlignment="1">
      <alignment vertical="center" wrapText="1"/>
    </xf>
    <xf numFmtId="0" fontId="25" fillId="0" borderId="6" xfId="0" applyFont="1" applyBorder="1" applyAlignment="1">
      <alignment vertical="center" wrapText="1"/>
    </xf>
    <xf numFmtId="43" fontId="25" fillId="0" borderId="4" xfId="1" applyFont="1" applyFill="1" applyBorder="1" applyAlignment="1">
      <alignment horizontal="center" vertical="center"/>
    </xf>
    <xf numFmtId="43" fontId="25" fillId="0" borderId="5" xfId="1" applyFont="1" applyFill="1" applyBorder="1" applyAlignment="1">
      <alignment horizontal="center" vertical="center"/>
    </xf>
    <xf numFmtId="43" fontId="25" fillId="0" borderId="6" xfId="1" applyFont="1" applyFill="1" applyBorder="1" applyAlignment="1">
      <alignment horizontal="center" vertical="center"/>
    </xf>
    <xf numFmtId="166" fontId="22" fillId="0" borderId="7" xfId="1" applyNumberFormat="1" applyFont="1" applyFill="1" applyBorder="1" applyAlignment="1">
      <alignment horizontal="center" vertical="center" wrapText="1"/>
    </xf>
    <xf numFmtId="166" fontId="22" fillId="0" borderId="32" xfId="1" applyNumberFormat="1" applyFont="1" applyFill="1" applyBorder="1" applyAlignment="1">
      <alignment horizontal="center" vertical="center" wrapText="1"/>
    </xf>
    <xf numFmtId="166" fontId="22" fillId="0" borderId="31" xfId="1" applyNumberFormat="1" applyFont="1" applyFill="1" applyBorder="1" applyAlignment="1">
      <alignment horizontal="center" vertical="center" wrapText="1"/>
    </xf>
    <xf numFmtId="43" fontId="22" fillId="0" borderId="10" xfId="1" applyFont="1" applyFill="1" applyBorder="1" applyAlignment="1">
      <alignment horizontal="center" vertical="center" wrapText="1"/>
    </xf>
    <xf numFmtId="43" fontId="22" fillId="0" borderId="57" xfId="1" applyFont="1" applyFill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 wrapText="1"/>
    </xf>
    <xf numFmtId="166" fontId="22" fillId="0" borderId="10" xfId="1" applyNumberFormat="1" applyFont="1" applyFill="1" applyBorder="1" applyAlignment="1">
      <alignment horizontal="center" vertical="center" wrapText="1"/>
    </xf>
    <xf numFmtId="166" fontId="22" fillId="0" borderId="57" xfId="1" applyNumberFormat="1" applyFont="1" applyFill="1" applyBorder="1" applyAlignment="1">
      <alignment horizontal="center" vertical="center" wrapText="1"/>
    </xf>
    <xf numFmtId="166" fontId="24" fillId="0" borderId="22" xfId="0" applyNumberFormat="1" applyFont="1" applyBorder="1" applyAlignment="1">
      <alignment horizontal="center" vertical="center"/>
    </xf>
    <xf numFmtId="166" fontId="24" fillId="0" borderId="23" xfId="0" applyNumberFormat="1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37" fillId="0" borderId="11" xfId="0" applyFont="1" applyBorder="1" applyAlignment="1">
      <alignment horizontal="center"/>
    </xf>
    <xf numFmtId="0" fontId="37" fillId="0" borderId="11" xfId="0" applyFont="1" applyBorder="1" applyAlignment="1">
      <alignment horizontal="center" vertical="center"/>
    </xf>
    <xf numFmtId="166" fontId="54" fillId="2" borderId="0" xfId="1" applyNumberFormat="1" applyFont="1" applyFill="1" applyAlignment="1">
      <alignment horizontal="center" vertical="center" wrapText="1"/>
    </xf>
    <xf numFmtId="0" fontId="54" fillId="2" borderId="0" xfId="0" quotePrefix="1" applyFont="1" applyFill="1" applyAlignment="1">
      <alignment horizontal="center" vertical="center"/>
    </xf>
    <xf numFmtId="0" fontId="53" fillId="0" borderId="11" xfId="0" applyFont="1" applyBorder="1" applyAlignment="1">
      <alignment horizontal="center" vertical="center"/>
    </xf>
    <xf numFmtId="43" fontId="57" fillId="0" borderId="0" xfId="1" applyFont="1" applyFill="1" applyBorder="1" applyAlignment="1" applyProtection="1">
      <alignment horizontal="center" vertical="center"/>
    </xf>
    <xf numFmtId="43" fontId="53" fillId="2" borderId="11" xfId="1" applyFont="1" applyFill="1" applyBorder="1" applyAlignment="1">
      <alignment horizontal="center"/>
    </xf>
    <xf numFmtId="43" fontId="53" fillId="0" borderId="11" xfId="0" applyNumberFormat="1" applyFont="1" applyBorder="1" applyAlignment="1">
      <alignment horizontal="center" vertical="center"/>
    </xf>
    <xf numFmtId="43" fontId="53" fillId="0" borderId="62" xfId="1" applyFont="1" applyFill="1" applyBorder="1" applyAlignment="1" applyProtection="1">
      <alignment horizontal="center" vertical="center"/>
    </xf>
    <xf numFmtId="43" fontId="53" fillId="0" borderId="90" xfId="1" applyFont="1" applyFill="1" applyBorder="1" applyAlignment="1" applyProtection="1">
      <alignment horizontal="center" vertical="center"/>
    </xf>
    <xf numFmtId="169" fontId="53" fillId="0" borderId="62" xfId="1" applyNumberFormat="1" applyFont="1" applyFill="1" applyBorder="1" applyAlignment="1" applyProtection="1">
      <alignment horizontal="center" vertical="center"/>
    </xf>
    <xf numFmtId="169" fontId="53" fillId="0" borderId="90" xfId="1" applyNumberFormat="1" applyFont="1" applyFill="1" applyBorder="1" applyAlignment="1" applyProtection="1">
      <alignment horizontal="center" vertical="center"/>
    </xf>
    <xf numFmtId="43" fontId="54" fillId="2" borderId="0" xfId="0" applyNumberFormat="1" applyFont="1" applyFill="1" applyAlignment="1">
      <alignment horizontal="center" vertical="center" wrapText="1"/>
    </xf>
    <xf numFmtId="169" fontId="53" fillId="4" borderId="71" xfId="1" applyNumberFormat="1" applyFont="1" applyFill="1" applyBorder="1" applyAlignment="1">
      <alignment horizontal="center" vertical="center"/>
    </xf>
    <xf numFmtId="43" fontId="53" fillId="0" borderId="93" xfId="0" applyNumberFormat="1" applyFont="1" applyBorder="1" applyAlignment="1">
      <alignment horizontal="center" vertical="center"/>
    </xf>
    <xf numFmtId="4" fontId="53" fillId="0" borderId="11" xfId="0" applyNumberFormat="1" applyFont="1" applyBorder="1" applyAlignment="1">
      <alignment horizontal="center" vertical="center"/>
    </xf>
    <xf numFmtId="166" fontId="53" fillId="0" borderId="25" xfId="1" applyNumberFormat="1" applyFont="1" applyFill="1" applyBorder="1" applyAlignment="1">
      <alignment horizontal="center" vertical="center"/>
    </xf>
    <xf numFmtId="166" fontId="53" fillId="0" borderId="20" xfId="1" applyNumberFormat="1" applyFont="1" applyFill="1" applyBorder="1" applyAlignment="1">
      <alignment horizontal="center" vertical="center"/>
    </xf>
    <xf numFmtId="43" fontId="53" fillId="0" borderId="11" xfId="1" applyFont="1" applyFill="1" applyBorder="1" applyAlignment="1">
      <alignment horizontal="center" vertical="center"/>
    </xf>
    <xf numFmtId="9" fontId="53" fillId="0" borderId="11" xfId="3" applyFont="1" applyFill="1" applyBorder="1" applyAlignment="1">
      <alignment horizontal="center" vertical="center"/>
    </xf>
    <xf numFmtId="43" fontId="53" fillId="0" borderId="25" xfId="0" applyNumberFormat="1" applyFont="1" applyBorder="1" applyAlignment="1">
      <alignment horizontal="center" vertical="center"/>
    </xf>
    <xf numFmtId="43" fontId="53" fillId="0" borderId="20" xfId="0" applyNumberFormat="1" applyFont="1" applyBorder="1" applyAlignment="1">
      <alignment horizontal="center" vertical="center"/>
    </xf>
    <xf numFmtId="43" fontId="53" fillId="0" borderId="25" xfId="1" applyFont="1" applyFill="1" applyBorder="1" applyAlignment="1" applyProtection="1">
      <alignment horizontal="center" vertical="center"/>
    </xf>
    <xf numFmtId="43" fontId="53" fillId="0" borderId="20" xfId="1" applyFont="1" applyFill="1" applyBorder="1" applyAlignment="1" applyProtection="1">
      <alignment horizontal="center" vertical="center"/>
    </xf>
    <xf numFmtId="2" fontId="53" fillId="2" borderId="11" xfId="0" applyNumberFormat="1" applyFont="1" applyFill="1" applyBorder="1" applyAlignment="1">
      <alignment horizontal="center"/>
    </xf>
    <xf numFmtId="0" fontId="56" fillId="5" borderId="11" xfId="0" applyFont="1" applyFill="1" applyBorder="1" applyAlignment="1">
      <alignment horizontal="center" vertical="center" wrapText="1"/>
    </xf>
    <xf numFmtId="166" fontId="53" fillId="2" borderId="0" xfId="1" applyNumberFormat="1" applyFont="1" applyFill="1" applyBorder="1" applyAlignment="1" applyProtection="1">
      <alignment horizontal="center" vertical="center"/>
    </xf>
    <xf numFmtId="0" fontId="56" fillId="0" borderId="11" xfId="0" applyFont="1" applyBorder="1" applyAlignment="1">
      <alignment horizontal="center" vertical="center" wrapText="1"/>
    </xf>
    <xf numFmtId="0" fontId="56" fillId="5" borderId="25" xfId="0" applyFont="1" applyFill="1" applyBorder="1" applyAlignment="1">
      <alignment horizontal="center" vertical="center" wrapText="1"/>
    </xf>
    <xf numFmtId="0" fontId="56" fillId="5" borderId="47" xfId="0" applyFont="1" applyFill="1" applyBorder="1" applyAlignment="1">
      <alignment horizontal="center" vertical="center" wrapText="1"/>
    </xf>
    <xf numFmtId="0" fontId="56" fillId="5" borderId="20" xfId="0" applyFont="1" applyFill="1" applyBorder="1" applyAlignment="1">
      <alignment horizontal="center" vertical="center" wrapText="1"/>
    </xf>
    <xf numFmtId="43" fontId="53" fillId="0" borderId="25" xfId="1" applyFont="1" applyFill="1" applyBorder="1" applyAlignment="1">
      <alignment horizontal="center" vertical="center"/>
    </xf>
    <xf numFmtId="43" fontId="53" fillId="0" borderId="47" xfId="1" applyFont="1" applyFill="1" applyBorder="1" applyAlignment="1">
      <alignment horizontal="center" vertical="center"/>
    </xf>
    <xf numFmtId="43" fontId="53" fillId="0" borderId="20" xfId="1" applyFont="1" applyFill="1" applyBorder="1" applyAlignment="1">
      <alignment horizontal="center" vertical="center"/>
    </xf>
    <xf numFmtId="166" fontId="53" fillId="0" borderId="11" xfId="0" applyNumberFormat="1" applyFont="1" applyBorder="1" applyAlignment="1">
      <alignment horizontal="center" vertical="center"/>
    </xf>
    <xf numFmtId="166" fontId="53" fillId="0" borderId="25" xfId="0" applyNumberFormat="1" applyFont="1" applyBorder="1" applyAlignment="1">
      <alignment horizontal="center" vertical="center"/>
    </xf>
    <xf numFmtId="0" fontId="56" fillId="6" borderId="36" xfId="0" applyFont="1" applyFill="1" applyBorder="1" applyAlignment="1">
      <alignment horizontal="center" vertical="center" wrapText="1"/>
    </xf>
    <xf numFmtId="0" fontId="56" fillId="6" borderId="71" xfId="0" applyFont="1" applyFill="1" applyBorder="1" applyAlignment="1">
      <alignment horizontal="center" vertical="center" wrapText="1"/>
    </xf>
    <xf numFmtId="0" fontId="56" fillId="6" borderId="49" xfId="0" applyFont="1" applyFill="1" applyBorder="1" applyAlignment="1">
      <alignment horizontal="center" vertical="center" wrapText="1"/>
    </xf>
    <xf numFmtId="0" fontId="56" fillId="6" borderId="88" xfId="0" applyFont="1" applyFill="1" applyBorder="1" applyAlignment="1">
      <alignment horizontal="center" vertical="center" wrapText="1"/>
    </xf>
    <xf numFmtId="0" fontId="56" fillId="6" borderId="13" xfId="0" applyFont="1" applyFill="1" applyBorder="1" applyAlignment="1">
      <alignment horizontal="center" vertical="center" wrapText="1"/>
    </xf>
    <xf numFmtId="0" fontId="56" fillId="6" borderId="89" xfId="0" applyFont="1" applyFill="1" applyBorder="1" applyAlignment="1">
      <alignment horizontal="center" vertical="center" wrapText="1"/>
    </xf>
    <xf numFmtId="43" fontId="56" fillId="6" borderId="11" xfId="1" applyFont="1" applyFill="1" applyBorder="1" applyAlignment="1">
      <alignment horizontal="center" vertical="center" wrapText="1"/>
    </xf>
    <xf numFmtId="43" fontId="56" fillId="6" borderId="25" xfId="1" applyFont="1" applyFill="1" applyBorder="1" applyAlignment="1">
      <alignment horizontal="center" vertical="center" wrapText="1"/>
    </xf>
    <xf numFmtId="43" fontId="56" fillId="6" borderId="47" xfId="1" applyFont="1" applyFill="1" applyBorder="1" applyAlignment="1">
      <alignment horizontal="center" vertical="center" wrapText="1"/>
    </xf>
    <xf numFmtId="43" fontId="56" fillId="6" borderId="20" xfId="1" applyFont="1" applyFill="1" applyBorder="1" applyAlignment="1">
      <alignment horizontal="center" vertical="center" wrapText="1"/>
    </xf>
    <xf numFmtId="0" fontId="56" fillId="0" borderId="14" xfId="0" applyFont="1" applyBorder="1" applyAlignment="1">
      <alignment horizontal="center" vertical="center" wrapText="1"/>
    </xf>
    <xf numFmtId="0" fontId="56" fillId="0" borderId="62" xfId="0" applyFont="1" applyBorder="1" applyAlignment="1">
      <alignment horizontal="center" vertical="center" wrapText="1"/>
    </xf>
    <xf numFmtId="0" fontId="56" fillId="0" borderId="63" xfId="0" applyFont="1" applyBorder="1" applyAlignment="1">
      <alignment horizontal="center" vertical="center" wrapText="1"/>
    </xf>
    <xf numFmtId="43" fontId="56" fillId="5" borderId="36" xfId="1" applyFont="1" applyFill="1" applyBorder="1" applyAlignment="1">
      <alignment horizontal="center" vertical="center" wrapText="1"/>
    </xf>
    <xf numFmtId="43" fontId="56" fillId="5" borderId="71" xfId="1" applyFont="1" applyFill="1" applyBorder="1" applyAlignment="1">
      <alignment horizontal="center" vertical="center" wrapText="1"/>
    </xf>
    <xf numFmtId="43" fontId="56" fillId="5" borderId="49" xfId="1" applyFont="1" applyFill="1" applyBorder="1" applyAlignment="1">
      <alignment horizontal="center" vertical="center" wrapText="1"/>
    </xf>
    <xf numFmtId="43" fontId="56" fillId="5" borderId="88" xfId="1" applyFont="1" applyFill="1" applyBorder="1" applyAlignment="1">
      <alignment horizontal="center" vertical="center" wrapText="1"/>
    </xf>
    <xf numFmtId="43" fontId="56" fillId="5" borderId="13" xfId="1" applyFont="1" applyFill="1" applyBorder="1" applyAlignment="1">
      <alignment horizontal="center" vertical="center" wrapText="1"/>
    </xf>
    <xf numFmtId="43" fontId="56" fillId="5" borderId="89" xfId="1" applyFont="1" applyFill="1" applyBorder="1" applyAlignment="1">
      <alignment horizontal="center" vertical="center" wrapText="1"/>
    </xf>
    <xf numFmtId="0" fontId="56" fillId="5" borderId="36" xfId="0" applyFont="1" applyFill="1" applyBorder="1" applyAlignment="1">
      <alignment horizontal="center" vertical="center" wrapText="1"/>
    </xf>
    <xf numFmtId="0" fontId="56" fillId="5" borderId="71" xfId="0" applyFont="1" applyFill="1" applyBorder="1" applyAlignment="1">
      <alignment horizontal="center" vertical="center" wrapText="1"/>
    </xf>
    <xf numFmtId="0" fontId="56" fillId="5" borderId="49" xfId="0" applyFont="1" applyFill="1" applyBorder="1" applyAlignment="1">
      <alignment horizontal="center" vertical="center" wrapText="1"/>
    </xf>
    <xf numFmtId="0" fontId="56" fillId="5" borderId="88" xfId="0" applyFont="1" applyFill="1" applyBorder="1" applyAlignment="1">
      <alignment horizontal="center" vertical="center" wrapText="1"/>
    </xf>
    <xf numFmtId="0" fontId="56" fillId="5" borderId="13" xfId="0" applyFont="1" applyFill="1" applyBorder="1" applyAlignment="1">
      <alignment horizontal="center" vertical="center" wrapText="1"/>
    </xf>
    <xf numFmtId="0" fontId="56" fillId="5" borderId="89" xfId="0" applyFont="1" applyFill="1" applyBorder="1" applyAlignment="1">
      <alignment horizontal="center" vertical="center" wrapText="1"/>
    </xf>
    <xf numFmtId="0" fontId="56" fillId="5" borderId="14" xfId="0" applyFont="1" applyFill="1" applyBorder="1" applyAlignment="1">
      <alignment horizontal="center" vertical="center" wrapText="1"/>
    </xf>
    <xf numFmtId="0" fontId="56" fillId="5" borderId="62" xfId="0" applyFont="1" applyFill="1" applyBorder="1" applyAlignment="1">
      <alignment horizontal="center" vertical="center" wrapText="1"/>
    </xf>
    <xf numFmtId="0" fontId="56" fillId="5" borderId="63" xfId="0" applyFont="1" applyFill="1" applyBorder="1" applyAlignment="1">
      <alignment horizontal="center" vertical="center" wrapText="1"/>
    </xf>
    <xf numFmtId="166" fontId="56" fillId="6" borderId="36" xfId="1" applyNumberFormat="1" applyFont="1" applyFill="1" applyBorder="1" applyAlignment="1">
      <alignment horizontal="center" vertical="center" wrapText="1"/>
    </xf>
    <xf numFmtId="166" fontId="56" fillId="6" borderId="71" xfId="1" applyNumberFormat="1" applyFont="1" applyFill="1" applyBorder="1" applyAlignment="1">
      <alignment horizontal="center" vertical="center" wrapText="1"/>
    </xf>
    <xf numFmtId="166" fontId="56" fillId="6" borderId="49" xfId="1" applyNumberFormat="1" applyFont="1" applyFill="1" applyBorder="1" applyAlignment="1">
      <alignment horizontal="center" vertical="center" wrapText="1"/>
    </xf>
    <xf numFmtId="166" fontId="56" fillId="6" borderId="88" xfId="1" applyNumberFormat="1" applyFont="1" applyFill="1" applyBorder="1" applyAlignment="1">
      <alignment horizontal="center" vertical="center" wrapText="1"/>
    </xf>
    <xf numFmtId="166" fontId="56" fillId="6" borderId="13" xfId="1" applyNumberFormat="1" applyFont="1" applyFill="1" applyBorder="1" applyAlignment="1">
      <alignment horizontal="center" vertical="center" wrapText="1"/>
    </xf>
    <xf numFmtId="166" fontId="56" fillId="6" borderId="89" xfId="1" applyNumberFormat="1" applyFont="1" applyFill="1" applyBorder="1" applyAlignment="1">
      <alignment horizontal="center" vertical="center" wrapText="1"/>
    </xf>
    <xf numFmtId="0" fontId="56" fillId="0" borderId="36" xfId="0" applyFont="1" applyBorder="1" applyAlignment="1">
      <alignment horizontal="center" vertical="center" wrapText="1"/>
    </xf>
    <xf numFmtId="0" fontId="56" fillId="0" borderId="71" xfId="0" applyFont="1" applyBorder="1" applyAlignment="1">
      <alignment horizontal="center" vertical="center" wrapText="1"/>
    </xf>
    <xf numFmtId="0" fontId="56" fillId="0" borderId="49" xfId="0" applyFont="1" applyBorder="1" applyAlignment="1">
      <alignment horizontal="center" vertical="center" wrapText="1"/>
    </xf>
    <xf numFmtId="0" fontId="56" fillId="0" borderId="90" xfId="0" applyFont="1" applyBorder="1" applyAlignment="1">
      <alignment horizontal="center" vertical="center" wrapText="1"/>
    </xf>
    <xf numFmtId="0" fontId="56" fillId="0" borderId="0" xfId="0" applyFont="1" applyAlignment="1">
      <alignment horizontal="center" vertical="center" wrapText="1"/>
    </xf>
    <xf numFmtId="0" fontId="56" fillId="0" borderId="86" xfId="0" applyFont="1" applyBorder="1" applyAlignment="1">
      <alignment horizontal="center" vertical="center" wrapText="1"/>
    </xf>
    <xf numFmtId="0" fontId="56" fillId="0" borderId="88" xfId="0" applyFont="1" applyBorder="1" applyAlignment="1">
      <alignment horizontal="center" vertical="center" wrapText="1"/>
    </xf>
    <xf numFmtId="0" fontId="56" fillId="0" borderId="13" xfId="0" applyFont="1" applyBorder="1" applyAlignment="1">
      <alignment horizontal="center" vertical="center" wrapText="1"/>
    </xf>
    <xf numFmtId="0" fontId="56" fillId="0" borderId="89" xfId="0" applyFont="1" applyBorder="1" applyAlignment="1">
      <alignment horizontal="center" vertical="center" wrapText="1"/>
    </xf>
    <xf numFmtId="43" fontId="56" fillId="0" borderId="11" xfId="1" applyFont="1" applyFill="1" applyBorder="1" applyAlignment="1">
      <alignment horizontal="center" vertical="center" wrapText="1"/>
    </xf>
    <xf numFmtId="0" fontId="56" fillId="2" borderId="11" xfId="0" applyFont="1" applyFill="1" applyBorder="1" applyAlignment="1">
      <alignment horizontal="center" vertical="center" wrapText="1"/>
    </xf>
    <xf numFmtId="0" fontId="56" fillId="0" borderId="3" xfId="0" applyFont="1" applyBorder="1" applyAlignment="1">
      <alignment horizontal="center" vertical="center" wrapText="1"/>
    </xf>
    <xf numFmtId="0" fontId="56" fillId="0" borderId="79" xfId="0" applyFont="1" applyBorder="1" applyAlignment="1">
      <alignment horizontal="center" vertical="center" wrapText="1"/>
    </xf>
    <xf numFmtId="0" fontId="56" fillId="0" borderId="61" xfId="0" applyFont="1" applyBorder="1" applyAlignment="1">
      <alignment horizontal="center" vertical="center" wrapText="1"/>
    </xf>
    <xf numFmtId="43" fontId="53" fillId="0" borderId="47" xfId="0" applyNumberFormat="1" applyFont="1" applyBorder="1" applyAlignment="1">
      <alignment horizontal="center" vertical="center"/>
    </xf>
    <xf numFmtId="43" fontId="53" fillId="0" borderId="11" xfId="1" applyFont="1" applyFill="1" applyBorder="1" applyAlignment="1" applyProtection="1">
      <alignment horizontal="center" vertical="center"/>
    </xf>
    <xf numFmtId="166" fontId="53" fillId="0" borderId="0" xfId="0" applyNumberFormat="1" applyFont="1" applyAlignment="1">
      <alignment horizontal="center" vertical="center"/>
    </xf>
    <xf numFmtId="166" fontId="53" fillId="0" borderId="0" xfId="1" applyNumberFormat="1" applyFont="1" applyAlignment="1">
      <alignment horizontal="center" vertical="center"/>
    </xf>
    <xf numFmtId="166" fontId="53" fillId="0" borderId="0" xfId="1" applyNumberFormat="1" applyFont="1" applyFill="1" applyBorder="1" applyAlignment="1" applyProtection="1">
      <alignment horizontal="center" vertical="center"/>
    </xf>
    <xf numFmtId="0" fontId="54" fillId="2" borderId="0" xfId="0" quotePrefix="1" applyFont="1" applyFill="1" applyAlignment="1">
      <alignment horizontal="left" vertical="center" wrapText="1"/>
    </xf>
    <xf numFmtId="0" fontId="54" fillId="2" borderId="0" xfId="0" applyFont="1" applyFill="1" applyAlignment="1">
      <alignment horizontal="left" vertical="center" wrapText="1"/>
    </xf>
    <xf numFmtId="43" fontId="53" fillId="0" borderId="94" xfId="1" applyFont="1" applyFill="1" applyBorder="1" applyAlignment="1" applyProtection="1">
      <alignment horizontal="center" vertical="center"/>
    </xf>
    <xf numFmtId="43" fontId="53" fillId="0" borderId="47" xfId="1" applyFont="1" applyFill="1" applyBorder="1" applyAlignment="1" applyProtection="1">
      <alignment horizontal="center" vertical="center"/>
    </xf>
    <xf numFmtId="2" fontId="53" fillId="0" borderId="25" xfId="0" applyNumberFormat="1" applyFont="1" applyBorder="1" applyAlignment="1">
      <alignment horizontal="right" vertical="center"/>
    </xf>
    <xf numFmtId="2" fontId="53" fillId="0" borderId="20" xfId="0" applyNumberFormat="1" applyFont="1" applyBorder="1" applyAlignment="1">
      <alignment horizontal="right" vertical="center"/>
    </xf>
    <xf numFmtId="41" fontId="53" fillId="0" borderId="0" xfId="2" applyFont="1" applyFill="1" applyBorder="1" applyAlignment="1" applyProtection="1">
      <alignment horizontal="center" vertical="center"/>
    </xf>
    <xf numFmtId="0" fontId="53" fillId="0" borderId="64" xfId="0" applyFont="1" applyBorder="1" applyAlignment="1">
      <alignment horizontal="center" vertical="center" wrapText="1"/>
    </xf>
    <xf numFmtId="0" fontId="53" fillId="0" borderId="70" xfId="0" applyFont="1" applyBorder="1" applyAlignment="1">
      <alignment horizontal="center" vertical="center" wrapText="1"/>
    </xf>
    <xf numFmtId="0" fontId="53" fillId="0" borderId="67" xfId="0" applyFont="1" applyBorder="1" applyAlignment="1">
      <alignment horizontal="center" vertical="center" wrapText="1"/>
    </xf>
    <xf numFmtId="0" fontId="53" fillId="2" borderId="83" xfId="0" applyFont="1" applyFill="1" applyBorder="1" applyAlignment="1">
      <alignment horizontal="center" vertical="center" wrapText="1"/>
    </xf>
    <xf numFmtId="0" fontId="53" fillId="2" borderId="62" xfId="0" applyFont="1" applyFill="1" applyBorder="1" applyAlignment="1">
      <alignment horizontal="center" vertical="center" wrapText="1"/>
    </xf>
    <xf numFmtId="0" fontId="53" fillId="2" borderId="46" xfId="0" applyFont="1" applyFill="1" applyBorder="1" applyAlignment="1">
      <alignment horizontal="center" vertical="center" wrapText="1"/>
    </xf>
    <xf numFmtId="0" fontId="53" fillId="0" borderId="7" xfId="0" applyFont="1" applyBorder="1" applyAlignment="1">
      <alignment horizontal="center" vertical="center" wrapText="1"/>
    </xf>
    <xf numFmtId="0" fontId="53" fillId="0" borderId="32" xfId="0" applyFont="1" applyBorder="1" applyAlignment="1">
      <alignment horizontal="center" vertical="center" wrapText="1"/>
    </xf>
    <xf numFmtId="0" fontId="53" fillId="0" borderId="31" xfId="0" applyFont="1" applyBorder="1" applyAlignment="1">
      <alignment horizontal="center" vertical="center" wrapText="1"/>
    </xf>
    <xf numFmtId="0" fontId="53" fillId="0" borderId="11" xfId="0" applyFont="1" applyBorder="1" applyAlignment="1">
      <alignment horizontal="center" vertical="center" wrapText="1"/>
    </xf>
    <xf numFmtId="0" fontId="53" fillId="5" borderId="26" xfId="0" applyFont="1" applyFill="1" applyBorder="1" applyAlignment="1">
      <alignment horizontal="center" vertical="center" wrapText="1"/>
    </xf>
    <xf numFmtId="0" fontId="53" fillId="10" borderId="11" xfId="0" applyFont="1" applyFill="1" applyBorder="1" applyAlignment="1">
      <alignment horizontal="center" vertical="center" wrapText="1"/>
    </xf>
    <xf numFmtId="0" fontId="53" fillId="5" borderId="25" xfId="0" applyFont="1" applyFill="1" applyBorder="1" applyAlignment="1">
      <alignment horizontal="center" vertical="center" wrapText="1"/>
    </xf>
    <xf numFmtId="0" fontId="53" fillId="5" borderId="47" xfId="0" applyFont="1" applyFill="1" applyBorder="1" applyAlignment="1">
      <alignment horizontal="center" vertical="center" wrapText="1"/>
    </xf>
    <xf numFmtId="0" fontId="53" fillId="5" borderId="20" xfId="0" applyFont="1" applyFill="1" applyBorder="1" applyAlignment="1">
      <alignment horizontal="center" vertical="center" wrapText="1"/>
    </xf>
    <xf numFmtId="0" fontId="53" fillId="5" borderId="22" xfId="0" applyFont="1" applyFill="1" applyBorder="1" applyAlignment="1">
      <alignment horizontal="center" vertical="center" wrapText="1"/>
    </xf>
    <xf numFmtId="0" fontId="53" fillId="5" borderId="5" xfId="0" applyFont="1" applyFill="1" applyBorder="1" applyAlignment="1">
      <alignment horizontal="center" vertical="center" wrapText="1"/>
    </xf>
    <xf numFmtId="0" fontId="53" fillId="5" borderId="23" xfId="0" applyFont="1" applyFill="1" applyBorder="1" applyAlignment="1">
      <alignment horizontal="center" vertical="center" wrapText="1"/>
    </xf>
    <xf numFmtId="0" fontId="53" fillId="7" borderId="25" xfId="0" applyFont="1" applyFill="1" applyBorder="1" applyAlignment="1">
      <alignment horizontal="center" vertical="center" wrapText="1"/>
    </xf>
    <xf numFmtId="0" fontId="53" fillId="7" borderId="20" xfId="0" applyFont="1" applyFill="1" applyBorder="1" applyAlignment="1">
      <alignment horizontal="center" vertical="center" wrapText="1"/>
    </xf>
    <xf numFmtId="0" fontId="53" fillId="7" borderId="47" xfId="0" applyFont="1" applyFill="1" applyBorder="1" applyAlignment="1">
      <alignment horizontal="center" vertical="center" wrapText="1"/>
    </xf>
    <xf numFmtId="43" fontId="53" fillId="7" borderId="22" xfId="1" applyFont="1" applyFill="1" applyBorder="1" applyAlignment="1">
      <alignment horizontal="center" vertical="center"/>
    </xf>
    <xf numFmtId="43" fontId="53" fillId="7" borderId="5" xfId="1" applyFont="1" applyFill="1" applyBorder="1" applyAlignment="1">
      <alignment horizontal="center" vertical="center"/>
    </xf>
    <xf numFmtId="43" fontId="53" fillId="7" borderId="23" xfId="1" applyFont="1" applyFill="1" applyBorder="1" applyAlignment="1">
      <alignment horizontal="center" vertical="center"/>
    </xf>
    <xf numFmtId="0" fontId="53" fillId="0" borderId="14" xfId="0" applyFont="1" applyBorder="1" applyAlignment="1">
      <alignment horizontal="center" vertical="center" wrapText="1"/>
    </xf>
    <xf numFmtId="0" fontId="53" fillId="0" borderId="62" xfId="0" applyFont="1" applyBorder="1" applyAlignment="1">
      <alignment horizontal="center" vertical="center" wrapText="1"/>
    </xf>
    <xf numFmtId="0" fontId="53" fillId="0" borderId="63" xfId="0" applyFont="1" applyBorder="1" applyAlignment="1">
      <alignment horizontal="center" vertical="center" wrapText="1"/>
    </xf>
    <xf numFmtId="0" fontId="53" fillId="0" borderId="83" xfId="0" applyFont="1" applyBorder="1" applyAlignment="1">
      <alignment horizontal="center" vertical="center" wrapText="1"/>
    </xf>
    <xf numFmtId="0" fontId="53" fillId="0" borderId="46" xfId="0" applyFont="1" applyBorder="1" applyAlignment="1">
      <alignment horizontal="center" vertical="center" wrapText="1"/>
    </xf>
    <xf numFmtId="43" fontId="53" fillId="0" borderId="83" xfId="1" applyFont="1" applyFill="1" applyBorder="1" applyAlignment="1">
      <alignment horizontal="center" vertical="center" wrapText="1"/>
    </xf>
    <xf numFmtId="43" fontId="53" fillId="0" borderId="62" xfId="1" applyFont="1" applyFill="1" applyBorder="1" applyAlignment="1">
      <alignment horizontal="center" vertical="center" wrapText="1"/>
    </xf>
    <xf numFmtId="43" fontId="53" fillId="0" borderId="46" xfId="1" applyFont="1" applyFill="1" applyBorder="1" applyAlignment="1">
      <alignment horizontal="center" vertical="center" wrapText="1"/>
    </xf>
    <xf numFmtId="0" fontId="53" fillId="0" borderId="84" xfId="0" applyFont="1" applyBorder="1" applyAlignment="1">
      <alignment horizontal="center" vertical="center" wrapText="1"/>
    </xf>
    <xf numFmtId="0" fontId="53" fillId="0" borderId="81" xfId="0" applyFont="1" applyBorder="1" applyAlignment="1">
      <alignment horizontal="center" vertical="center" wrapText="1"/>
    </xf>
    <xf numFmtId="0" fontId="53" fillId="0" borderId="59" xfId="0" applyFont="1" applyBorder="1" applyAlignment="1">
      <alignment horizontal="center" vertical="center" wrapText="1"/>
    </xf>
    <xf numFmtId="166" fontId="53" fillId="0" borderId="22" xfId="0" applyNumberFormat="1" applyFont="1" applyBorder="1" applyAlignment="1">
      <alignment horizontal="center" vertical="center"/>
    </xf>
    <xf numFmtId="166" fontId="53" fillId="0" borderId="5" xfId="0" applyNumberFormat="1" applyFont="1" applyBorder="1" applyAlignment="1">
      <alignment horizontal="center" vertical="center"/>
    </xf>
    <xf numFmtId="166" fontId="53" fillId="0" borderId="23" xfId="0" applyNumberFormat="1" applyFont="1" applyBorder="1" applyAlignment="1">
      <alignment horizontal="center" vertical="center"/>
    </xf>
    <xf numFmtId="43" fontId="53" fillId="0" borderId="22" xfId="1" applyFont="1" applyFill="1" applyBorder="1" applyAlignment="1">
      <alignment horizontal="center" vertical="center"/>
    </xf>
    <xf numFmtId="43" fontId="53" fillId="0" borderId="5" xfId="1" applyFont="1" applyFill="1" applyBorder="1" applyAlignment="1">
      <alignment horizontal="center" vertical="center"/>
    </xf>
    <xf numFmtId="43" fontId="53" fillId="0" borderId="23" xfId="1" applyFont="1" applyFill="1" applyBorder="1" applyAlignment="1">
      <alignment horizontal="center" vertical="center"/>
    </xf>
    <xf numFmtId="41" fontId="53" fillId="0" borderId="22" xfId="0" applyNumberFormat="1" applyFont="1" applyBorder="1" applyAlignment="1">
      <alignment horizontal="right" vertical="center"/>
    </xf>
    <xf numFmtId="41" fontId="53" fillId="0" borderId="23" xfId="0" applyNumberFormat="1" applyFont="1" applyBorder="1" applyAlignment="1">
      <alignment horizontal="right" vertical="center"/>
    </xf>
    <xf numFmtId="41" fontId="53" fillId="0" borderId="25" xfId="0" applyNumberFormat="1" applyFont="1" applyBorder="1" applyAlignment="1">
      <alignment horizontal="right" vertical="center"/>
    </xf>
    <xf numFmtId="41" fontId="53" fillId="0" borderId="20" xfId="0" applyNumberFormat="1" applyFont="1" applyBorder="1" applyAlignment="1">
      <alignment horizontal="right" vertical="center"/>
    </xf>
    <xf numFmtId="4" fontId="53" fillId="0" borderId="25" xfId="0" applyNumberFormat="1" applyFont="1" applyBorder="1" applyAlignment="1">
      <alignment horizontal="center" vertical="center"/>
    </xf>
    <xf numFmtId="4" fontId="53" fillId="0" borderId="20" xfId="0" applyNumberFormat="1" applyFont="1" applyBorder="1" applyAlignment="1">
      <alignment horizontal="center" vertical="center"/>
    </xf>
    <xf numFmtId="43" fontId="53" fillId="0" borderId="25" xfId="1" applyFont="1" applyFill="1" applyBorder="1" applyAlignment="1" applyProtection="1">
      <alignment vertical="center"/>
    </xf>
    <xf numFmtId="43" fontId="53" fillId="0" borderId="20" xfId="1" applyFont="1" applyFill="1" applyBorder="1" applyAlignment="1" applyProtection="1">
      <alignment vertical="center"/>
    </xf>
    <xf numFmtId="0" fontId="59" fillId="0" borderId="0" xfId="0" applyFont="1" applyAlignment="1">
      <alignment horizontal="center" vertical="center"/>
    </xf>
    <xf numFmtId="166" fontId="53" fillId="0" borderId="47" xfId="0" applyNumberFormat="1" applyFont="1" applyBorder="1" applyAlignment="1">
      <alignment horizontal="center" vertical="center"/>
    </xf>
    <xf numFmtId="166" fontId="53" fillId="0" borderId="20" xfId="0" applyNumberFormat="1" applyFont="1" applyBorder="1" applyAlignment="1">
      <alignment horizontal="center" vertical="center"/>
    </xf>
    <xf numFmtId="43" fontId="53" fillId="0" borderId="27" xfId="0" applyNumberFormat="1" applyFont="1" applyBorder="1" applyAlignment="1">
      <alignment horizontal="center" vertical="center"/>
    </xf>
    <xf numFmtId="43" fontId="53" fillId="0" borderId="72" xfId="0" applyNumberFormat="1" applyFont="1" applyBorder="1" applyAlignment="1">
      <alignment horizontal="center" vertical="center"/>
    </xf>
    <xf numFmtId="43" fontId="53" fillId="0" borderId="28" xfId="0" applyNumberFormat="1" applyFont="1" applyBorder="1" applyAlignment="1">
      <alignment horizontal="center" vertical="center"/>
    </xf>
    <xf numFmtId="4" fontId="53" fillId="0" borderId="27" xfId="0" applyNumberFormat="1" applyFont="1" applyBorder="1" applyAlignment="1">
      <alignment horizontal="center" vertical="center"/>
    </xf>
    <xf numFmtId="4" fontId="53" fillId="0" borderId="28" xfId="0" applyNumberFormat="1" applyFont="1" applyBorder="1" applyAlignment="1">
      <alignment horizontal="center" vertical="center"/>
    </xf>
    <xf numFmtId="2" fontId="53" fillId="0" borderId="25" xfId="0" applyNumberFormat="1" applyFont="1" applyBorder="1" applyAlignment="1">
      <alignment vertical="center"/>
    </xf>
    <xf numFmtId="2" fontId="53" fillId="0" borderId="20" xfId="0" applyNumberFormat="1" applyFont="1" applyBorder="1" applyAlignment="1">
      <alignment vertical="center"/>
    </xf>
    <xf numFmtId="0" fontId="53" fillId="2" borderId="0" xfId="0" applyFont="1" applyFill="1" applyAlignment="1">
      <alignment horizontal="center" vertical="center"/>
    </xf>
    <xf numFmtId="2" fontId="53" fillId="2" borderId="11" xfId="0" applyNumberFormat="1" applyFont="1" applyFill="1" applyBorder="1" applyAlignment="1">
      <alignment horizontal="center" vertical="center"/>
    </xf>
    <xf numFmtId="43" fontId="53" fillId="2" borderId="11" xfId="1" applyFont="1" applyFill="1" applyBorder="1" applyAlignment="1">
      <alignment horizontal="center" vertical="center"/>
    </xf>
    <xf numFmtId="41" fontId="53" fillId="2" borderId="0" xfId="2" applyFont="1" applyFill="1" applyBorder="1" applyAlignment="1" applyProtection="1">
      <alignment horizontal="center" vertical="center"/>
    </xf>
    <xf numFmtId="41" fontId="53" fillId="2" borderId="86" xfId="2" applyFont="1" applyFill="1" applyBorder="1" applyAlignment="1" applyProtection="1">
      <alignment horizontal="center" vertical="center"/>
    </xf>
    <xf numFmtId="0" fontId="53" fillId="5" borderId="11" xfId="0" applyFont="1" applyFill="1" applyBorder="1" applyAlignment="1">
      <alignment horizontal="center" vertical="center" wrapText="1"/>
    </xf>
    <xf numFmtId="4" fontId="53" fillId="0" borderId="22" xfId="0" applyNumberFormat="1" applyFont="1" applyBorder="1" applyAlignment="1">
      <alignment horizontal="center" vertical="center"/>
    </xf>
    <xf numFmtId="4" fontId="53" fillId="0" borderId="23" xfId="0" applyNumberFormat="1" applyFont="1" applyBorder="1" applyAlignment="1">
      <alignment horizontal="center" vertical="center"/>
    </xf>
    <xf numFmtId="43" fontId="53" fillId="0" borderId="25" xfId="1" applyFont="1" applyFill="1" applyBorder="1" applyAlignment="1" applyProtection="1"/>
    <xf numFmtId="43" fontId="53" fillId="0" borderId="20" xfId="1" applyFont="1" applyFill="1" applyBorder="1" applyAlignment="1" applyProtection="1"/>
    <xf numFmtId="43" fontId="53" fillId="0" borderId="25" xfId="0" applyNumberFormat="1" applyFont="1" applyBorder="1" applyAlignment="1">
      <alignment horizontal="center"/>
    </xf>
    <xf numFmtId="43" fontId="53" fillId="0" borderId="47" xfId="0" applyNumberFormat="1" applyFont="1" applyBorder="1" applyAlignment="1">
      <alignment horizontal="center"/>
    </xf>
    <xf numFmtId="43" fontId="53" fillId="0" borderId="20" xfId="0" applyNumberFormat="1" applyFont="1" applyBorder="1" applyAlignment="1">
      <alignment horizontal="center"/>
    </xf>
    <xf numFmtId="43" fontId="53" fillId="0" borderId="25" xfId="1" applyFont="1" applyFill="1" applyBorder="1" applyAlignment="1" applyProtection="1">
      <alignment horizontal="center"/>
    </xf>
    <xf numFmtId="43" fontId="53" fillId="0" borderId="47" xfId="1" applyFont="1" applyFill="1" applyBorder="1" applyAlignment="1" applyProtection="1">
      <alignment horizontal="center"/>
    </xf>
    <xf numFmtId="43" fontId="53" fillId="0" borderId="20" xfId="1" applyFont="1" applyFill="1" applyBorder="1" applyAlignment="1" applyProtection="1">
      <alignment horizontal="center"/>
    </xf>
    <xf numFmtId="43" fontId="53" fillId="0" borderId="27" xfId="0" applyNumberFormat="1" applyFont="1" applyBorder="1" applyAlignment="1">
      <alignment horizontal="center"/>
    </xf>
    <xf numFmtId="43" fontId="53" fillId="0" borderId="72" xfId="0" applyNumberFormat="1" applyFont="1" applyBorder="1" applyAlignment="1">
      <alignment horizontal="center"/>
    </xf>
    <xf numFmtId="43" fontId="53" fillId="0" borderId="28" xfId="0" applyNumberFormat="1" applyFont="1" applyBorder="1" applyAlignment="1">
      <alignment horizontal="center"/>
    </xf>
    <xf numFmtId="2" fontId="53" fillId="0" borderId="25" xfId="0" applyNumberFormat="1" applyFont="1" applyBorder="1"/>
    <xf numFmtId="2" fontId="53" fillId="0" borderId="20" xfId="0" applyNumberFormat="1" applyFont="1" applyBorder="1"/>
    <xf numFmtId="43" fontId="53" fillId="0" borderId="11" xfId="1" applyFont="1" applyFill="1" applyBorder="1" applyAlignment="1" applyProtection="1">
      <alignment horizontal="center"/>
    </xf>
    <xf numFmtId="166" fontId="53" fillId="0" borderId="0" xfId="1" applyNumberFormat="1" applyFont="1" applyFill="1" applyBorder="1" applyAlignment="1" applyProtection="1">
      <alignment horizontal="center"/>
    </xf>
    <xf numFmtId="0" fontId="53" fillId="2" borderId="0" xfId="0" applyFont="1" applyFill="1" applyAlignment="1">
      <alignment horizontal="center"/>
    </xf>
    <xf numFmtId="0" fontId="59" fillId="0" borderId="0" xfId="0" applyFont="1" applyAlignment="1">
      <alignment horizontal="center"/>
    </xf>
    <xf numFmtId="0" fontId="59" fillId="2" borderId="0" xfId="0" applyFont="1" applyFill="1" applyAlignment="1">
      <alignment horizontal="center" vertical="center"/>
    </xf>
    <xf numFmtId="166" fontId="57" fillId="0" borderId="0" xfId="1" applyNumberFormat="1" applyFont="1" applyFill="1" applyBorder="1" applyAlignment="1" applyProtection="1">
      <alignment horizontal="center"/>
    </xf>
    <xf numFmtId="0" fontId="53" fillId="2" borderId="11" xfId="0" applyFont="1" applyFill="1" applyBorder="1" applyAlignment="1">
      <alignment horizontal="center"/>
    </xf>
    <xf numFmtId="43" fontId="53" fillId="0" borderId="0" xfId="1" applyFont="1" applyFill="1" applyBorder="1" applyAlignment="1" applyProtection="1">
      <alignment horizontal="center"/>
    </xf>
    <xf numFmtId="166" fontId="53" fillId="2" borderId="2" xfId="1" applyNumberFormat="1" applyFont="1" applyFill="1" applyBorder="1" applyAlignment="1" applyProtection="1">
      <alignment horizontal="center" vertical="center"/>
    </xf>
    <xf numFmtId="41" fontId="53" fillId="0" borderId="0" xfId="0" applyNumberFormat="1" applyFont="1" applyAlignment="1">
      <alignment horizontal="center" vertical="center"/>
    </xf>
    <xf numFmtId="43" fontId="53" fillId="0" borderId="0" xfId="1" applyFont="1" applyFill="1" applyBorder="1" applyAlignment="1" applyProtection="1">
      <alignment horizontal="center" vertical="center"/>
    </xf>
  </cellXfs>
  <cellStyles count="54">
    <cellStyle name="Comma" xfId="1" builtinId="3"/>
    <cellStyle name="Comma [0]" xfId="2" builtinId="6"/>
    <cellStyle name="Comma [0] 2" xfId="13"/>
    <cellStyle name="Comma [0] 2 2" xfId="37"/>
    <cellStyle name="Comma [0] 3" xfId="32"/>
    <cellStyle name="Comma [0] 3 2" xfId="53"/>
    <cellStyle name="Comma [0] 4" xfId="36"/>
    <cellStyle name="Comma [0] 4 2" xfId="52"/>
    <cellStyle name="Comma 10" xfId="14"/>
    <cellStyle name="Comma 10 2" xfId="38"/>
    <cellStyle name="Comma 11" xfId="15"/>
    <cellStyle name="Comma 11 2" xfId="39"/>
    <cellStyle name="Comma 12" xfId="16"/>
    <cellStyle name="Comma 12 2" xfId="40"/>
    <cellStyle name="Comma 13" xfId="17"/>
    <cellStyle name="Comma 13 2" xfId="41"/>
    <cellStyle name="Comma 14" xfId="28"/>
    <cellStyle name="Comma 15" xfId="51"/>
    <cellStyle name="Comma 2" xfId="5"/>
    <cellStyle name="Comma 2 2" xfId="18"/>
    <cellStyle name="Comma 2 3" xfId="12"/>
    <cellStyle name="Comma 3" xfId="19"/>
    <cellStyle name="Comma 3 2" xfId="42"/>
    <cellStyle name="Comma 4" xfId="20"/>
    <cellStyle name="Comma 4 2" xfId="43"/>
    <cellStyle name="Comma 5" xfId="21"/>
    <cellStyle name="Comma 5 2" xfId="9"/>
    <cellStyle name="Comma 5 2 2" xfId="44"/>
    <cellStyle name="Comma 6" xfId="22"/>
    <cellStyle name="Comma 6 2" xfId="45"/>
    <cellStyle name="Comma 7" xfId="23"/>
    <cellStyle name="Comma 7 2" xfId="46"/>
    <cellStyle name="Comma 8" xfId="24"/>
    <cellStyle name="Comma 8 2" xfId="47"/>
    <cellStyle name="Comma 9" xfId="25"/>
    <cellStyle name="Comma 9 2" xfId="48"/>
    <cellStyle name="Currency 2" xfId="8"/>
    <cellStyle name="Currency 2 2" xfId="29"/>
    <cellStyle name="Good 2" xfId="34"/>
    <cellStyle name="Normal" xfId="0" builtinId="0"/>
    <cellStyle name="Normal 125" xfId="50"/>
    <cellStyle name="Normal 2" xfId="4"/>
    <cellStyle name="Normal 2 2" xfId="7"/>
    <cellStyle name="Normal 2 3" xfId="30"/>
    <cellStyle name="Normal 2 4" xfId="35"/>
    <cellStyle name="Normal 200" xfId="33"/>
    <cellStyle name="Normal 3" xfId="10"/>
    <cellStyle name="Normal 3 2" xfId="49"/>
    <cellStyle name="Normal 3 3" xfId="26"/>
    <cellStyle name="Normal 4" xfId="11"/>
    <cellStyle name="Normal 4 2" xfId="27"/>
    <cellStyle name="Normal 5" xfId="31"/>
    <cellStyle name="Percent" xfId="3" builtinId="5"/>
    <cellStyle name="Percent 2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1"/>
    </mc:Choice>
    <mc:Fallback>
      <c:style val="41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707729838305659E-2"/>
          <c:y val="4.0817524099069413E-2"/>
          <c:w val="0.90461288451254607"/>
          <c:h val="0.681521438870517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'PIT GAR 42'!$C$5:$I$5</c:f>
              <c:strCache>
                <c:ptCount val="1"/>
                <c:pt idx="0">
                  <c:v>OVERBURDEN                                                                                                                                                                (BCM)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trendline>
            <c:spPr>
              <a:ln w="34925" cmpd="sng">
                <a:solidFill>
                  <a:srgbClr val="00B0F0"/>
                </a:solidFill>
              </a:ln>
            </c:spPr>
            <c:trendlineType val="movingAvg"/>
            <c:period val="2"/>
            <c:dispRSqr val="0"/>
            <c:dispEq val="0"/>
          </c:trendline>
          <c:val>
            <c:numRef>
              <c:f>'PIT GAR 42'!$H$8:$H$38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D2F-414E-8276-9C50B229D7A8}"/>
            </c:ext>
          </c:extLst>
        </c:ser>
        <c:ser>
          <c:idx val="1"/>
          <c:order val="1"/>
          <c:tx>
            <c:strRef>
              <c:f>'PIT GAR 42'!$C$5:$I$5</c:f>
              <c:strCache>
                <c:ptCount val="1"/>
                <c:pt idx="0">
                  <c:v>OVERBURDEN                                                                                                                                                                (BCM)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</c:spPr>
          <c:invertIfNegative val="0"/>
          <c:trendline>
            <c:spPr>
              <a:ln w="31750">
                <a:solidFill>
                  <a:schemeClr val="accent6">
                    <a:lumMod val="75000"/>
                  </a:schemeClr>
                </a:solidFill>
              </a:ln>
            </c:spPr>
            <c:trendlineType val="movingAvg"/>
            <c:period val="2"/>
            <c:dispRSqr val="0"/>
            <c:dispEq val="0"/>
          </c:trendline>
          <c:val>
            <c:numRef>
              <c:f>'PIT GAR 42'!$M$8:$M$38</c:f>
              <c:numCache>
                <c:formatCode>_(* #,##0.00_);_(* \(#,##0.00\);_(* "-"??_);_(@_)</c:formatCode>
                <c:ptCount val="3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D2F-414E-8276-9C50B229D7A8}"/>
            </c:ext>
          </c:extLst>
        </c:ser>
        <c:ser>
          <c:idx val="2"/>
          <c:order val="2"/>
          <c:tx>
            <c:strRef>
              <c:f>'PIT GAR 42'!$X$5:$Z$5</c:f>
              <c:strCache>
                <c:ptCount val="1"/>
                <c:pt idx="0">
                  <c:v>SR</c:v>
                </c:pt>
              </c:strCache>
            </c:strRef>
          </c:tx>
          <c:invertIfNegative val="0"/>
          <c:val>
            <c:numRef>
              <c:f>'PIT GAR 42'!$Y$8:$Y$38</c:f>
              <c:numCache>
                <c:formatCode>#,##0.00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6D2F-414E-8276-9C50B229D7A8}"/>
            </c:ext>
          </c:extLst>
        </c:ser>
        <c:ser>
          <c:idx val="3"/>
          <c:order val="3"/>
          <c:tx>
            <c:strRef>
              <c:f>'PIT GAR 42'!$AC$5:$AC$7</c:f>
              <c:strCache>
                <c:ptCount val="3"/>
                <c:pt idx="0">
                  <c:v>FR</c:v>
                </c:pt>
              </c:strCache>
            </c:strRef>
          </c:tx>
          <c:invertIfNegative val="0"/>
          <c:val>
            <c:numRef>
              <c:f>'PIT GAR 42'!$AC$8:$AC$38</c:f>
              <c:numCache>
                <c:formatCode>_(* #,##0.00_);_(* \(#,##0.00\);_(*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D2F-414E-8276-9C50B229D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8900512"/>
        <c:axId val="569430472"/>
      </c:barChart>
      <c:catAx>
        <c:axId val="568900512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569430472"/>
        <c:crosses val="autoZero"/>
        <c:auto val="1"/>
        <c:lblAlgn val="ctr"/>
        <c:lblOffset val="100"/>
        <c:noMultiLvlLbl val="0"/>
      </c:catAx>
      <c:valAx>
        <c:axId val="56943047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none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56890051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en-US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485775</xdr:colOff>
      <xdr:row>48</xdr:row>
      <xdr:rowOff>76198</xdr:rowOff>
    </xdr:from>
    <xdr:to>
      <xdr:col>25</xdr:col>
      <xdr:colOff>285750</xdr:colOff>
      <xdr:row>80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1%20MCC%20Data\Data%20MCC\MCC%202019\February%202019\Daily%20Report\Daily%20Report%2031%20Desember%20201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li\AppData\Local\Temp\DAILY%20REPORT\Daily%20Report%2016%20April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ddy%20Darmawan\Downloads\Daily%20Report%201%20JANUARI%20%202023.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ddy%20Darmawan\Downloads\Daily%20Report%202%20JANUARI%20%202023.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orShare\Tahun%202023\3.%20MARET\03.%20Maret%20HM,%20FUEL%20&amp;%20DOWNTIME%202022.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ddy%20Darmawan\Downloads\Daily%20Report%2015%20APRIL%20%202024%20-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ahun%202023\2.%20FEBRUARY\01.%20Febuari%20HM,%20FUEL%20&amp;%20DOWNTIME%202022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et.1"/>
      <sheetName val="PIT GAR 42"/>
      <sheetName val="Sheet1"/>
      <sheetName val="Sheet2"/>
      <sheetName val="Daily All PIT"/>
      <sheetName val="PIT GAR 55"/>
      <sheetName val="PIT GAR 50"/>
      <sheetName val="Fleet"/>
      <sheetName val="Prodty"/>
      <sheetName val="Sheet4"/>
      <sheetName val="Sheet3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8">
          <cell r="O8">
            <v>76</v>
          </cell>
        </row>
        <row r="9">
          <cell r="O9">
            <v>34</v>
          </cell>
        </row>
        <row r="10">
          <cell r="O10">
            <v>85</v>
          </cell>
        </row>
        <row r="11">
          <cell r="O11">
            <v>77</v>
          </cell>
        </row>
        <row r="12">
          <cell r="O12">
            <v>35</v>
          </cell>
        </row>
        <row r="13">
          <cell r="O13">
            <v>83</v>
          </cell>
        </row>
        <row r="14">
          <cell r="O14">
            <v>40</v>
          </cell>
        </row>
        <row r="15">
          <cell r="O15">
            <v>66</v>
          </cell>
        </row>
        <row r="16">
          <cell r="O16">
            <v>0</v>
          </cell>
        </row>
        <row r="17">
          <cell r="O17">
            <v>61</v>
          </cell>
        </row>
        <row r="18">
          <cell r="O18">
            <v>34</v>
          </cell>
        </row>
        <row r="19">
          <cell r="O19">
            <v>63</v>
          </cell>
        </row>
        <row r="20">
          <cell r="O20">
            <v>80</v>
          </cell>
        </row>
        <row r="21">
          <cell r="O21">
            <v>61</v>
          </cell>
        </row>
        <row r="26">
          <cell r="O26">
            <v>80</v>
          </cell>
        </row>
        <row r="27">
          <cell r="O27">
            <v>87</v>
          </cell>
        </row>
        <row r="28">
          <cell r="O28">
            <v>99</v>
          </cell>
        </row>
        <row r="29">
          <cell r="O29">
            <v>73</v>
          </cell>
        </row>
        <row r="30">
          <cell r="O30">
            <v>14</v>
          </cell>
        </row>
        <row r="31">
          <cell r="O31">
            <v>55</v>
          </cell>
        </row>
        <row r="33">
          <cell r="O33">
            <v>125</v>
          </cell>
        </row>
        <row r="34">
          <cell r="O34">
            <v>63</v>
          </cell>
        </row>
        <row r="35">
          <cell r="O35">
            <v>35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 All PIT"/>
      <sheetName val="PIT GAR 55"/>
      <sheetName val="Fleet.1"/>
      <sheetName val="PIT GAR 42"/>
      <sheetName val="Fleet"/>
      <sheetName val="Sheet1"/>
      <sheetName val="Sheet2"/>
      <sheetName val="Prodty"/>
      <sheetName val="Sheet4"/>
      <sheetName val="Sheet3"/>
      <sheetName val="Sheet5"/>
    </sheetNames>
    <sheetDataSet>
      <sheetData sheetId="0" refreshError="1">
        <row r="23">
          <cell r="M23">
            <v>422.64</v>
          </cell>
          <cell r="AF23">
            <v>366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et.1"/>
      <sheetName val="PIT GAR 42"/>
      <sheetName val="Sheet1"/>
      <sheetName val="Sheet2"/>
      <sheetName val="Daily All PIT"/>
      <sheetName val="PIT GAR 55"/>
      <sheetName val="PIT GAR 50"/>
      <sheetName val="Fleet"/>
      <sheetName val="Prodty"/>
      <sheetName val="Sheet4"/>
      <sheetName val="Sheet3"/>
      <sheetName val="Sheet5"/>
      <sheetName val="Sheet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6">
          <cell r="G26">
            <v>2492</v>
          </cell>
        </row>
        <row r="32">
          <cell r="G32">
            <v>1540</v>
          </cell>
        </row>
        <row r="37">
          <cell r="G37">
            <v>4488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et.1"/>
      <sheetName val="PIT GAR 42"/>
      <sheetName val="Sheet1"/>
      <sheetName val="Sheet2"/>
      <sheetName val="Daily All PIT"/>
      <sheetName val="PIT GAR 55"/>
      <sheetName val="PIT GAR 50"/>
      <sheetName val="Fleet"/>
      <sheetName val="Prodty"/>
      <sheetName val="Sheet4"/>
      <sheetName val="Sheet3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>
        <row r="9">
          <cell r="F9">
            <v>418</v>
          </cell>
        </row>
      </sheetData>
      <sheetData sheetId="6">
        <row r="9">
          <cell r="D9">
            <v>14796</v>
          </cell>
        </row>
      </sheetData>
      <sheetData sheetId="7">
        <row r="9">
          <cell r="G9">
            <v>770</v>
          </cell>
        </row>
        <row r="13">
          <cell r="G13">
            <v>1276</v>
          </cell>
        </row>
        <row r="15">
          <cell r="G15">
            <v>1628</v>
          </cell>
        </row>
        <row r="16">
          <cell r="G16">
            <v>770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5"/>
      <sheetName val="42"/>
      <sheetName val="jetty"/>
      <sheetName val="HM INPUT"/>
      <sheetName val="HM Shiftly"/>
      <sheetName val="HM Daily"/>
      <sheetName val="Fuel Shiftly (2)"/>
      <sheetName val="fuel full to full per shift"/>
      <sheetName val="Fuel Shiftly"/>
      <sheetName val="Fuel Daily"/>
      <sheetName val="fuel 42 gar"/>
      <sheetName val="fuel 55 gar"/>
      <sheetName val="fuel 50 gar"/>
      <sheetName val="Rekap"/>
      <sheetName val="HM"/>
      <sheetName val="DOWNTIME"/>
      <sheetName val="STB"/>
      <sheetName val="MOHH"/>
      <sheetName val="MA"/>
      <sheetName val="PA"/>
      <sheetName val="UA"/>
      <sheetName val="FUEL CONSUMPTION"/>
      <sheetName val="Raw Data "/>
      <sheetName val="fuel  full to full performance"/>
      <sheetName val="hm full to full"/>
      <sheetName val="FUEL SISTEM PRODUKSI"/>
      <sheetName val="REKAPAN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51">
          <cell r="F251">
            <v>1973</v>
          </cell>
          <cell r="I251">
            <v>890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et.1"/>
      <sheetName val="PIT GAR 42"/>
      <sheetName val="Sheet1"/>
      <sheetName val="Sheet2"/>
      <sheetName val="Daily All PIT"/>
      <sheetName val="PIT GAR 55"/>
      <sheetName val="PIT GAR 50"/>
      <sheetName val="Fleet"/>
      <sheetName val="Prodty"/>
      <sheetName val="Sheet4"/>
      <sheetName val="Sheet3"/>
      <sheetName val="Sheet5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>
        <row r="22">
          <cell r="D22">
            <v>16648</v>
          </cell>
          <cell r="F22">
            <v>19268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5"/>
      <sheetName val="42"/>
      <sheetName val="jetty"/>
      <sheetName val="HM INPUT"/>
      <sheetName val="HM Shiftly"/>
      <sheetName val="HM Daily"/>
      <sheetName val="Fuel Shiftly (2)"/>
      <sheetName val="fuel full to full per shift"/>
      <sheetName val="Fuel Shiftly"/>
      <sheetName val="Fuel Daily"/>
      <sheetName val="fuel 42 gar"/>
      <sheetName val="fuel 55 gar"/>
      <sheetName val="fuel 50 gar"/>
      <sheetName val="Rekap"/>
      <sheetName val="HM"/>
      <sheetName val="DOWNTIME"/>
      <sheetName val="STB"/>
      <sheetName val="MOHH"/>
      <sheetName val="MA"/>
      <sheetName val="PA"/>
      <sheetName val="UA"/>
      <sheetName val="FUEL CONSUMPTION"/>
      <sheetName val="Raw Data "/>
      <sheetName val="fuel  full to full performance"/>
      <sheetName val="hm full to full"/>
      <sheetName val="FUEL SISTEM PRODUKSI"/>
      <sheetName val="REKAPAN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99">
          <cell r="BP399">
            <v>585220.40714285709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2:AT88"/>
  <sheetViews>
    <sheetView showGridLines="0" zoomScale="60" zoomScaleNormal="60" workbookViewId="0">
      <pane xSplit="2" ySplit="7" topLeftCell="C29" activePane="bottomRight" state="frozen"/>
      <selection pane="topRight" activeCell="C1" sqref="C1"/>
      <selection pane="bottomLeft" activeCell="A8" sqref="A8"/>
      <selection pane="bottomRight" activeCell="G34" sqref="G34"/>
    </sheetView>
  </sheetViews>
  <sheetFormatPr defaultColWidth="21.26171875" defaultRowHeight="17.7" x14ac:dyDescent="0.55000000000000004"/>
  <cols>
    <col min="1" max="1" width="7.26171875" style="404" customWidth="1"/>
    <col min="2" max="2" width="21.83984375" style="404" bestFit="1" customWidth="1"/>
    <col min="3" max="3" width="30.15625" style="195" bestFit="1" customWidth="1"/>
    <col min="4" max="4" width="21" style="404" bestFit="1" customWidth="1"/>
    <col min="5" max="5" width="15.41796875" style="492" bestFit="1" customWidth="1"/>
    <col min="6" max="6" width="12" style="404" customWidth="1"/>
    <col min="7" max="7" width="20.68359375" style="218" customWidth="1"/>
    <col min="8" max="8" width="23.41796875" style="410" customWidth="1"/>
    <col min="9" max="9" width="15.26171875" style="218" bestFit="1" customWidth="1"/>
    <col min="10" max="10" width="20.15625" style="195" customWidth="1"/>
    <col min="11" max="11" width="15.578125" style="404" hidden="1" customWidth="1"/>
    <col min="12" max="12" width="15.578125" style="404" customWidth="1"/>
    <col min="13" max="13" width="23.26171875" style="195" bestFit="1" customWidth="1"/>
    <col min="14" max="14" width="20.68359375" style="218" bestFit="1" customWidth="1"/>
    <col min="15" max="15" width="21" style="218" bestFit="1" customWidth="1"/>
    <col min="16" max="16" width="21.83984375" style="218" bestFit="1" customWidth="1"/>
    <col min="17" max="17" width="11.15625" style="404" hidden="1" customWidth="1"/>
    <col min="18" max="19" width="0" style="404" hidden="1" customWidth="1"/>
    <col min="20" max="20" width="0" style="195" hidden="1" customWidth="1"/>
    <col min="21" max="22" width="0" style="404" hidden="1" customWidth="1"/>
    <col min="23" max="23" width="1" style="410" hidden="1" customWidth="1"/>
    <col min="24" max="25" width="20.68359375" style="410" bestFit="1" customWidth="1"/>
    <col min="26" max="26" width="20.83984375" style="404" customWidth="1"/>
    <col min="27" max="27" width="10.83984375" style="404" bestFit="1" customWidth="1"/>
    <col min="28" max="28" width="15.578125" style="404" customWidth="1"/>
    <col min="29" max="29" width="13" style="404" customWidth="1"/>
    <col min="30" max="30" width="15.68359375" style="404" bestFit="1" customWidth="1"/>
    <col min="31" max="31" width="15.15625" style="404" bestFit="1" customWidth="1"/>
    <col min="32" max="32" width="15.578125" style="218" bestFit="1" customWidth="1"/>
    <col min="33" max="33" width="11.83984375" style="404" hidden="1" customWidth="1"/>
    <col min="34" max="34" width="23.15625" style="404" hidden="1" customWidth="1"/>
    <col min="35" max="35" width="23.26171875" style="698" customWidth="1"/>
    <col min="36" max="36" width="21.41796875" style="195" bestFit="1" customWidth="1"/>
    <col min="37" max="37" width="23.41796875" style="404" hidden="1" customWidth="1"/>
    <col min="38" max="44" width="21.68359375" style="404" hidden="1" customWidth="1"/>
    <col min="45" max="45" width="0" style="404" hidden="1" customWidth="1"/>
    <col min="46" max="46" width="21.578125" style="408" hidden="1" customWidth="1"/>
    <col min="47" max="47" width="21.41796875" style="404" bestFit="1" customWidth="1"/>
    <col min="48" max="16384" width="21.26171875" style="404"/>
  </cols>
  <sheetData>
    <row r="2" spans="2:46" s="405" customFormat="1" x14ac:dyDescent="0.55000000000000004">
      <c r="B2" s="315" t="s">
        <v>33</v>
      </c>
      <c r="C2" s="406"/>
      <c r="E2" s="491"/>
      <c r="G2" s="217"/>
      <c r="H2" s="407"/>
      <c r="I2" s="217"/>
      <c r="J2" s="406"/>
      <c r="M2" s="406"/>
      <c r="N2" s="217"/>
      <c r="O2" s="217"/>
      <c r="P2" s="217"/>
      <c r="T2" s="406"/>
      <c r="W2" s="407"/>
      <c r="X2" s="407"/>
      <c r="Y2" s="407"/>
      <c r="AE2" s="408" t="s">
        <v>137</v>
      </c>
      <c r="AF2" s="217"/>
      <c r="AI2" s="697"/>
      <c r="AJ2" s="406">
        <f>12891+17157+10856+4825+10248+4903</f>
        <v>60880</v>
      </c>
      <c r="AT2" s="408"/>
    </row>
    <row r="3" spans="2:46" s="405" customFormat="1" x14ac:dyDescent="0.55000000000000004">
      <c r="B3" s="315" t="s">
        <v>218</v>
      </c>
      <c r="C3" s="406"/>
      <c r="E3" s="491"/>
      <c r="G3" s="217"/>
      <c r="H3" s="407"/>
      <c r="I3" s="217"/>
      <c r="J3" s="406"/>
      <c r="M3" s="406"/>
      <c r="N3" s="406"/>
      <c r="O3" s="406"/>
      <c r="P3" s="406"/>
      <c r="Q3" s="409"/>
      <c r="R3" s="409"/>
      <c r="T3" s="406"/>
      <c r="W3" s="407"/>
      <c r="X3" s="407"/>
      <c r="Y3" s="407"/>
      <c r="AF3" s="217"/>
      <c r="AI3" s="697"/>
      <c r="AJ3" s="406"/>
      <c r="AT3" s="408"/>
    </row>
    <row r="4" spans="2:46" ht="18" thickBot="1" x14ac:dyDescent="0.6">
      <c r="B4" s="454" t="s">
        <v>136</v>
      </c>
      <c r="AK4" s="404" t="s">
        <v>0</v>
      </c>
    </row>
    <row r="5" spans="2:46" s="339" customFormat="1" ht="40.5" customHeight="1" x14ac:dyDescent="0.55000000000000004">
      <c r="B5" s="1417" t="s">
        <v>1</v>
      </c>
      <c r="C5" s="1419" t="s">
        <v>119</v>
      </c>
      <c r="D5" s="1419"/>
      <c r="E5" s="1419"/>
      <c r="F5" s="1419"/>
      <c r="G5" s="1419"/>
      <c r="H5" s="1419"/>
      <c r="I5" s="1419"/>
      <c r="J5" s="1419"/>
      <c r="K5" s="1419"/>
      <c r="L5" s="783"/>
      <c r="M5" s="1415" t="s">
        <v>19</v>
      </c>
      <c r="N5" s="1415"/>
      <c r="O5" s="1415"/>
      <c r="P5" s="1415"/>
      <c r="Q5" s="1415"/>
      <c r="R5" s="1415"/>
      <c r="S5" s="1415"/>
      <c r="T5" s="1420" t="s">
        <v>2</v>
      </c>
      <c r="U5" s="1407" t="s">
        <v>3</v>
      </c>
      <c r="V5" s="1407"/>
      <c r="W5" s="1407"/>
      <c r="X5" s="1407" t="s">
        <v>94</v>
      </c>
      <c r="Y5" s="1407" t="s">
        <v>95</v>
      </c>
      <c r="Z5" s="1407" t="s">
        <v>4</v>
      </c>
      <c r="AA5" s="1407" t="s">
        <v>5</v>
      </c>
      <c r="AB5" s="1407"/>
      <c r="AC5" s="1407"/>
      <c r="AD5" s="1407" t="s">
        <v>99</v>
      </c>
      <c r="AE5" s="1407" t="s">
        <v>100</v>
      </c>
      <c r="AF5" s="1415" t="s">
        <v>6</v>
      </c>
      <c r="AG5" s="1407" t="s">
        <v>7</v>
      </c>
      <c r="AH5" s="1407" t="s">
        <v>8</v>
      </c>
      <c r="AI5" s="1413" t="s">
        <v>121</v>
      </c>
      <c r="AJ5" s="453"/>
      <c r="AK5" s="1412" t="s">
        <v>2</v>
      </c>
      <c r="AL5" s="1404" t="s">
        <v>97</v>
      </c>
      <c r="AM5" s="1404" t="s">
        <v>98</v>
      </c>
    </row>
    <row r="6" spans="2:46" s="337" customFormat="1" ht="19" customHeight="1" x14ac:dyDescent="0.55000000000000004">
      <c r="B6" s="1418"/>
      <c r="C6" s="1421" t="s">
        <v>14</v>
      </c>
      <c r="D6" s="1408" t="s">
        <v>113</v>
      </c>
      <c r="E6" s="1408"/>
      <c r="F6" s="1408"/>
      <c r="G6" s="1408"/>
      <c r="H6" s="1408"/>
      <c r="I6" s="1408"/>
      <c r="J6" s="1408"/>
      <c r="K6" s="1408" t="s">
        <v>21</v>
      </c>
      <c r="L6" s="719"/>
      <c r="M6" s="1421" t="s">
        <v>14</v>
      </c>
      <c r="N6" s="1408" t="s">
        <v>17</v>
      </c>
      <c r="O6" s="1408"/>
      <c r="P6" s="1408"/>
      <c r="Q6" s="1408" t="s">
        <v>21</v>
      </c>
      <c r="R6" s="1408" t="s">
        <v>17</v>
      </c>
      <c r="S6" s="1408"/>
      <c r="T6" s="1421"/>
      <c r="U6" s="1408"/>
      <c r="V6" s="1408"/>
      <c r="W6" s="1408"/>
      <c r="X6" s="1408"/>
      <c r="Y6" s="1408"/>
      <c r="Z6" s="1408"/>
      <c r="AA6" s="1408"/>
      <c r="AB6" s="1408"/>
      <c r="AC6" s="1408"/>
      <c r="AD6" s="1408"/>
      <c r="AE6" s="1408"/>
      <c r="AF6" s="1416"/>
      <c r="AG6" s="1408"/>
      <c r="AH6" s="1408"/>
      <c r="AI6" s="1414"/>
      <c r="AJ6" s="338"/>
      <c r="AK6" s="1412"/>
      <c r="AL6" s="1405"/>
      <c r="AM6" s="1405"/>
      <c r="AT6" s="339"/>
    </row>
    <row r="7" spans="2:46" s="337" customFormat="1" ht="52.5" customHeight="1" x14ac:dyDescent="0.55000000000000004">
      <c r="B7" s="1418"/>
      <c r="C7" s="1421"/>
      <c r="D7" s="719" t="s">
        <v>9</v>
      </c>
      <c r="E7" s="1408" t="s">
        <v>182</v>
      </c>
      <c r="F7" s="1408"/>
      <c r="G7" s="720" t="s">
        <v>10</v>
      </c>
      <c r="H7" s="1408" t="s">
        <v>112</v>
      </c>
      <c r="I7" s="1408"/>
      <c r="J7" s="721" t="s">
        <v>15</v>
      </c>
      <c r="K7" s="1408"/>
      <c r="L7" s="719" t="s">
        <v>21</v>
      </c>
      <c r="M7" s="1421"/>
      <c r="N7" s="719" t="s">
        <v>9</v>
      </c>
      <c r="O7" s="720" t="s">
        <v>10</v>
      </c>
      <c r="P7" s="720" t="s">
        <v>15</v>
      </c>
      <c r="Q7" s="1408"/>
      <c r="R7" s="719" t="s">
        <v>12</v>
      </c>
      <c r="S7" s="719" t="s">
        <v>13</v>
      </c>
      <c r="T7" s="1421"/>
      <c r="U7" s="719" t="s">
        <v>9</v>
      </c>
      <c r="V7" s="722" t="s">
        <v>10</v>
      </c>
      <c r="W7" s="723" t="s">
        <v>11</v>
      </c>
      <c r="X7" s="1408"/>
      <c r="Y7" s="1408"/>
      <c r="Z7" s="1408"/>
      <c r="AA7" s="719" t="s">
        <v>14</v>
      </c>
      <c r="AB7" s="719" t="s">
        <v>18</v>
      </c>
      <c r="AC7" s="719" t="s">
        <v>16</v>
      </c>
      <c r="AD7" s="1408"/>
      <c r="AE7" s="1408"/>
      <c r="AF7" s="1416"/>
      <c r="AG7" s="1408"/>
      <c r="AH7" s="1408"/>
      <c r="AI7" s="1414"/>
      <c r="AJ7" s="338"/>
      <c r="AK7" s="1412"/>
      <c r="AL7" s="1406"/>
      <c r="AM7" s="1406"/>
      <c r="AT7" s="339"/>
    </row>
    <row r="8" spans="2:46" s="176" customFormat="1" ht="35.1" customHeight="1" x14ac:dyDescent="0.55000000000000004">
      <c r="B8" s="743">
        <v>45383</v>
      </c>
      <c r="C8" s="725">
        <f>'55 REV-'!D9+'50 REV'!D8</f>
        <v>90000</v>
      </c>
      <c r="D8" s="718">
        <f>'55 REV-'!M9+'50 REV'!L8</f>
        <v>70028</v>
      </c>
      <c r="E8" s="724">
        <f>'55 REV-'!H9+'50 REV'!G8</f>
        <v>11</v>
      </c>
      <c r="F8" s="680" t="s">
        <v>118</v>
      </c>
      <c r="G8" s="718">
        <f>'55 REV-'!J9+'50 REV'!I8</f>
        <v>36720</v>
      </c>
      <c r="H8" s="724">
        <f>'55 REV-'!K9+'50 REV'!J8</f>
        <v>11</v>
      </c>
      <c r="I8" s="680" t="s">
        <v>118</v>
      </c>
      <c r="J8" s="760">
        <f>+G8+D8</f>
        <v>106748</v>
      </c>
      <c r="K8" s="678">
        <f t="shared" ref="K8:K35" si="0">IFERROR(+J8/C8,"")</f>
        <v>1.186088888888889</v>
      </c>
      <c r="L8" s="678">
        <f>IFERROR(J8/C8,"")</f>
        <v>1.186088888888889</v>
      </c>
      <c r="M8" s="650">
        <f>'55 REV-'!R9+'50 REV'!O8</f>
        <v>6300</v>
      </c>
      <c r="N8" s="650">
        <f>'55 REV-'!T9+'50 REV'!Q8</f>
        <v>2966.04</v>
      </c>
      <c r="O8" s="650">
        <f>'55 REV-'!U9+'50 REV'!R8</f>
        <v>1744.13</v>
      </c>
      <c r="P8" s="774">
        <f>+O8+N8</f>
        <v>4710.17</v>
      </c>
      <c r="Q8" s="678">
        <f t="shared" ref="Q8:Q35" si="1">IFERROR(+P8/M8,"")</f>
        <v>0.74764603174603173</v>
      </c>
      <c r="R8" s="726">
        <f>+'[1]Daily All PIT'!$O$8</f>
        <v>76</v>
      </c>
      <c r="S8" s="677">
        <f>+P8/1.27</f>
        <v>3708.7952755905512</v>
      </c>
      <c r="T8" s="725">
        <f t="shared" ref="T8:T21" si="2">J8+S8</f>
        <v>110456.79527559056</v>
      </c>
      <c r="U8" s="727" t="e">
        <f>+'PIT GAR 42'!R8+#REF!</f>
        <v>#REF!</v>
      </c>
      <c r="V8" s="727" t="e">
        <f>+'PIT GAR 42'!S8+#REF!</f>
        <v>#REF!</v>
      </c>
      <c r="W8" s="727" t="e">
        <f>U8+V8</f>
        <v>#REF!</v>
      </c>
      <c r="X8" s="679">
        <f>'55 REV-'!Z9+'50 REV'!W8</f>
        <v>38914</v>
      </c>
      <c r="Y8" s="679">
        <f>'55 REV-'!AA9+'50 REV'!X8</f>
        <v>33182</v>
      </c>
      <c r="Z8" s="728">
        <f>+X8+Y8</f>
        <v>72096</v>
      </c>
      <c r="AA8" s="677">
        <f t="shared" ref="AA8:AA36" si="3">+IFERROR(C8/M8,0)</f>
        <v>14.285714285714286</v>
      </c>
      <c r="AB8" s="677">
        <f t="shared" ref="AB8:AB36" si="4">+IFERROR(J8/P8,0)</f>
        <v>22.663300899967517</v>
      </c>
      <c r="AC8" s="678">
        <f>IFERROR(+AB8/AA8,"")</f>
        <v>1.5864310629977261</v>
      </c>
      <c r="AD8" s="650">
        <f t="shared" ref="AD8:AD14" si="5">+X8/(D8+(N8/1.27))</f>
        <v>0.53775755808386361</v>
      </c>
      <c r="AE8" s="650">
        <f>+Y8/(G8+(O8/1.27))</f>
        <v>0.87107111357042066</v>
      </c>
      <c r="AF8" s="650">
        <f t="shared" ref="AF8:AF36" si="6">+Z8/(J8+(P8/1.27))</f>
        <v>0.6527076928143708</v>
      </c>
      <c r="AG8" s="729"/>
      <c r="AH8" s="729"/>
      <c r="AI8" s="782"/>
      <c r="AJ8" s="706">
        <f>AI8+Z8</f>
        <v>72096</v>
      </c>
      <c r="AK8" s="605">
        <f>+AL8+AM8</f>
        <v>110456.79527559056</v>
      </c>
      <c r="AL8" s="605">
        <f t="shared" ref="AL8:AL31" si="7">+AN8+D8</f>
        <v>72363.464566929135</v>
      </c>
      <c r="AM8" s="605">
        <f t="shared" ref="AM8:AM31" si="8">+AO8+G8</f>
        <v>38093.330708661415</v>
      </c>
      <c r="AN8" s="176">
        <f t="shared" ref="AN8:AN31" si="9">+N8/1.27</f>
        <v>2335.464566929134</v>
      </c>
      <c r="AO8" s="176">
        <f t="shared" ref="AO8:AO31" si="10">+O8/1.27</f>
        <v>1373.3307086614175</v>
      </c>
      <c r="AP8" s="176">
        <f>+AO8+AN8</f>
        <v>3708.7952755905517</v>
      </c>
      <c r="AQ8" s="209">
        <f t="shared" ref="AQ8:AQ31" si="11">+AP8-S8</f>
        <v>0</v>
      </c>
      <c r="AR8" s="606">
        <f t="shared" ref="AR8:AR31" si="12">+AP8+J8</f>
        <v>110456.79527559056</v>
      </c>
      <c r="AT8" s="607"/>
    </row>
    <row r="9" spans="2:46" s="670" customFormat="1" ht="35.1" customHeight="1" x14ac:dyDescent="0.55000000000000004">
      <c r="B9" s="743">
        <v>45384</v>
      </c>
      <c r="C9" s="725">
        <f>'55 REV-'!D10+'50 REV'!D9</f>
        <v>90000</v>
      </c>
      <c r="D9" s="718">
        <f>'55 REV-'!M10+'50 REV'!L9</f>
        <v>65666</v>
      </c>
      <c r="E9" s="724">
        <f>'55 REV-'!H10+'50 REV'!G9</f>
        <v>11</v>
      </c>
      <c r="F9" s="680" t="s">
        <v>118</v>
      </c>
      <c r="G9" s="718">
        <f>'55 REV-'!J10+'50 REV'!I9</f>
        <v>34974</v>
      </c>
      <c r="H9" s="724">
        <f>'55 REV-'!K10+'50 REV'!J9</f>
        <v>11</v>
      </c>
      <c r="I9" s="680" t="s">
        <v>118</v>
      </c>
      <c r="J9" s="760">
        <f>+G9+D9</f>
        <v>100640</v>
      </c>
      <c r="K9" s="713">
        <f t="shared" si="0"/>
        <v>1.1182222222222222</v>
      </c>
      <c r="L9" s="678">
        <f t="shared" ref="L9:L36" si="13">IFERROR(J9/C9,"")</f>
        <v>1.1182222222222222</v>
      </c>
      <c r="M9" s="650">
        <f>'55 REV-'!R10+'50 REV'!O9</f>
        <v>6300</v>
      </c>
      <c r="N9" s="650">
        <f>'55 REV-'!T10+'50 REV'!Q9</f>
        <v>2665.37</v>
      </c>
      <c r="O9" s="650">
        <f>'55 REV-'!U10+'50 REV'!R9</f>
        <v>2427.59</v>
      </c>
      <c r="P9" s="774">
        <f>+O9+N9</f>
        <v>5092.96</v>
      </c>
      <c r="Q9" s="713">
        <f t="shared" si="1"/>
        <v>0.80840634920634924</v>
      </c>
      <c r="R9" s="731">
        <f>+'[1]Daily All PIT'!O9</f>
        <v>34</v>
      </c>
      <c r="S9" s="668">
        <f>+P9/1.27</f>
        <v>4010.2047244094488</v>
      </c>
      <c r="T9" s="730">
        <f t="shared" si="2"/>
        <v>104650.20472440944</v>
      </c>
      <c r="U9" s="732" t="e">
        <f>+'PIT GAR 42'!R9+#REF!</f>
        <v>#REF!</v>
      </c>
      <c r="V9" s="732" t="e">
        <f>+'PIT GAR 42'!S9+#REF!</f>
        <v>#REF!</v>
      </c>
      <c r="W9" s="732" t="e">
        <f>U9+V9</f>
        <v>#REF!</v>
      </c>
      <c r="X9" s="679">
        <f>'55 REV-'!Z10+'50 REV'!W9</f>
        <v>37956.5</v>
      </c>
      <c r="Y9" s="679">
        <f>'55 REV-'!AA10+'50 REV'!X9</f>
        <v>32231</v>
      </c>
      <c r="Z9" s="728">
        <f t="shared" ref="Z9:Z39" si="14">+X9+Y9</f>
        <v>70187.5</v>
      </c>
      <c r="AA9" s="668">
        <f t="shared" si="3"/>
        <v>14.285714285714286</v>
      </c>
      <c r="AB9" s="668">
        <f t="shared" si="4"/>
        <v>19.760610725393484</v>
      </c>
      <c r="AC9" s="713">
        <f>IFERROR(+AB9/AA9,"")</f>
        <v>1.3832427507775438</v>
      </c>
      <c r="AD9" s="714">
        <f t="shared" si="5"/>
        <v>0.56012187375052569</v>
      </c>
      <c r="AE9" s="714">
        <f t="shared" ref="AE9:AE36" si="15">+Y9/(G9+(O9/1.27))</f>
        <v>0.87381248242859311</v>
      </c>
      <c r="AF9" s="714">
        <f t="shared" si="6"/>
        <v>0.67068669559543548</v>
      </c>
      <c r="AG9" s="673"/>
      <c r="AH9" s="673"/>
      <c r="AI9" s="782"/>
      <c r="AJ9" s="707">
        <f t="shared" ref="AJ9:AJ36" si="16">AI9+Z9</f>
        <v>70187.5</v>
      </c>
      <c r="AK9" s="669">
        <f>+AL9+AM9</f>
        <v>104650.20472440944</v>
      </c>
      <c r="AL9" s="669">
        <f t="shared" si="7"/>
        <v>67764.716535433065</v>
      </c>
      <c r="AM9" s="669">
        <f t="shared" si="8"/>
        <v>36885.488188976378</v>
      </c>
      <c r="AN9" s="670">
        <f t="shared" si="9"/>
        <v>2098.7165354330709</v>
      </c>
      <c r="AO9" s="670">
        <f t="shared" si="10"/>
        <v>1911.4881889763781</v>
      </c>
      <c r="AP9" s="670">
        <f>+AO9+AN9</f>
        <v>4010.2047244094492</v>
      </c>
      <c r="AQ9" s="671">
        <f t="shared" si="11"/>
        <v>0</v>
      </c>
      <c r="AR9" s="672">
        <f t="shared" si="12"/>
        <v>104650.20472440944</v>
      </c>
      <c r="AT9" s="651"/>
    </row>
    <row r="10" spans="2:46" s="670" customFormat="1" ht="35.1" customHeight="1" x14ac:dyDescent="0.55000000000000004">
      <c r="B10" s="743">
        <v>45385</v>
      </c>
      <c r="C10" s="725">
        <f>'55 REV-'!D11+'50 REV'!D10</f>
        <v>90000</v>
      </c>
      <c r="D10" s="718">
        <f>'55 REV-'!M11+'50 REV'!L10</f>
        <v>68548</v>
      </c>
      <c r="E10" s="724">
        <f>'55 REV-'!H11+'50 REV'!G10</f>
        <v>11</v>
      </c>
      <c r="F10" s="680" t="s">
        <v>118</v>
      </c>
      <c r="G10" s="718">
        <f>'55 REV-'!J11+'50 REV'!I10</f>
        <v>33816</v>
      </c>
      <c r="H10" s="724">
        <f>'55 REV-'!K11+'50 REV'!J10</f>
        <v>10</v>
      </c>
      <c r="I10" s="680" t="s">
        <v>118</v>
      </c>
      <c r="J10" s="760">
        <f>+G10+D10</f>
        <v>102364</v>
      </c>
      <c r="K10" s="713">
        <f t="shared" si="0"/>
        <v>1.1373777777777778</v>
      </c>
      <c r="L10" s="678">
        <f t="shared" si="13"/>
        <v>1.1373777777777778</v>
      </c>
      <c r="M10" s="650">
        <f>'55 REV-'!R11+'50 REV'!O10</f>
        <v>6300</v>
      </c>
      <c r="N10" s="650">
        <f>'55 REV-'!T11+'50 REV'!Q10</f>
        <v>2861.04</v>
      </c>
      <c r="O10" s="650">
        <f>'55 REV-'!U11+'50 REV'!R10</f>
        <v>2293.04</v>
      </c>
      <c r="P10" s="774">
        <f t="shared" ref="P10:P36" si="17">+O10+N10</f>
        <v>5154.08</v>
      </c>
      <c r="Q10" s="713">
        <f t="shared" si="1"/>
        <v>0.81810793650793645</v>
      </c>
      <c r="R10" s="731">
        <f>+'[1]Daily All PIT'!O10</f>
        <v>85</v>
      </c>
      <c r="S10" s="668">
        <f t="shared" ref="S10:S31" si="18">+P10/1.27</f>
        <v>4058.3307086614172</v>
      </c>
      <c r="T10" s="730">
        <f t="shared" si="2"/>
        <v>106422.33070866142</v>
      </c>
      <c r="U10" s="732" t="e">
        <f>+'PIT GAR 42'!R10+#REF!</f>
        <v>#REF!</v>
      </c>
      <c r="V10" s="732" t="e">
        <f>+'PIT GAR 42'!S10+#REF!</f>
        <v>#REF!</v>
      </c>
      <c r="W10" s="732" t="e">
        <f t="shared" ref="W10:W31" si="19">U10+V10</f>
        <v>#REF!</v>
      </c>
      <c r="X10" s="679">
        <f>'55 REV-'!Z11+'50 REV'!W10</f>
        <v>37828.5</v>
      </c>
      <c r="Y10" s="679">
        <f>'55 REV-'!AA11+'50 REV'!X10</f>
        <v>35114.5</v>
      </c>
      <c r="Z10" s="728">
        <f t="shared" si="14"/>
        <v>72943</v>
      </c>
      <c r="AA10" s="668">
        <f t="shared" si="3"/>
        <v>14.285714285714286</v>
      </c>
      <c r="AB10" s="668">
        <f t="shared" si="4"/>
        <v>19.860770496383449</v>
      </c>
      <c r="AC10" s="713">
        <f t="shared" ref="AC10:AC17" si="20">IFERROR(+AB10/AA10,"")</f>
        <v>1.3902539347468412</v>
      </c>
      <c r="AD10" s="714">
        <f t="shared" si="5"/>
        <v>0.53429490530155588</v>
      </c>
      <c r="AE10" s="714">
        <f t="shared" si="15"/>
        <v>0.98576582427337611</v>
      </c>
      <c r="AF10" s="714">
        <f t="shared" si="6"/>
        <v>0.68541066065999412</v>
      </c>
      <c r="AG10" s="673"/>
      <c r="AH10" s="673"/>
      <c r="AI10" s="782"/>
      <c r="AJ10" s="707">
        <f t="shared" si="16"/>
        <v>72943</v>
      </c>
      <c r="AK10" s="669">
        <f t="shared" ref="AK10:AK35" si="21">+AL10+AM10</f>
        <v>106422.33070866142</v>
      </c>
      <c r="AL10" s="669">
        <f t="shared" si="7"/>
        <v>70800.787401574809</v>
      </c>
      <c r="AM10" s="669">
        <f t="shared" si="8"/>
        <v>35621.543307086613</v>
      </c>
      <c r="AN10" s="670">
        <f t="shared" si="9"/>
        <v>2252.787401574803</v>
      </c>
      <c r="AO10" s="670">
        <f t="shared" si="10"/>
        <v>1805.543307086614</v>
      </c>
      <c r="AP10" s="670">
        <f t="shared" ref="AP10:AP35" si="22">+AO10+AN10</f>
        <v>4058.3307086614168</v>
      </c>
      <c r="AQ10" s="671">
        <f t="shared" si="11"/>
        <v>0</v>
      </c>
      <c r="AR10" s="672">
        <f t="shared" si="12"/>
        <v>106422.33070866142</v>
      </c>
      <c r="AT10" s="651"/>
    </row>
    <row r="11" spans="2:46" s="787" customFormat="1" ht="34.5" customHeight="1" x14ac:dyDescent="0.55000000000000004">
      <c r="B11" s="743">
        <v>45386</v>
      </c>
      <c r="C11" s="725">
        <f>'55 REV-'!D12+'50 REV'!D11</f>
        <v>45000</v>
      </c>
      <c r="D11" s="718">
        <f>'55 REV-'!M12+'50 REV'!L11</f>
        <v>39908</v>
      </c>
      <c r="E11" s="724">
        <f>'55 REV-'!H12+'50 REV'!G11</f>
        <v>2</v>
      </c>
      <c r="F11" s="680" t="s">
        <v>118</v>
      </c>
      <c r="G11" s="718">
        <f>'55 REV-'!J12+'50 REV'!I11</f>
        <v>32824</v>
      </c>
      <c r="H11" s="724">
        <f>'55 REV-'!K12+'50 REV'!J11</f>
        <v>11</v>
      </c>
      <c r="I11" s="680" t="s">
        <v>118</v>
      </c>
      <c r="J11" s="760">
        <f t="shared" ref="J11:J36" si="23">+G11+D11</f>
        <v>72732</v>
      </c>
      <c r="K11" s="791">
        <f t="shared" si="0"/>
        <v>1.6162666666666667</v>
      </c>
      <c r="L11" s="792">
        <f t="shared" si="13"/>
        <v>1.6162666666666667</v>
      </c>
      <c r="M11" s="650">
        <f>'55 REV-'!R12+'50 REV'!O11</f>
        <v>3775</v>
      </c>
      <c r="N11" s="650">
        <f>'55 REV-'!T12+'50 REV'!Q11</f>
        <v>884.08</v>
      </c>
      <c r="O11" s="650">
        <f>'55 REV-'!U12+'50 REV'!R11</f>
        <v>2759.3500000000004</v>
      </c>
      <c r="P11" s="774">
        <f t="shared" si="17"/>
        <v>3643.4300000000003</v>
      </c>
      <c r="Q11" s="791">
        <f t="shared" si="1"/>
        <v>0.96514701986754969</v>
      </c>
      <c r="R11" s="794">
        <f>+'[1]Daily All PIT'!O11</f>
        <v>77</v>
      </c>
      <c r="S11" s="795">
        <f t="shared" si="18"/>
        <v>2868.8425196850394</v>
      </c>
      <c r="T11" s="760">
        <f t="shared" si="2"/>
        <v>75600.842519685044</v>
      </c>
      <c r="U11" s="796" t="e">
        <f>+'PIT GAR 42'!R11+#REF!</f>
        <v>#REF!</v>
      </c>
      <c r="V11" s="796" t="e">
        <f>+'PIT GAR 42'!S11+#REF!</f>
        <v>#REF!</v>
      </c>
      <c r="W11" s="796" t="e">
        <f t="shared" si="19"/>
        <v>#REF!</v>
      </c>
      <c r="X11" s="679">
        <f>'55 REV-'!Z12+'50 REV'!W11</f>
        <v>11337</v>
      </c>
      <c r="Y11" s="679">
        <f>'55 REV-'!AA12+'50 REV'!X11</f>
        <v>32148</v>
      </c>
      <c r="Z11" s="728">
        <f t="shared" si="14"/>
        <v>43485</v>
      </c>
      <c r="AA11" s="668">
        <f t="shared" si="3"/>
        <v>11.920529801324504</v>
      </c>
      <c r="AB11" s="668">
        <f t="shared" si="4"/>
        <v>19.962507856607644</v>
      </c>
      <c r="AC11" s="713">
        <f t="shared" si="20"/>
        <v>1.67463260352653</v>
      </c>
      <c r="AD11" s="714">
        <f t="shared" si="5"/>
        <v>0.27920807861735475</v>
      </c>
      <c r="AE11" s="714">
        <f t="shared" si="15"/>
        <v>0.91860046263057749</v>
      </c>
      <c r="AF11" s="714">
        <f t="shared" si="6"/>
        <v>0.57519200250549218</v>
      </c>
      <c r="AG11" s="798"/>
      <c r="AH11" s="798"/>
      <c r="AI11" s="782"/>
      <c r="AJ11" s="707">
        <f t="shared" si="16"/>
        <v>43485</v>
      </c>
      <c r="AK11" s="786">
        <f t="shared" si="21"/>
        <v>75600.842519685044</v>
      </c>
      <c r="AL11" s="786">
        <f t="shared" si="7"/>
        <v>40604.125984251965</v>
      </c>
      <c r="AM11" s="786">
        <f t="shared" si="8"/>
        <v>34996.716535433072</v>
      </c>
      <c r="AN11" s="787">
        <f t="shared" si="9"/>
        <v>696.12598425196848</v>
      </c>
      <c r="AO11" s="787">
        <f t="shared" si="10"/>
        <v>2172.7165354330709</v>
      </c>
      <c r="AP11" s="787">
        <f t="shared" si="22"/>
        <v>2868.8425196850394</v>
      </c>
      <c r="AQ11" s="788">
        <f t="shared" si="11"/>
        <v>0</v>
      </c>
      <c r="AR11" s="789">
        <f t="shared" si="12"/>
        <v>75600.842519685044</v>
      </c>
      <c r="AT11" s="790"/>
    </row>
    <row r="12" spans="2:46" s="670" customFormat="1" ht="35.1" customHeight="1" x14ac:dyDescent="0.55000000000000004">
      <c r="B12" s="743">
        <v>45387</v>
      </c>
      <c r="C12" s="725">
        <f>'55 REV-'!D13+'50 REV'!D12</f>
        <v>90000</v>
      </c>
      <c r="D12" s="718">
        <f>'55 REV-'!M13+'50 REV'!L12</f>
        <v>78462</v>
      </c>
      <c r="E12" s="724">
        <f>'55 REV-'!H13+'50 REV'!G12</f>
        <v>11</v>
      </c>
      <c r="F12" s="680" t="s">
        <v>118</v>
      </c>
      <c r="G12" s="718">
        <f>'55 REV-'!J13+'50 REV'!I12</f>
        <v>37758</v>
      </c>
      <c r="H12" s="724">
        <f>'55 REV-'!K13+'50 REV'!J12</f>
        <v>10</v>
      </c>
      <c r="I12" s="680" t="s">
        <v>118</v>
      </c>
      <c r="J12" s="760">
        <f t="shared" si="23"/>
        <v>116220</v>
      </c>
      <c r="K12" s="713">
        <f t="shared" si="0"/>
        <v>1.2913333333333334</v>
      </c>
      <c r="L12" s="678">
        <f t="shared" si="13"/>
        <v>1.2913333333333334</v>
      </c>
      <c r="M12" s="650">
        <f>'55 REV-'!R13+'50 REV'!O12</f>
        <v>6300</v>
      </c>
      <c r="N12" s="650">
        <f>'55 REV-'!T13+'50 REV'!Q12</f>
        <v>2560.3000000000002</v>
      </c>
      <c r="O12" s="650">
        <f>'55 REV-'!U13+'50 REV'!R12</f>
        <v>2667.64</v>
      </c>
      <c r="P12" s="774">
        <f t="shared" si="17"/>
        <v>5227.9400000000005</v>
      </c>
      <c r="Q12" s="713">
        <f t="shared" si="1"/>
        <v>0.82983174603174614</v>
      </c>
      <c r="R12" s="731">
        <f>+'[1]Daily All PIT'!O12</f>
        <v>35</v>
      </c>
      <c r="S12" s="668">
        <f t="shared" si="18"/>
        <v>4116.4881889763783</v>
      </c>
      <c r="T12" s="730">
        <f t="shared" si="2"/>
        <v>120336.48818897638</v>
      </c>
      <c r="U12" s="732" t="e">
        <f>+'PIT GAR 42'!R12+#REF!</f>
        <v>#REF!</v>
      </c>
      <c r="V12" s="732" t="e">
        <f>+'PIT GAR 42'!S12+#REF!</f>
        <v>#REF!</v>
      </c>
      <c r="W12" s="732" t="e">
        <f t="shared" si="19"/>
        <v>#REF!</v>
      </c>
      <c r="X12" s="679">
        <f>'55 REV-'!Z13+'50 REV'!W12</f>
        <v>36696</v>
      </c>
      <c r="Y12" s="679">
        <f>'55 REV-'!AA13+'50 REV'!X12</f>
        <v>38829</v>
      </c>
      <c r="Z12" s="728">
        <f t="shared" si="14"/>
        <v>75525</v>
      </c>
      <c r="AA12" s="668">
        <f t="shared" si="3"/>
        <v>14.285714285714286</v>
      </c>
      <c r="AB12" s="668">
        <f t="shared" si="4"/>
        <v>22.230553525862959</v>
      </c>
      <c r="AC12" s="713">
        <f t="shared" si="20"/>
        <v>1.5561387468104071</v>
      </c>
      <c r="AD12" s="714">
        <f>+X12/(D12+(N12/1.27))</f>
        <v>0.45597563533783975</v>
      </c>
      <c r="AE12" s="714">
        <f t="shared" si="15"/>
        <v>0.97417103415033102</v>
      </c>
      <c r="AF12" s="714">
        <f t="shared" si="6"/>
        <v>0.62761512436191058</v>
      </c>
      <c r="AG12" s="673"/>
      <c r="AH12" s="673"/>
      <c r="AI12" s="782"/>
      <c r="AJ12" s="707">
        <f t="shared" si="16"/>
        <v>75525</v>
      </c>
      <c r="AK12" s="669">
        <f t="shared" si="21"/>
        <v>120336.48818897638</v>
      </c>
      <c r="AL12" s="669">
        <f t="shared" si="7"/>
        <v>80477.984251968504</v>
      </c>
      <c r="AM12" s="669">
        <f t="shared" si="8"/>
        <v>39858.503937007874</v>
      </c>
      <c r="AN12" s="670">
        <f t="shared" si="9"/>
        <v>2015.9842519685039</v>
      </c>
      <c r="AO12" s="670">
        <f t="shared" si="10"/>
        <v>2100.5039370078739</v>
      </c>
      <c r="AP12" s="670">
        <f t="shared" si="22"/>
        <v>4116.4881889763783</v>
      </c>
      <c r="AQ12" s="671">
        <f t="shared" si="11"/>
        <v>0</v>
      </c>
      <c r="AR12" s="672">
        <f t="shared" si="12"/>
        <v>120336.48818897638</v>
      </c>
      <c r="AT12" s="651"/>
    </row>
    <row r="13" spans="2:46" s="670" customFormat="1" ht="34.5" customHeight="1" x14ac:dyDescent="0.55000000000000004">
      <c r="B13" s="743">
        <v>45388</v>
      </c>
      <c r="C13" s="725">
        <f>'55 REV-'!D14+'50 REV'!D13</f>
        <v>90000</v>
      </c>
      <c r="D13" s="718">
        <f>'55 REV-'!M14+'50 REV'!L13</f>
        <v>69988</v>
      </c>
      <c r="E13" s="724">
        <f>'55 REV-'!H14+'50 REV'!G13</f>
        <v>11</v>
      </c>
      <c r="F13" s="680" t="s">
        <v>118</v>
      </c>
      <c r="G13" s="718">
        <f>'55 REV-'!J14+'50 REV'!I13</f>
        <v>32526</v>
      </c>
      <c r="H13" s="724">
        <f>'55 REV-'!K14+'50 REV'!J13</f>
        <v>11</v>
      </c>
      <c r="I13" s="680" t="s">
        <v>118</v>
      </c>
      <c r="J13" s="760">
        <f t="shared" si="23"/>
        <v>102514</v>
      </c>
      <c r="K13" s="713">
        <f t="shared" si="0"/>
        <v>1.1390444444444445</v>
      </c>
      <c r="L13" s="678">
        <f t="shared" si="13"/>
        <v>1.1390444444444445</v>
      </c>
      <c r="M13" s="650">
        <f>'55 REV-'!R14+'50 REV'!O13</f>
        <v>6300</v>
      </c>
      <c r="N13" s="650">
        <f>'55 REV-'!T14+'50 REV'!Q13</f>
        <v>3446.83</v>
      </c>
      <c r="O13" s="650">
        <f>'55 REV-'!U14+'50 REV'!R13</f>
        <v>3341.4700000000003</v>
      </c>
      <c r="P13" s="774">
        <f t="shared" si="17"/>
        <v>6788.3</v>
      </c>
      <c r="Q13" s="713">
        <f t="shared" si="1"/>
        <v>1.0775079365079365</v>
      </c>
      <c r="R13" s="731">
        <f>+'[1]Daily All PIT'!O13</f>
        <v>83</v>
      </c>
      <c r="S13" s="668">
        <f t="shared" si="18"/>
        <v>5345.1181102362207</v>
      </c>
      <c r="T13" s="730">
        <f t="shared" si="2"/>
        <v>107859.11811023622</v>
      </c>
      <c r="U13" s="732" t="e">
        <f>+'PIT GAR 42'!R13+#REF!</f>
        <v>#REF!</v>
      </c>
      <c r="V13" s="732" t="e">
        <f>+'PIT GAR 42'!S13+#REF!</f>
        <v>#REF!</v>
      </c>
      <c r="W13" s="732" t="e">
        <f t="shared" si="19"/>
        <v>#REF!</v>
      </c>
      <c r="X13" s="679">
        <f>'55 REV-'!Z14+'50 REV'!W13</f>
        <v>35817</v>
      </c>
      <c r="Y13" s="679">
        <f>'55 REV-'!AA14+'50 REV'!X13</f>
        <v>36960</v>
      </c>
      <c r="Z13" s="728">
        <f t="shared" si="14"/>
        <v>72777</v>
      </c>
      <c r="AA13" s="668">
        <f t="shared" si="3"/>
        <v>14.285714285714286</v>
      </c>
      <c r="AB13" s="668">
        <f t="shared" si="4"/>
        <v>15.101571822105681</v>
      </c>
      <c r="AC13" s="713">
        <f t="shared" si="20"/>
        <v>1.0571100275473977</v>
      </c>
      <c r="AD13" s="714">
        <f t="shared" si="5"/>
        <v>0.49265468080859431</v>
      </c>
      <c r="AE13" s="714">
        <f t="shared" si="15"/>
        <v>1.0512818847426926</v>
      </c>
      <c r="AF13" s="714">
        <f t="shared" si="6"/>
        <v>0.67474128543883582</v>
      </c>
      <c r="AG13" s="673"/>
      <c r="AH13" s="673"/>
      <c r="AI13" s="782"/>
      <c r="AJ13" s="707">
        <f t="shared" si="16"/>
        <v>72777</v>
      </c>
      <c r="AK13" s="669">
        <f t="shared" si="21"/>
        <v>107859.11811023622</v>
      </c>
      <c r="AL13" s="669">
        <f t="shared" si="7"/>
        <v>72702.039370078739</v>
      </c>
      <c r="AM13" s="669">
        <f t="shared" si="8"/>
        <v>35157.078740157478</v>
      </c>
      <c r="AN13" s="670">
        <f t="shared" si="9"/>
        <v>2714.0393700787399</v>
      </c>
      <c r="AO13" s="670">
        <f t="shared" si="10"/>
        <v>2631.0787401574803</v>
      </c>
      <c r="AP13" s="670">
        <f t="shared" si="22"/>
        <v>5345.1181102362207</v>
      </c>
      <c r="AQ13" s="671">
        <f t="shared" si="11"/>
        <v>0</v>
      </c>
      <c r="AR13" s="672">
        <f t="shared" si="12"/>
        <v>107859.11811023622</v>
      </c>
      <c r="AT13" s="651"/>
    </row>
    <row r="14" spans="2:46" s="670" customFormat="1" ht="38.25" customHeight="1" x14ac:dyDescent="0.55000000000000004">
      <c r="B14" s="743">
        <v>45389</v>
      </c>
      <c r="C14" s="725">
        <f>'55 REV-'!D15+'50 REV'!D14</f>
        <v>90000</v>
      </c>
      <c r="D14" s="718">
        <f>'55 REV-'!M15+'50 REV'!L14</f>
        <v>60698</v>
      </c>
      <c r="E14" s="724">
        <f>'55 REV-'!H15+'50 REV'!G14</f>
        <v>10</v>
      </c>
      <c r="F14" s="680" t="s">
        <v>118</v>
      </c>
      <c r="G14" s="718">
        <f>'55 REV-'!J15+'50 REV'!I14</f>
        <v>24264</v>
      </c>
      <c r="H14" s="724">
        <f>'55 REV-'!K15+'50 REV'!J14</f>
        <v>10</v>
      </c>
      <c r="I14" s="680" t="s">
        <v>118</v>
      </c>
      <c r="J14" s="760">
        <f t="shared" si="23"/>
        <v>84962</v>
      </c>
      <c r="K14" s="713">
        <f t="shared" si="0"/>
        <v>0.94402222222222221</v>
      </c>
      <c r="L14" s="678">
        <f t="shared" si="13"/>
        <v>0.94402222222222221</v>
      </c>
      <c r="M14" s="650">
        <f>'55 REV-'!R15+'50 REV'!O14</f>
        <v>6300</v>
      </c>
      <c r="N14" s="650">
        <f>'55 REV-'!T15+'50 REV'!Q14</f>
        <v>2728.04</v>
      </c>
      <c r="O14" s="650">
        <f>'55 REV-'!U15+'50 REV'!R14</f>
        <v>1832.59</v>
      </c>
      <c r="P14" s="774">
        <f t="shared" si="17"/>
        <v>4560.63</v>
      </c>
      <c r="Q14" s="713">
        <f t="shared" si="1"/>
        <v>0.72390952380952378</v>
      </c>
      <c r="R14" s="731">
        <f>+'[1]Daily All PIT'!O14</f>
        <v>40</v>
      </c>
      <c r="S14" s="668">
        <f t="shared" si="18"/>
        <v>3591.0472440944882</v>
      </c>
      <c r="T14" s="730">
        <f t="shared" si="2"/>
        <v>88553.047244094487</v>
      </c>
      <c r="U14" s="732" t="e">
        <f>+'PIT GAR 42'!R14+#REF!</f>
        <v>#REF!</v>
      </c>
      <c r="V14" s="732" t="e">
        <f>+'PIT GAR 42'!S14+#REF!</f>
        <v>#REF!</v>
      </c>
      <c r="W14" s="732" t="e">
        <f t="shared" si="19"/>
        <v>#REF!</v>
      </c>
      <c r="X14" s="679">
        <f>'55 REV-'!Z15+'50 REV'!W14</f>
        <v>34825</v>
      </c>
      <c r="Y14" s="679">
        <f>'55 REV-'!AA15+'50 REV'!X14</f>
        <v>37362</v>
      </c>
      <c r="Z14" s="728">
        <f t="shared" si="14"/>
        <v>72187</v>
      </c>
      <c r="AA14" s="668">
        <f t="shared" si="3"/>
        <v>14.285714285714286</v>
      </c>
      <c r="AB14" s="668">
        <f t="shared" si="4"/>
        <v>18.629443739132533</v>
      </c>
      <c r="AC14" s="713">
        <f t="shared" si="20"/>
        <v>1.3040610617392772</v>
      </c>
      <c r="AD14" s="714">
        <f t="shared" si="5"/>
        <v>0.55413176803713615</v>
      </c>
      <c r="AE14" s="714">
        <f t="shared" si="15"/>
        <v>1.4533793475654002</v>
      </c>
      <c r="AF14" s="714">
        <f t="shared" si="6"/>
        <v>0.81518369210963637</v>
      </c>
      <c r="AG14" s="673"/>
      <c r="AH14" s="673"/>
      <c r="AI14" s="782"/>
      <c r="AJ14" s="707">
        <f t="shared" si="16"/>
        <v>72187</v>
      </c>
      <c r="AK14" s="669">
        <f t="shared" si="21"/>
        <v>88553.047244094487</v>
      </c>
      <c r="AL14" s="669">
        <f t="shared" si="7"/>
        <v>62846.062992125982</v>
      </c>
      <c r="AM14" s="669">
        <f t="shared" si="8"/>
        <v>25706.984251968504</v>
      </c>
      <c r="AN14" s="670">
        <f t="shared" si="9"/>
        <v>2148.0629921259842</v>
      </c>
      <c r="AO14" s="670">
        <f t="shared" si="10"/>
        <v>1442.9842519685039</v>
      </c>
      <c r="AP14" s="670">
        <f t="shared" si="22"/>
        <v>3591.0472440944882</v>
      </c>
      <c r="AQ14" s="671">
        <f t="shared" si="11"/>
        <v>0</v>
      </c>
      <c r="AR14" s="672">
        <f t="shared" si="12"/>
        <v>88553.047244094487</v>
      </c>
      <c r="AT14" s="651"/>
    </row>
    <row r="15" spans="2:46" s="670" customFormat="1" ht="35.1" customHeight="1" x14ac:dyDescent="0.55000000000000004">
      <c r="B15" s="743">
        <v>45390</v>
      </c>
      <c r="C15" s="725">
        <f>'55 REV-'!D16+'50 REV'!D15</f>
        <v>90000</v>
      </c>
      <c r="D15" s="718">
        <f>'55 REV-'!M16+'50 REV'!L15</f>
        <v>38880</v>
      </c>
      <c r="E15" s="724">
        <f>'55 REV-'!H16+'50 REV'!G15</f>
        <v>10</v>
      </c>
      <c r="F15" s="680" t="s">
        <v>118</v>
      </c>
      <c r="G15" s="718">
        <f>'55 REV-'!J16+'50 REV'!I15</f>
        <v>10250</v>
      </c>
      <c r="H15" s="724">
        <f>'55 REV-'!K16+'50 REV'!J15</f>
        <v>11</v>
      </c>
      <c r="I15" s="680" t="s">
        <v>118</v>
      </c>
      <c r="J15" s="760">
        <f t="shared" si="23"/>
        <v>49130</v>
      </c>
      <c r="K15" s="713">
        <f t="shared" si="0"/>
        <v>0.54588888888888887</v>
      </c>
      <c r="L15" s="678">
        <f t="shared" si="13"/>
        <v>0.54588888888888887</v>
      </c>
      <c r="M15" s="650">
        <f>'55 REV-'!R16+'50 REV'!O15</f>
        <v>6300</v>
      </c>
      <c r="N15" s="650">
        <f>'55 REV-'!T16+'50 REV'!Q15</f>
        <v>1884.3</v>
      </c>
      <c r="O15" s="650">
        <f>'55 REV-'!U16+'50 REV'!R15</f>
        <v>1001.74</v>
      </c>
      <c r="P15" s="774">
        <f t="shared" si="17"/>
        <v>2886.04</v>
      </c>
      <c r="Q15" s="713">
        <f t="shared" si="1"/>
        <v>0.45810158730158729</v>
      </c>
      <c r="R15" s="731">
        <f>+'[1]Daily All PIT'!O15</f>
        <v>66</v>
      </c>
      <c r="S15" s="668">
        <f t="shared" si="18"/>
        <v>2272.4724409448818</v>
      </c>
      <c r="T15" s="730">
        <f t="shared" si="2"/>
        <v>51402.472440944883</v>
      </c>
      <c r="U15" s="732" t="e">
        <f>+'PIT GAR 42'!R15+#REF!</f>
        <v>#REF!</v>
      </c>
      <c r="V15" s="732" t="e">
        <f>+'PIT GAR 42'!S15+#REF!</f>
        <v>#REF!</v>
      </c>
      <c r="W15" s="732" t="e">
        <f t="shared" si="19"/>
        <v>#REF!</v>
      </c>
      <c r="X15" s="679">
        <f>'55 REV-'!Z16+'50 REV'!W15</f>
        <v>30667</v>
      </c>
      <c r="Y15" s="679">
        <f>'55 REV-'!AA16+'50 REV'!X15</f>
        <v>26609</v>
      </c>
      <c r="Z15" s="728">
        <f t="shared" si="14"/>
        <v>57276</v>
      </c>
      <c r="AA15" s="668">
        <f t="shared" si="3"/>
        <v>14.285714285714286</v>
      </c>
      <c r="AB15" s="668">
        <f t="shared" si="4"/>
        <v>17.02332608002661</v>
      </c>
      <c r="AC15" s="713">
        <f t="shared" si="20"/>
        <v>1.1916328256018627</v>
      </c>
      <c r="AD15" s="714">
        <f t="shared" ref="AD15:AD27" si="24">+X15/(D15+(N15/1.27))</f>
        <v>0.75976680536616858</v>
      </c>
      <c r="AE15" s="714">
        <f t="shared" si="15"/>
        <v>2.4105037077616194</v>
      </c>
      <c r="AF15" s="714">
        <f t="shared" si="6"/>
        <v>1.1142654677905441</v>
      </c>
      <c r="AG15" s="673"/>
      <c r="AH15" s="673"/>
      <c r="AI15" s="782"/>
      <c r="AJ15" s="707">
        <f t="shared" si="16"/>
        <v>57276</v>
      </c>
      <c r="AK15" s="669">
        <f t="shared" si="21"/>
        <v>51402.472440944883</v>
      </c>
      <c r="AL15" s="669">
        <f t="shared" si="7"/>
        <v>40363.700787401576</v>
      </c>
      <c r="AM15" s="669">
        <f t="shared" si="8"/>
        <v>11038.771653543306</v>
      </c>
      <c r="AN15" s="670">
        <f t="shared" si="9"/>
        <v>1483.7007874015746</v>
      </c>
      <c r="AO15" s="670">
        <f t="shared" si="10"/>
        <v>788.77165354330714</v>
      </c>
      <c r="AP15" s="670">
        <f t="shared" si="22"/>
        <v>2272.4724409448818</v>
      </c>
      <c r="AQ15" s="671">
        <f t="shared" si="11"/>
        <v>0</v>
      </c>
      <c r="AR15" s="672">
        <f t="shared" si="12"/>
        <v>51402.472440944883</v>
      </c>
      <c r="AT15" s="651"/>
    </row>
    <row r="16" spans="2:46" s="692" customFormat="1" ht="34.5" customHeight="1" x14ac:dyDescent="0.55000000000000004">
      <c r="B16" s="743">
        <v>45391</v>
      </c>
      <c r="C16" s="725">
        <f>'55 REV-'!D17+'50 REV'!D16</f>
        <v>90000</v>
      </c>
      <c r="D16" s="718">
        <f>'55 REV-'!M17+'50 REV'!L16</f>
        <v>61242</v>
      </c>
      <c r="E16" s="724">
        <f>'55 REV-'!H17+'50 REV'!G16</f>
        <v>10</v>
      </c>
      <c r="F16" s="680" t="s">
        <v>118</v>
      </c>
      <c r="G16" s="718">
        <f>'55 REV-'!J17+'50 REV'!I16</f>
        <v>37380</v>
      </c>
      <c r="H16" s="724">
        <f>'55 REV-'!K17+'50 REV'!J16</f>
        <v>10</v>
      </c>
      <c r="I16" s="680" t="s">
        <v>118</v>
      </c>
      <c r="J16" s="760">
        <f t="shared" si="23"/>
        <v>98622</v>
      </c>
      <c r="K16" s="715">
        <f t="shared" si="0"/>
        <v>1.0958000000000001</v>
      </c>
      <c r="L16" s="678">
        <f t="shared" si="13"/>
        <v>1.0958000000000001</v>
      </c>
      <c r="M16" s="650">
        <f>'55 REV-'!R17+'50 REV'!O16</f>
        <v>6300</v>
      </c>
      <c r="N16" s="650">
        <f>'55 REV-'!T17+'50 REV'!Q16</f>
        <v>1570.72</v>
      </c>
      <c r="O16" s="650">
        <f>'55 REV-'!U17+'50 REV'!R16</f>
        <v>1663.48</v>
      </c>
      <c r="P16" s="774">
        <f t="shared" si="17"/>
        <v>3234.2</v>
      </c>
      <c r="Q16" s="715">
        <f t="shared" si="1"/>
        <v>0.51336507936507936</v>
      </c>
      <c r="R16" s="734">
        <f>+'[1]Daily All PIT'!O16</f>
        <v>0</v>
      </c>
      <c r="S16" s="325">
        <f t="shared" si="18"/>
        <v>2546.6141732283463</v>
      </c>
      <c r="T16" s="733">
        <f t="shared" si="2"/>
        <v>101168.61417322834</v>
      </c>
      <c r="U16" s="735" t="e">
        <f>+'PIT GAR 42'!R16+#REF!</f>
        <v>#REF!</v>
      </c>
      <c r="V16" s="735" t="e">
        <f>+'PIT GAR 42'!S16+#REF!</f>
        <v>#REF!</v>
      </c>
      <c r="W16" s="735" t="e">
        <f t="shared" si="19"/>
        <v>#REF!</v>
      </c>
      <c r="X16" s="679">
        <f>'55 REV-'!Z17+'50 REV'!W16</f>
        <v>15147</v>
      </c>
      <c r="Y16" s="679">
        <f>'55 REV-'!AA17+'50 REV'!X16</f>
        <v>29363</v>
      </c>
      <c r="Z16" s="761">
        <f t="shared" si="14"/>
        <v>44510</v>
      </c>
      <c r="AA16" s="325">
        <f t="shared" si="3"/>
        <v>14.285714285714286</v>
      </c>
      <c r="AB16" s="325">
        <f t="shared" si="4"/>
        <v>30.493475975511721</v>
      </c>
      <c r="AC16" s="715">
        <f t="shared" si="20"/>
        <v>2.1345433182858202</v>
      </c>
      <c r="AD16" s="716">
        <f t="shared" si="24"/>
        <v>0.24243428257729302</v>
      </c>
      <c r="AE16" s="716">
        <f t="shared" si="15"/>
        <v>0.75893335406487461</v>
      </c>
      <c r="AF16" s="716">
        <f t="shared" si="6"/>
        <v>0.43995858165840546</v>
      </c>
      <c r="AG16" s="717"/>
      <c r="AH16" s="717"/>
      <c r="AI16" s="782"/>
      <c r="AJ16" s="707">
        <f t="shared" si="16"/>
        <v>44510</v>
      </c>
      <c r="AK16" s="693">
        <f t="shared" si="21"/>
        <v>101168.61417322834</v>
      </c>
      <c r="AL16" s="693">
        <f t="shared" si="7"/>
        <v>62478.787401574802</v>
      </c>
      <c r="AM16" s="693">
        <f t="shared" si="8"/>
        <v>38689.826771653541</v>
      </c>
      <c r="AN16" s="692">
        <f t="shared" si="9"/>
        <v>1236.7874015748032</v>
      </c>
      <c r="AO16" s="692">
        <f t="shared" si="10"/>
        <v>1309.8267716535433</v>
      </c>
      <c r="AP16" s="692">
        <f t="shared" si="22"/>
        <v>2546.6141732283468</v>
      </c>
      <c r="AQ16" s="694">
        <f t="shared" si="11"/>
        <v>0</v>
      </c>
      <c r="AR16" s="695">
        <f t="shared" si="12"/>
        <v>101168.61417322834</v>
      </c>
      <c r="AT16" s="366"/>
    </row>
    <row r="17" spans="1:46" s="692" customFormat="1" ht="33" customHeight="1" x14ac:dyDescent="0.55000000000000004">
      <c r="B17" s="743">
        <v>45392</v>
      </c>
      <c r="C17" s="725">
        <f>'55 REV-'!D18+'50 REV'!D17</f>
        <v>90000</v>
      </c>
      <c r="D17" s="718">
        <f>'55 REV-'!M18+'50 REV'!L17</f>
        <v>69692</v>
      </c>
      <c r="E17" s="724">
        <f>'55 REV-'!H18+'50 REV'!G17</f>
        <v>11</v>
      </c>
      <c r="F17" s="680" t="s">
        <v>118</v>
      </c>
      <c r="G17" s="718">
        <f>'55 REV-'!J18+'50 REV'!I17</f>
        <v>33246</v>
      </c>
      <c r="H17" s="724">
        <f>'55 REV-'!K18+'50 REV'!J17</f>
        <v>10</v>
      </c>
      <c r="I17" s="680" t="s">
        <v>118</v>
      </c>
      <c r="J17" s="760">
        <f t="shared" si="23"/>
        <v>102938</v>
      </c>
      <c r="K17" s="715">
        <f t="shared" si="0"/>
        <v>1.1437555555555556</v>
      </c>
      <c r="L17" s="678">
        <f t="shared" si="13"/>
        <v>1.1437555555555556</v>
      </c>
      <c r="M17" s="650">
        <f>'55 REV-'!R18+'50 REV'!O17</f>
        <v>6300</v>
      </c>
      <c r="N17" s="650">
        <f>'55 REV-'!T18+'50 REV'!Q17</f>
        <v>2125.7199999999998</v>
      </c>
      <c r="O17" s="650">
        <f>'55 REV-'!U18+'50 REV'!R17</f>
        <v>1892.57</v>
      </c>
      <c r="P17" s="774">
        <f t="shared" si="17"/>
        <v>4018.29</v>
      </c>
      <c r="Q17" s="715">
        <f t="shared" si="1"/>
        <v>0.63782380952380957</v>
      </c>
      <c r="R17" s="734">
        <f>+'[1]Daily All PIT'!O17</f>
        <v>61</v>
      </c>
      <c r="S17" s="325">
        <f t="shared" si="18"/>
        <v>3164.0078740157478</v>
      </c>
      <c r="T17" s="733">
        <f t="shared" si="2"/>
        <v>106102.00787401575</v>
      </c>
      <c r="U17" s="735" t="e">
        <f>+'PIT GAR 42'!R17+#REF!</f>
        <v>#REF!</v>
      </c>
      <c r="V17" s="735" t="e">
        <f>+'PIT GAR 42'!S17+#REF!</f>
        <v>#REF!</v>
      </c>
      <c r="W17" s="735" t="e">
        <f t="shared" si="19"/>
        <v>#REF!</v>
      </c>
      <c r="X17" s="679">
        <f>'55 REV-'!Z18+'50 REV'!W17</f>
        <v>34120</v>
      </c>
      <c r="Y17" s="679">
        <f>'55 REV-'!AA18+'50 REV'!X17</f>
        <v>31331</v>
      </c>
      <c r="Z17" s="728">
        <f t="shared" si="14"/>
        <v>65451</v>
      </c>
      <c r="AA17" s="325">
        <f t="shared" si="3"/>
        <v>14.285714285714286</v>
      </c>
      <c r="AB17" s="325">
        <f t="shared" si="4"/>
        <v>25.617364600364834</v>
      </c>
      <c r="AC17" s="715">
        <f t="shared" si="20"/>
        <v>1.7932155220255384</v>
      </c>
      <c r="AD17" s="716">
        <f>+X17/(D17+(N17/1.27))</f>
        <v>0.47810018606588917</v>
      </c>
      <c r="AE17" s="716">
        <f t="shared" si="15"/>
        <v>0.90196937594228177</v>
      </c>
      <c r="AF17" s="716">
        <f t="shared" si="6"/>
        <v>0.61686862776165119</v>
      </c>
      <c r="AG17" s="717"/>
      <c r="AH17" s="717"/>
      <c r="AI17" s="782"/>
      <c r="AJ17" s="707">
        <f t="shared" si="16"/>
        <v>65451</v>
      </c>
      <c r="AK17" s="693">
        <f t="shared" si="21"/>
        <v>106102.00787401575</v>
      </c>
      <c r="AL17" s="693">
        <f t="shared" si="7"/>
        <v>71365.795275590557</v>
      </c>
      <c r="AM17" s="693">
        <f t="shared" si="8"/>
        <v>34736.212598425198</v>
      </c>
      <c r="AN17" s="692">
        <f t="shared" si="9"/>
        <v>1673.795275590551</v>
      </c>
      <c r="AO17" s="692">
        <f t="shared" si="10"/>
        <v>1490.2125984251968</v>
      </c>
      <c r="AP17" s="692">
        <f t="shared" si="22"/>
        <v>3164.0078740157478</v>
      </c>
      <c r="AQ17" s="694">
        <f t="shared" si="11"/>
        <v>0</v>
      </c>
      <c r="AR17" s="695">
        <f t="shared" si="12"/>
        <v>106102.00787401575</v>
      </c>
      <c r="AT17" s="366"/>
    </row>
    <row r="18" spans="1:46" s="787" customFormat="1" ht="35.1" customHeight="1" x14ac:dyDescent="0.55000000000000004">
      <c r="B18" s="743">
        <v>45393</v>
      </c>
      <c r="C18" s="725">
        <f>'55 REV-'!D19+'50 REV'!D18</f>
        <v>45000</v>
      </c>
      <c r="D18" s="718">
        <f>'55 REV-'!M19+'50 REV'!L18</f>
        <v>40132</v>
      </c>
      <c r="E18" s="724">
        <f>'55 REV-'!H19+'50 REV'!G18</f>
        <v>2</v>
      </c>
      <c r="F18" s="680" t="s">
        <v>118</v>
      </c>
      <c r="G18" s="718">
        <f>'55 REV-'!J19+'50 REV'!I18</f>
        <v>31288</v>
      </c>
      <c r="H18" s="724">
        <f>'55 REV-'!K19+'50 REV'!J18</f>
        <v>10</v>
      </c>
      <c r="I18" s="680" t="s">
        <v>118</v>
      </c>
      <c r="J18" s="760">
        <f t="shared" si="23"/>
        <v>71420</v>
      </c>
      <c r="K18" s="791">
        <f t="shared" si="0"/>
        <v>1.5871111111111111</v>
      </c>
      <c r="L18" s="792">
        <f t="shared" si="13"/>
        <v>1.5871111111111111</v>
      </c>
      <c r="M18" s="650">
        <f>'55 REV-'!R19+'50 REV'!O18</f>
        <v>3775</v>
      </c>
      <c r="N18" s="650">
        <f>'55 REV-'!T19+'50 REV'!Q18</f>
        <v>557.17999999999995</v>
      </c>
      <c r="O18" s="650">
        <f>'55 REV-'!U19+'50 REV'!R18</f>
        <v>2379.4899999999998</v>
      </c>
      <c r="P18" s="773">
        <f>O18+N18</f>
        <v>2936.6699999999996</v>
      </c>
      <c r="Q18" s="791">
        <f t="shared" si="1"/>
        <v>0.77792582781456943</v>
      </c>
      <c r="R18" s="794">
        <f>+'[1]Daily All PIT'!O18</f>
        <v>34</v>
      </c>
      <c r="S18" s="795">
        <f t="shared" si="18"/>
        <v>2312.338582677165</v>
      </c>
      <c r="T18" s="760">
        <f t="shared" si="2"/>
        <v>73732.33858267717</v>
      </c>
      <c r="U18" s="796" t="e">
        <f>+'PIT GAR 42'!R18+#REF!</f>
        <v>#REF!</v>
      </c>
      <c r="V18" s="796" t="e">
        <f>+'PIT GAR 42'!S18+#REF!</f>
        <v>#REF!</v>
      </c>
      <c r="W18" s="796" t="e">
        <f t="shared" si="19"/>
        <v>#REF!</v>
      </c>
      <c r="X18" s="679">
        <f>'55 REV-'!Z19+'50 REV'!W18</f>
        <v>10998</v>
      </c>
      <c r="Y18" s="679">
        <f>'55 REV-'!AA19+'50 REV'!X18</f>
        <v>29584</v>
      </c>
      <c r="Z18" s="797">
        <f t="shared" si="14"/>
        <v>40582</v>
      </c>
      <c r="AA18" s="795">
        <f t="shared" si="3"/>
        <v>11.920529801324504</v>
      </c>
      <c r="AB18" s="795">
        <f t="shared" si="4"/>
        <v>24.320063200836323</v>
      </c>
      <c r="AC18" s="791">
        <f t="shared" ref="AC18:AC31" si="25">IFERROR(+AB18/AA18,"")</f>
        <v>2.0401830796257139</v>
      </c>
      <c r="AD18" s="793">
        <f t="shared" si="24"/>
        <v>0.27108216971937021</v>
      </c>
      <c r="AE18" s="793">
        <f t="shared" si="15"/>
        <v>0.89211580128338319</v>
      </c>
      <c r="AF18" s="793">
        <f t="shared" si="6"/>
        <v>0.55039621392850302</v>
      </c>
      <c r="AG18" s="798"/>
      <c r="AH18" s="798"/>
      <c r="AI18" s="782"/>
      <c r="AJ18" s="707">
        <f t="shared" si="16"/>
        <v>40582</v>
      </c>
      <c r="AK18" s="786">
        <f t="shared" si="21"/>
        <v>73732.338582677156</v>
      </c>
      <c r="AL18" s="786">
        <f t="shared" si="7"/>
        <v>40570.72440944882</v>
      </c>
      <c r="AM18" s="786">
        <f t="shared" si="8"/>
        <v>33161.614173228343</v>
      </c>
      <c r="AN18" s="787">
        <f t="shared" si="9"/>
        <v>438.72440944881885</v>
      </c>
      <c r="AO18" s="787">
        <f t="shared" si="10"/>
        <v>1873.6141732283463</v>
      </c>
      <c r="AP18" s="787">
        <f t="shared" si="22"/>
        <v>2312.338582677165</v>
      </c>
      <c r="AQ18" s="788">
        <f t="shared" si="11"/>
        <v>0</v>
      </c>
      <c r="AR18" s="789">
        <f t="shared" si="12"/>
        <v>73732.33858267717</v>
      </c>
      <c r="AT18" s="790">
        <v>20.100000000000001</v>
      </c>
    </row>
    <row r="19" spans="1:46" s="670" customFormat="1" ht="35.1" customHeight="1" x14ac:dyDescent="0.55000000000000004">
      <c r="B19" s="743">
        <v>45394</v>
      </c>
      <c r="C19" s="725">
        <f>'55 REV-'!D20+'50 REV'!D19</f>
        <v>90000</v>
      </c>
      <c r="D19" s="718">
        <f>'55 REV-'!M20+'50 REV'!L19</f>
        <v>70236</v>
      </c>
      <c r="E19" s="724">
        <f>'55 REV-'!H20+'50 REV'!G19</f>
        <v>10</v>
      </c>
      <c r="F19" s="680" t="s">
        <v>118</v>
      </c>
      <c r="G19" s="718">
        <f>'55 REV-'!J20+'50 REV'!I19</f>
        <v>35100</v>
      </c>
      <c r="H19" s="724">
        <f>'55 REV-'!K20+'50 REV'!J19</f>
        <v>10</v>
      </c>
      <c r="I19" s="680" t="s">
        <v>118</v>
      </c>
      <c r="J19" s="760">
        <f t="shared" si="23"/>
        <v>105336</v>
      </c>
      <c r="K19" s="713">
        <f t="shared" si="0"/>
        <v>1.1704000000000001</v>
      </c>
      <c r="L19" s="678">
        <f t="shared" si="13"/>
        <v>1.1704000000000001</v>
      </c>
      <c r="M19" s="650">
        <f>'55 REV-'!R20+'50 REV'!O19</f>
        <v>6300</v>
      </c>
      <c r="N19" s="650">
        <f>'55 REV-'!T20+'50 REV'!Q19</f>
        <v>2374.15</v>
      </c>
      <c r="O19" s="650">
        <f>'55 REV-'!U20+'50 REV'!R19</f>
        <v>2618.25</v>
      </c>
      <c r="P19" s="773">
        <f t="shared" si="17"/>
        <v>4992.3999999999996</v>
      </c>
      <c r="Q19" s="713">
        <f t="shared" si="1"/>
        <v>0.7924444444444444</v>
      </c>
      <c r="R19" s="731">
        <f>+'[1]Daily All PIT'!O19</f>
        <v>63</v>
      </c>
      <c r="S19" s="668">
        <f t="shared" si="18"/>
        <v>3931.0236220472439</v>
      </c>
      <c r="T19" s="730">
        <f t="shared" si="2"/>
        <v>109267.02362204724</v>
      </c>
      <c r="U19" s="732" t="e">
        <f>+'PIT GAR 42'!R19+#REF!</f>
        <v>#REF!</v>
      </c>
      <c r="V19" s="732" t="e">
        <f>+'PIT GAR 42'!S19+#REF!</f>
        <v>#REF!</v>
      </c>
      <c r="W19" s="732" t="e">
        <f t="shared" si="19"/>
        <v>#REF!</v>
      </c>
      <c r="X19" s="679">
        <f>'55 REV-'!Z20+'50 REV'!W19</f>
        <v>36398</v>
      </c>
      <c r="Y19" s="679">
        <f>'55 REV-'!AA20+'50 REV'!X19</f>
        <v>29261</v>
      </c>
      <c r="Z19" s="728">
        <f t="shared" si="14"/>
        <v>65659</v>
      </c>
      <c r="AA19" s="668">
        <f t="shared" si="3"/>
        <v>14.285714285714286</v>
      </c>
      <c r="AB19" s="668">
        <f t="shared" si="4"/>
        <v>21.09927089175547</v>
      </c>
      <c r="AC19" s="713">
        <f>IFERROR(+AB19/AA19,"")</f>
        <v>1.4769489624228829</v>
      </c>
      <c r="AD19" s="714">
        <f t="shared" si="24"/>
        <v>0.50478875688010127</v>
      </c>
      <c r="AE19" s="714">
        <f t="shared" si="15"/>
        <v>0.78739851997817589</v>
      </c>
      <c r="AF19" s="714">
        <f t="shared" si="6"/>
        <v>0.60090407721833217</v>
      </c>
      <c r="AG19" s="673"/>
      <c r="AH19" s="673"/>
      <c r="AI19" s="782"/>
      <c r="AJ19" s="707">
        <f t="shared" si="16"/>
        <v>65659</v>
      </c>
      <c r="AK19" s="669">
        <f t="shared" si="21"/>
        <v>109267.02362204724</v>
      </c>
      <c r="AL19" s="669">
        <f t="shared" si="7"/>
        <v>72105.4094488189</v>
      </c>
      <c r="AM19" s="669">
        <f t="shared" si="8"/>
        <v>37161.614173228343</v>
      </c>
      <c r="AN19" s="670">
        <f t="shared" si="9"/>
        <v>1869.4094488188978</v>
      </c>
      <c r="AO19" s="670">
        <f t="shared" si="10"/>
        <v>2061.6141732283463</v>
      </c>
      <c r="AP19" s="670">
        <f t="shared" si="22"/>
        <v>3931.0236220472443</v>
      </c>
      <c r="AQ19" s="671">
        <f t="shared" si="11"/>
        <v>0</v>
      </c>
      <c r="AR19" s="672">
        <f t="shared" si="12"/>
        <v>109267.02362204724</v>
      </c>
      <c r="AT19" s="651">
        <v>19.760000000000002</v>
      </c>
    </row>
    <row r="20" spans="1:46" s="692" customFormat="1" ht="35.1" customHeight="1" x14ac:dyDescent="0.55000000000000004">
      <c r="B20" s="743">
        <v>45395</v>
      </c>
      <c r="C20" s="725">
        <f>'55 REV-'!D21+'50 REV'!D20</f>
        <v>90000</v>
      </c>
      <c r="D20" s="718">
        <f>'55 REV-'!M21+'50 REV'!L20</f>
        <v>0</v>
      </c>
      <c r="E20" s="724">
        <f>'55 REV-'!H21+'50 REV'!G20</f>
        <v>0</v>
      </c>
      <c r="F20" s="680" t="s">
        <v>118</v>
      </c>
      <c r="G20" s="718">
        <f>'55 REV-'!J21+'50 REV'!I20</f>
        <v>0</v>
      </c>
      <c r="H20" s="724">
        <f>'55 REV-'!K21+'50 REV'!J20</f>
        <v>0</v>
      </c>
      <c r="I20" s="680" t="s">
        <v>118</v>
      </c>
      <c r="J20" s="760">
        <f t="shared" si="23"/>
        <v>0</v>
      </c>
      <c r="K20" s="715">
        <f t="shared" si="0"/>
        <v>0</v>
      </c>
      <c r="L20" s="678">
        <f t="shared" si="13"/>
        <v>0</v>
      </c>
      <c r="M20" s="650">
        <f>'55 REV-'!R21+'50 REV'!O20</f>
        <v>6300</v>
      </c>
      <c r="N20" s="650">
        <f>'55 REV-'!T21+'50 REV'!Q20</f>
        <v>0</v>
      </c>
      <c r="O20" s="650">
        <f>'55 REV-'!U21+'50 REV'!R20</f>
        <v>0</v>
      </c>
      <c r="P20" s="773">
        <f>O20+N20</f>
        <v>0</v>
      </c>
      <c r="Q20" s="715">
        <f t="shared" si="1"/>
        <v>0</v>
      </c>
      <c r="R20" s="734">
        <f>+'[1]Daily All PIT'!O20</f>
        <v>80</v>
      </c>
      <c r="S20" s="325">
        <f t="shared" si="18"/>
        <v>0</v>
      </c>
      <c r="T20" s="733">
        <f t="shared" si="2"/>
        <v>0</v>
      </c>
      <c r="U20" s="735" t="e">
        <f>+'PIT GAR 42'!R20+#REF!</f>
        <v>#REF!</v>
      </c>
      <c r="V20" s="735" t="e">
        <f>+'PIT GAR 42'!S20+#REF!</f>
        <v>#REF!</v>
      </c>
      <c r="W20" s="735" t="e">
        <f t="shared" si="19"/>
        <v>#REF!</v>
      </c>
      <c r="X20" s="679">
        <f>'55 REV-'!Z21+'50 REV'!W20</f>
        <v>0</v>
      </c>
      <c r="Y20" s="679">
        <f>'55 REV-'!AA21+'50 REV'!X20</f>
        <v>0</v>
      </c>
      <c r="Z20" s="728">
        <f t="shared" si="14"/>
        <v>0</v>
      </c>
      <c r="AA20" s="325">
        <f t="shared" si="3"/>
        <v>14.285714285714286</v>
      </c>
      <c r="AB20" s="325">
        <f t="shared" si="4"/>
        <v>0</v>
      </c>
      <c r="AC20" s="715">
        <f t="shared" si="25"/>
        <v>0</v>
      </c>
      <c r="AD20" s="716" t="e">
        <f t="shared" si="24"/>
        <v>#DIV/0!</v>
      </c>
      <c r="AE20" s="716" t="e">
        <f t="shared" si="15"/>
        <v>#DIV/0!</v>
      </c>
      <c r="AF20" s="716" t="e">
        <f t="shared" si="6"/>
        <v>#DIV/0!</v>
      </c>
      <c r="AG20" s="717"/>
      <c r="AH20" s="717"/>
      <c r="AI20" s="782"/>
      <c r="AJ20" s="707">
        <f t="shared" si="16"/>
        <v>0</v>
      </c>
      <c r="AK20" s="693">
        <f t="shared" si="21"/>
        <v>0</v>
      </c>
      <c r="AL20" s="693">
        <f t="shared" si="7"/>
        <v>0</v>
      </c>
      <c r="AM20" s="693">
        <f t="shared" si="8"/>
        <v>0</v>
      </c>
      <c r="AN20" s="692">
        <f t="shared" si="9"/>
        <v>0</v>
      </c>
      <c r="AO20" s="692">
        <f t="shared" si="10"/>
        <v>0</v>
      </c>
      <c r="AP20" s="692">
        <f t="shared" si="22"/>
        <v>0</v>
      </c>
      <c r="AQ20" s="694">
        <f t="shared" si="11"/>
        <v>0</v>
      </c>
      <c r="AR20" s="695">
        <f t="shared" si="12"/>
        <v>0</v>
      </c>
      <c r="AT20" s="366">
        <v>20.059999999999999</v>
      </c>
    </row>
    <row r="21" spans="1:46" s="670" customFormat="1" ht="35.1" customHeight="1" x14ac:dyDescent="0.55000000000000004">
      <c r="B21" s="743">
        <v>45396</v>
      </c>
      <c r="C21" s="725">
        <f>'55 REV-'!D22+'50 REV'!D21</f>
        <v>90000</v>
      </c>
      <c r="D21" s="718">
        <f>'55 REV-'!M22+'50 REV'!L21</f>
        <v>0</v>
      </c>
      <c r="E21" s="724">
        <f>'55 REV-'!H22+'50 REV'!G21</f>
        <v>0</v>
      </c>
      <c r="F21" s="680" t="s">
        <v>118</v>
      </c>
      <c r="G21" s="718">
        <f>'55 REV-'!J22+'50 REV'!I21</f>
        <v>0</v>
      </c>
      <c r="H21" s="724">
        <f>'55 REV-'!K22+'50 REV'!J21</f>
        <v>0</v>
      </c>
      <c r="I21" s="680" t="s">
        <v>118</v>
      </c>
      <c r="J21" s="760">
        <f t="shared" si="23"/>
        <v>0</v>
      </c>
      <c r="K21" s="713">
        <f t="shared" si="0"/>
        <v>0</v>
      </c>
      <c r="L21" s="678">
        <f t="shared" si="13"/>
        <v>0</v>
      </c>
      <c r="M21" s="650">
        <f>'55 REV-'!R22+'50 REV'!O21</f>
        <v>6300</v>
      </c>
      <c r="N21" s="650">
        <f>'55 REV-'!T22+'50 REV'!Q21</f>
        <v>0</v>
      </c>
      <c r="O21" s="650">
        <f>'55 REV-'!U22+'50 REV'!R21</f>
        <v>0</v>
      </c>
      <c r="P21" s="773">
        <f>O21+N21</f>
        <v>0</v>
      </c>
      <c r="Q21" s="713">
        <f t="shared" si="1"/>
        <v>0</v>
      </c>
      <c r="R21" s="731">
        <f>+'[1]Daily All PIT'!O21</f>
        <v>61</v>
      </c>
      <c r="S21" s="668">
        <f t="shared" si="18"/>
        <v>0</v>
      </c>
      <c r="T21" s="730">
        <f t="shared" si="2"/>
        <v>0</v>
      </c>
      <c r="U21" s="732" t="e">
        <f>+'PIT GAR 42'!R21+#REF!</f>
        <v>#REF!</v>
      </c>
      <c r="V21" s="732" t="e">
        <f>+'PIT GAR 42'!S21+#REF!</f>
        <v>#REF!</v>
      </c>
      <c r="W21" s="732" t="e">
        <f t="shared" si="19"/>
        <v>#REF!</v>
      </c>
      <c r="X21" s="679">
        <f>'55 REV-'!Z22+'50 REV'!W21</f>
        <v>0</v>
      </c>
      <c r="Y21" s="679">
        <f>'55 REV-'!AA22+'50 REV'!X21</f>
        <v>0</v>
      </c>
      <c r="Z21" s="728">
        <f t="shared" si="14"/>
        <v>0</v>
      </c>
      <c r="AA21" s="668">
        <f t="shared" si="3"/>
        <v>14.285714285714286</v>
      </c>
      <c r="AB21" s="668">
        <f t="shared" si="4"/>
        <v>0</v>
      </c>
      <c r="AC21" s="713">
        <f t="shared" si="25"/>
        <v>0</v>
      </c>
      <c r="AD21" s="714" t="e">
        <f t="shared" si="24"/>
        <v>#DIV/0!</v>
      </c>
      <c r="AE21" s="714" t="e">
        <f t="shared" si="15"/>
        <v>#DIV/0!</v>
      </c>
      <c r="AF21" s="714" t="e">
        <f t="shared" si="6"/>
        <v>#DIV/0!</v>
      </c>
      <c r="AG21" s="673"/>
      <c r="AH21" s="673"/>
      <c r="AI21" s="782"/>
      <c r="AJ21" s="707">
        <f t="shared" si="16"/>
        <v>0</v>
      </c>
      <c r="AK21" s="669">
        <f t="shared" si="21"/>
        <v>0</v>
      </c>
      <c r="AL21" s="669">
        <f t="shared" si="7"/>
        <v>0</v>
      </c>
      <c r="AM21" s="669">
        <f t="shared" si="8"/>
        <v>0</v>
      </c>
      <c r="AN21" s="670">
        <f t="shared" si="9"/>
        <v>0</v>
      </c>
      <c r="AO21" s="670">
        <f t="shared" si="10"/>
        <v>0</v>
      </c>
      <c r="AP21" s="670">
        <f t="shared" si="22"/>
        <v>0</v>
      </c>
      <c r="AQ21" s="671">
        <f t="shared" si="11"/>
        <v>0</v>
      </c>
      <c r="AR21" s="672">
        <f t="shared" si="12"/>
        <v>0</v>
      </c>
      <c r="AT21" s="651">
        <v>20.97</v>
      </c>
    </row>
    <row r="22" spans="1:46" s="670" customFormat="1" ht="35.1" customHeight="1" x14ac:dyDescent="0.55000000000000004">
      <c r="B22" s="743">
        <v>45397</v>
      </c>
      <c r="C22" s="725">
        <f>'55 REV-'!D23+'50 REV'!D22</f>
        <v>90000</v>
      </c>
      <c r="D22" s="718">
        <f>'55 REV-'!M23+'50 REV'!L22</f>
        <v>0</v>
      </c>
      <c r="E22" s="724">
        <f>'55 REV-'!H23+'50 REV'!G22</f>
        <v>0</v>
      </c>
      <c r="F22" s="680" t="s">
        <v>118</v>
      </c>
      <c r="G22" s="718">
        <f>'55 REV-'!J23+'50 REV'!I22</f>
        <v>0</v>
      </c>
      <c r="H22" s="724">
        <f>'55 REV-'!K23+'50 REV'!J22</f>
        <v>0</v>
      </c>
      <c r="I22" s="680" t="s">
        <v>118</v>
      </c>
      <c r="J22" s="760">
        <f>+G22+D22</f>
        <v>0</v>
      </c>
      <c r="K22" s="713">
        <f t="shared" si="0"/>
        <v>0</v>
      </c>
      <c r="L22" s="678">
        <f t="shared" si="13"/>
        <v>0</v>
      </c>
      <c r="M22" s="650">
        <f>'55 REV-'!R23+'50 REV'!O22</f>
        <v>6300</v>
      </c>
      <c r="N22" s="650">
        <f>'55 REV-'!T23+'50 REV'!Q22</f>
        <v>0</v>
      </c>
      <c r="O22" s="650">
        <f>'55 REV-'!U23+'50 REV'!R22</f>
        <v>0</v>
      </c>
      <c r="P22" s="773">
        <f t="shared" si="17"/>
        <v>0</v>
      </c>
      <c r="Q22" s="713">
        <f t="shared" si="1"/>
        <v>0</v>
      </c>
      <c r="R22" s="731">
        <v>112</v>
      </c>
      <c r="S22" s="668">
        <v>2015.5196850393702</v>
      </c>
      <c r="T22" s="730">
        <v>40751.51968503937</v>
      </c>
      <c r="U22" s="732">
        <v>0</v>
      </c>
      <c r="V22" s="732">
        <v>0</v>
      </c>
      <c r="W22" s="732">
        <v>0</v>
      </c>
      <c r="X22" s="679">
        <f>'55 REV-'!Z23+'50 REV'!W22</f>
        <v>0</v>
      </c>
      <c r="Y22" s="679">
        <f>'55 REV-'!AA23+'50 REV'!X22</f>
        <v>0</v>
      </c>
      <c r="Z22" s="728">
        <f t="shared" si="14"/>
        <v>0</v>
      </c>
      <c r="AA22" s="668">
        <f t="shared" si="3"/>
        <v>14.285714285714286</v>
      </c>
      <c r="AB22" s="668">
        <f t="shared" si="4"/>
        <v>0</v>
      </c>
      <c r="AC22" s="713">
        <f t="shared" si="25"/>
        <v>0</v>
      </c>
      <c r="AD22" s="714" t="e">
        <f t="shared" si="24"/>
        <v>#DIV/0!</v>
      </c>
      <c r="AE22" s="714" t="e">
        <f t="shared" si="15"/>
        <v>#DIV/0!</v>
      </c>
      <c r="AF22" s="714" t="e">
        <f t="shared" si="6"/>
        <v>#DIV/0!</v>
      </c>
      <c r="AG22" s="673"/>
      <c r="AH22" s="673"/>
      <c r="AI22" s="782"/>
      <c r="AJ22" s="707">
        <f t="shared" si="16"/>
        <v>0</v>
      </c>
      <c r="AK22" s="669">
        <f t="shared" si="21"/>
        <v>0</v>
      </c>
      <c r="AL22" s="669">
        <f t="shared" si="7"/>
        <v>0</v>
      </c>
      <c r="AM22" s="669">
        <f t="shared" si="8"/>
        <v>0</v>
      </c>
      <c r="AN22" s="670">
        <f t="shared" si="9"/>
        <v>0</v>
      </c>
      <c r="AO22" s="670">
        <f t="shared" si="10"/>
        <v>0</v>
      </c>
      <c r="AP22" s="670">
        <f t="shared" si="22"/>
        <v>0</v>
      </c>
      <c r="AQ22" s="671">
        <f t="shared" si="11"/>
        <v>-2015.5196850393702</v>
      </c>
      <c r="AR22" s="672">
        <f t="shared" si="12"/>
        <v>0</v>
      </c>
      <c r="AT22" s="651">
        <v>19.559999999999999</v>
      </c>
    </row>
    <row r="23" spans="1:46" s="692" customFormat="1" ht="35.1" customHeight="1" x14ac:dyDescent="0.55000000000000004">
      <c r="B23" s="743">
        <v>45398</v>
      </c>
      <c r="C23" s="725">
        <f>'55 REV-'!D24+'50 REV'!D23</f>
        <v>90000</v>
      </c>
      <c r="D23" s="718">
        <f>'55 REV-'!M24+'50 REV'!L23</f>
        <v>0</v>
      </c>
      <c r="E23" s="724">
        <f>'55 REV-'!H24+'50 REV'!G23</f>
        <v>0</v>
      </c>
      <c r="F23" s="680" t="s">
        <v>118</v>
      </c>
      <c r="G23" s="718">
        <f>'55 REV-'!J24+'50 REV'!I23</f>
        <v>0</v>
      </c>
      <c r="H23" s="724">
        <f>'55 REV-'!K24+'50 REV'!J23</f>
        <v>0</v>
      </c>
      <c r="I23" s="680" t="s">
        <v>118</v>
      </c>
      <c r="J23" s="760">
        <f t="shared" si="23"/>
        <v>0</v>
      </c>
      <c r="K23" s="715">
        <f t="shared" si="0"/>
        <v>0</v>
      </c>
      <c r="L23" s="678">
        <f t="shared" si="13"/>
        <v>0</v>
      </c>
      <c r="M23" s="650">
        <f>'55 REV-'!R24+'50 REV'!O23</f>
        <v>6300</v>
      </c>
      <c r="N23" s="650">
        <f>'55 REV-'!T24+'50 REV'!Q23</f>
        <v>0</v>
      </c>
      <c r="O23" s="650">
        <f>'55 REV-'!U24+'50 REV'!R23</f>
        <v>0</v>
      </c>
      <c r="P23" s="773">
        <f t="shared" si="17"/>
        <v>0</v>
      </c>
      <c r="Q23" s="715">
        <f t="shared" si="1"/>
        <v>0</v>
      </c>
      <c r="R23" s="734">
        <v>128</v>
      </c>
      <c r="S23" s="325">
        <v>2405.6377952755902</v>
      </c>
      <c r="T23" s="733">
        <v>42821.637795275587</v>
      </c>
      <c r="U23" s="735">
        <v>0</v>
      </c>
      <c r="V23" s="735">
        <v>0</v>
      </c>
      <c r="W23" s="735">
        <v>0</v>
      </c>
      <c r="X23" s="679">
        <f>'55 REV-'!Z24+'50 REV'!W23</f>
        <v>0</v>
      </c>
      <c r="Y23" s="679">
        <f>'55 REV-'!AA24+'50 REV'!X23</f>
        <v>0</v>
      </c>
      <c r="Z23" s="728">
        <f t="shared" si="14"/>
        <v>0</v>
      </c>
      <c r="AA23" s="325">
        <f t="shared" si="3"/>
        <v>14.285714285714286</v>
      </c>
      <c r="AB23" s="325">
        <f t="shared" si="4"/>
        <v>0</v>
      </c>
      <c r="AC23" s="715">
        <f t="shared" si="25"/>
        <v>0</v>
      </c>
      <c r="AD23" s="716" t="e">
        <f t="shared" si="24"/>
        <v>#DIV/0!</v>
      </c>
      <c r="AE23" s="716" t="e">
        <f t="shared" si="15"/>
        <v>#DIV/0!</v>
      </c>
      <c r="AF23" s="716" t="e">
        <f t="shared" si="6"/>
        <v>#DIV/0!</v>
      </c>
      <c r="AG23" s="717"/>
      <c r="AH23" s="717"/>
      <c r="AI23" s="782"/>
      <c r="AJ23" s="707">
        <f t="shared" si="16"/>
        <v>0</v>
      </c>
      <c r="AK23" s="693">
        <f t="shared" si="21"/>
        <v>0</v>
      </c>
      <c r="AL23" s="693">
        <f t="shared" si="7"/>
        <v>0</v>
      </c>
      <c r="AM23" s="693">
        <f t="shared" si="8"/>
        <v>0</v>
      </c>
      <c r="AN23" s="692">
        <f t="shared" si="9"/>
        <v>0</v>
      </c>
      <c r="AO23" s="692">
        <f t="shared" si="10"/>
        <v>0</v>
      </c>
      <c r="AP23" s="692">
        <f t="shared" si="22"/>
        <v>0</v>
      </c>
      <c r="AQ23" s="694">
        <f t="shared" si="11"/>
        <v>-2405.6377952755902</v>
      </c>
      <c r="AR23" s="695">
        <f t="shared" si="12"/>
        <v>0</v>
      </c>
      <c r="AT23" s="366">
        <v>22.16</v>
      </c>
    </row>
    <row r="24" spans="1:46" s="692" customFormat="1" ht="35.1" customHeight="1" x14ac:dyDescent="0.55000000000000004">
      <c r="B24" s="743">
        <v>45399</v>
      </c>
      <c r="C24" s="725">
        <f>'55 REV-'!D25+'50 REV'!D24</f>
        <v>90000</v>
      </c>
      <c r="D24" s="718">
        <f>'55 REV-'!M25+'50 REV'!L24</f>
        <v>0</v>
      </c>
      <c r="E24" s="724">
        <f>'55 REV-'!H25+'50 REV'!G24</f>
        <v>0</v>
      </c>
      <c r="F24" s="680" t="s">
        <v>118</v>
      </c>
      <c r="G24" s="718">
        <f>'55 REV-'!J25+'50 REV'!I24</f>
        <v>0</v>
      </c>
      <c r="H24" s="724">
        <f>'55 REV-'!K25+'50 REV'!J24</f>
        <v>0</v>
      </c>
      <c r="I24" s="680" t="s">
        <v>118</v>
      </c>
      <c r="J24" s="760">
        <f t="shared" si="23"/>
        <v>0</v>
      </c>
      <c r="K24" s="715">
        <f t="shared" si="0"/>
        <v>0</v>
      </c>
      <c r="L24" s="678">
        <f t="shared" si="13"/>
        <v>0</v>
      </c>
      <c r="M24" s="650">
        <f>'55 REV-'!R25+'50 REV'!O24</f>
        <v>6300</v>
      </c>
      <c r="N24" s="650">
        <f>'55 REV-'!T25+'50 REV'!Q24</f>
        <v>0</v>
      </c>
      <c r="O24" s="650">
        <f>'55 REV-'!U25+'50 REV'!R24</f>
        <v>0</v>
      </c>
      <c r="P24" s="773">
        <f t="shared" si="17"/>
        <v>0</v>
      </c>
      <c r="Q24" s="715">
        <f t="shared" si="1"/>
        <v>0</v>
      </c>
      <c r="R24" s="734">
        <v>64</v>
      </c>
      <c r="S24" s="325">
        <v>1188.748031496063</v>
      </c>
      <c r="T24" s="733">
        <v>41940.748031496063</v>
      </c>
      <c r="U24" s="735">
        <v>0</v>
      </c>
      <c r="V24" s="735">
        <v>0</v>
      </c>
      <c r="W24" s="735">
        <v>0</v>
      </c>
      <c r="X24" s="679">
        <f>'55 REV-'!Z25+'50 REV'!W24</f>
        <v>0</v>
      </c>
      <c r="Y24" s="679">
        <f>'55 REV-'!AA25+'50 REV'!X24</f>
        <v>0</v>
      </c>
      <c r="Z24" s="728">
        <f t="shared" si="14"/>
        <v>0</v>
      </c>
      <c r="AA24" s="325">
        <f t="shared" si="3"/>
        <v>14.285714285714286</v>
      </c>
      <c r="AB24" s="325">
        <f t="shared" si="4"/>
        <v>0</v>
      </c>
      <c r="AC24" s="715">
        <f t="shared" si="25"/>
        <v>0</v>
      </c>
      <c r="AD24" s="716" t="e">
        <f t="shared" si="24"/>
        <v>#DIV/0!</v>
      </c>
      <c r="AE24" s="716" t="e">
        <f t="shared" si="15"/>
        <v>#DIV/0!</v>
      </c>
      <c r="AF24" s="716" t="e">
        <f t="shared" si="6"/>
        <v>#DIV/0!</v>
      </c>
      <c r="AG24" s="717"/>
      <c r="AH24" s="717"/>
      <c r="AI24" s="782"/>
      <c r="AJ24" s="707">
        <f t="shared" si="16"/>
        <v>0</v>
      </c>
      <c r="AK24" s="693">
        <f t="shared" si="21"/>
        <v>0</v>
      </c>
      <c r="AL24" s="693">
        <f t="shared" si="7"/>
        <v>0</v>
      </c>
      <c r="AM24" s="693">
        <f t="shared" si="8"/>
        <v>0</v>
      </c>
      <c r="AN24" s="692">
        <f t="shared" si="9"/>
        <v>0</v>
      </c>
      <c r="AO24" s="692">
        <f t="shared" si="10"/>
        <v>0</v>
      </c>
      <c r="AP24" s="692">
        <f t="shared" si="22"/>
        <v>0</v>
      </c>
      <c r="AQ24" s="694">
        <f t="shared" si="11"/>
        <v>-1188.748031496063</v>
      </c>
      <c r="AR24" s="695">
        <f t="shared" si="12"/>
        <v>0</v>
      </c>
      <c r="AT24" s="366">
        <v>21.71</v>
      </c>
    </row>
    <row r="25" spans="1:46" s="787" customFormat="1" ht="34.5" customHeight="1" x14ac:dyDescent="0.55000000000000004">
      <c r="B25" s="743">
        <v>45400</v>
      </c>
      <c r="C25" s="725">
        <f>'55 REV-'!D26+'50 REV'!D25</f>
        <v>45000</v>
      </c>
      <c r="D25" s="718">
        <f>'55 REV-'!M26+'50 REV'!L25</f>
        <v>0</v>
      </c>
      <c r="E25" s="724">
        <f>'55 REV-'!H26+'50 REV'!G25</f>
        <v>0</v>
      </c>
      <c r="F25" s="680" t="s">
        <v>118</v>
      </c>
      <c r="G25" s="718">
        <f>'55 REV-'!J26+'50 REV'!I25</f>
        <v>0</v>
      </c>
      <c r="H25" s="724">
        <f>'55 REV-'!K26+'50 REV'!J25</f>
        <v>0</v>
      </c>
      <c r="I25" s="680" t="s">
        <v>118</v>
      </c>
      <c r="J25" s="760">
        <f t="shared" si="23"/>
        <v>0</v>
      </c>
      <c r="K25" s="791">
        <f t="shared" si="0"/>
        <v>0</v>
      </c>
      <c r="L25" s="792">
        <f t="shared" si="13"/>
        <v>0</v>
      </c>
      <c r="M25" s="650">
        <f>'55 REV-'!R26+'50 REV'!O25</f>
        <v>3775</v>
      </c>
      <c r="N25" s="650">
        <f>'55 REV-'!T26+'50 REV'!Q25</f>
        <v>0</v>
      </c>
      <c r="O25" s="650">
        <f>'55 REV-'!U26+'50 REV'!R25</f>
        <v>0</v>
      </c>
      <c r="P25" s="773">
        <f t="shared" si="17"/>
        <v>0</v>
      </c>
      <c r="Q25" s="791">
        <f t="shared" si="1"/>
        <v>0</v>
      </c>
      <c r="R25" s="794">
        <v>80</v>
      </c>
      <c r="S25" s="795">
        <v>1452.7165354330709</v>
      </c>
      <c r="T25" s="760">
        <v>32940.716535433072</v>
      </c>
      <c r="U25" s="796">
        <v>0</v>
      </c>
      <c r="V25" s="796">
        <v>0</v>
      </c>
      <c r="W25" s="796">
        <v>0</v>
      </c>
      <c r="X25" s="679">
        <f>'55 REV-'!Z26+'50 REV'!W25</f>
        <v>0</v>
      </c>
      <c r="Y25" s="679">
        <f>'55 REV-'!AA26+'50 REV'!X25</f>
        <v>0</v>
      </c>
      <c r="Z25" s="797">
        <f t="shared" si="14"/>
        <v>0</v>
      </c>
      <c r="AA25" s="795">
        <f t="shared" si="3"/>
        <v>11.920529801324504</v>
      </c>
      <c r="AB25" s="795">
        <f t="shared" si="4"/>
        <v>0</v>
      </c>
      <c r="AC25" s="791">
        <f t="shared" si="25"/>
        <v>0</v>
      </c>
      <c r="AD25" s="793" t="e">
        <f t="shared" si="24"/>
        <v>#DIV/0!</v>
      </c>
      <c r="AE25" s="793" t="e">
        <f t="shared" si="15"/>
        <v>#DIV/0!</v>
      </c>
      <c r="AF25" s="793" t="e">
        <f t="shared" si="6"/>
        <v>#DIV/0!</v>
      </c>
      <c r="AG25" s="798"/>
      <c r="AH25" s="798"/>
      <c r="AI25" s="782"/>
      <c r="AJ25" s="707">
        <f t="shared" si="16"/>
        <v>0</v>
      </c>
      <c r="AK25" s="786">
        <f t="shared" si="21"/>
        <v>0</v>
      </c>
      <c r="AL25" s="786">
        <f t="shared" si="7"/>
        <v>0</v>
      </c>
      <c r="AM25" s="786">
        <f t="shared" si="8"/>
        <v>0</v>
      </c>
      <c r="AN25" s="787">
        <f t="shared" si="9"/>
        <v>0</v>
      </c>
      <c r="AO25" s="787">
        <f t="shared" si="10"/>
        <v>0</v>
      </c>
      <c r="AP25" s="787">
        <f t="shared" si="22"/>
        <v>0</v>
      </c>
      <c r="AQ25" s="788">
        <f t="shared" si="11"/>
        <v>-1452.7165354330709</v>
      </c>
      <c r="AR25" s="789">
        <f t="shared" si="12"/>
        <v>0</v>
      </c>
      <c r="AT25" s="790">
        <v>22.24</v>
      </c>
    </row>
    <row r="26" spans="1:46" s="670" customFormat="1" ht="34.5" customHeight="1" x14ac:dyDescent="0.55000000000000004">
      <c r="A26" s="670" t="s">
        <v>138</v>
      </c>
      <c r="B26" s="743">
        <v>45401</v>
      </c>
      <c r="C26" s="725">
        <f>'55 REV-'!D27+'50 REV'!D26</f>
        <v>90000</v>
      </c>
      <c r="D26" s="718">
        <f>'55 REV-'!M27+'50 REV'!L26</f>
        <v>0</v>
      </c>
      <c r="E26" s="724">
        <f>'55 REV-'!H27+'50 REV'!G26</f>
        <v>0</v>
      </c>
      <c r="F26" s="680" t="s">
        <v>118</v>
      </c>
      <c r="G26" s="718">
        <f>'55 REV-'!J27+'50 REV'!I26</f>
        <v>0</v>
      </c>
      <c r="H26" s="724">
        <f>'55 REV-'!K27+'50 REV'!J26</f>
        <v>0</v>
      </c>
      <c r="I26" s="680" t="s">
        <v>118</v>
      </c>
      <c r="J26" s="760">
        <f t="shared" si="23"/>
        <v>0</v>
      </c>
      <c r="K26" s="713">
        <f t="shared" si="0"/>
        <v>0</v>
      </c>
      <c r="L26" s="678">
        <f t="shared" si="13"/>
        <v>0</v>
      </c>
      <c r="M26" s="650">
        <f>'55 REV-'!R27+'50 REV'!O26</f>
        <v>6300</v>
      </c>
      <c r="N26" s="650">
        <f>'55 REV-'!T27+'50 REV'!Q26</f>
        <v>0</v>
      </c>
      <c r="O26" s="650">
        <f>'55 REV-'!U27+'50 REV'!R26</f>
        <v>0</v>
      </c>
      <c r="P26" s="773">
        <f t="shared" si="17"/>
        <v>0</v>
      </c>
      <c r="Q26" s="713">
        <f t="shared" si="1"/>
        <v>0</v>
      </c>
      <c r="R26" s="731">
        <f>+'[1]Daily All PIT'!O26</f>
        <v>80</v>
      </c>
      <c r="S26" s="668">
        <f t="shared" si="18"/>
        <v>0</v>
      </c>
      <c r="T26" s="730">
        <f t="shared" ref="T26:T31" si="26">J26+S26</f>
        <v>0</v>
      </c>
      <c r="U26" s="732" t="e">
        <f>+'PIT GAR 42'!R26+#REF!</f>
        <v>#REF!</v>
      </c>
      <c r="V26" s="732" t="e">
        <f>+'PIT GAR 42'!S26+#REF!</f>
        <v>#REF!</v>
      </c>
      <c r="W26" s="732" t="e">
        <f t="shared" si="19"/>
        <v>#REF!</v>
      </c>
      <c r="X26" s="679">
        <f>'55 REV-'!Z27+'50 REV'!W26</f>
        <v>0</v>
      </c>
      <c r="Y26" s="679">
        <f>'55 REV-'!AA27+'50 REV'!X26</f>
        <v>0</v>
      </c>
      <c r="Z26" s="728">
        <f t="shared" si="14"/>
        <v>0</v>
      </c>
      <c r="AA26" s="668">
        <f t="shared" si="3"/>
        <v>14.285714285714286</v>
      </c>
      <c r="AB26" s="668">
        <f t="shared" si="4"/>
        <v>0</v>
      </c>
      <c r="AC26" s="713">
        <f t="shared" si="25"/>
        <v>0</v>
      </c>
      <c r="AD26" s="714" t="e">
        <f t="shared" si="24"/>
        <v>#DIV/0!</v>
      </c>
      <c r="AE26" s="714" t="e">
        <f t="shared" si="15"/>
        <v>#DIV/0!</v>
      </c>
      <c r="AF26" s="714" t="e">
        <f t="shared" si="6"/>
        <v>#DIV/0!</v>
      </c>
      <c r="AG26" s="673"/>
      <c r="AH26" s="673"/>
      <c r="AI26" s="782"/>
      <c r="AJ26" s="707">
        <f t="shared" si="16"/>
        <v>0</v>
      </c>
      <c r="AK26" s="669">
        <f t="shared" si="21"/>
        <v>0</v>
      </c>
      <c r="AL26" s="669">
        <f t="shared" si="7"/>
        <v>0</v>
      </c>
      <c r="AM26" s="669">
        <f t="shared" si="8"/>
        <v>0</v>
      </c>
      <c r="AN26" s="670">
        <f t="shared" si="9"/>
        <v>0</v>
      </c>
      <c r="AO26" s="670">
        <f t="shared" si="10"/>
        <v>0</v>
      </c>
      <c r="AP26" s="670">
        <f t="shared" si="22"/>
        <v>0</v>
      </c>
      <c r="AQ26" s="671">
        <f t="shared" si="11"/>
        <v>0</v>
      </c>
      <c r="AR26" s="672">
        <f t="shared" si="12"/>
        <v>0</v>
      </c>
      <c r="AT26" s="651">
        <v>21.9</v>
      </c>
    </row>
    <row r="27" spans="1:46" s="651" customFormat="1" ht="35.1" customHeight="1" x14ac:dyDescent="0.55000000000000004">
      <c r="B27" s="743">
        <v>45402</v>
      </c>
      <c r="C27" s="725">
        <f>'55 REV-'!D28+'50 REV'!D27</f>
        <v>90000</v>
      </c>
      <c r="D27" s="718">
        <f>'55 REV-'!M28+'50 REV'!L27</f>
        <v>0</v>
      </c>
      <c r="E27" s="724">
        <f>'55 REV-'!H28+'50 REV'!G27</f>
        <v>0</v>
      </c>
      <c r="F27" s="680" t="s">
        <v>118</v>
      </c>
      <c r="G27" s="718">
        <f>'55 REV-'!J28+'50 REV'!I27</f>
        <v>0</v>
      </c>
      <c r="H27" s="724">
        <f>'55 REV-'!K28+'50 REV'!J27</f>
        <v>0</v>
      </c>
      <c r="I27" s="680" t="s">
        <v>118</v>
      </c>
      <c r="J27" s="760">
        <f t="shared" si="23"/>
        <v>0</v>
      </c>
      <c r="K27" s="713">
        <f t="shared" si="0"/>
        <v>0</v>
      </c>
      <c r="L27" s="678">
        <f t="shared" si="13"/>
        <v>0</v>
      </c>
      <c r="M27" s="650">
        <f>'55 REV-'!R28+'50 REV'!O27</f>
        <v>6300</v>
      </c>
      <c r="N27" s="650">
        <f>'55 REV-'!T28+'50 REV'!Q27</f>
        <v>0</v>
      </c>
      <c r="O27" s="650">
        <f>'55 REV-'!U28+'50 REV'!R27</f>
        <v>0</v>
      </c>
      <c r="P27" s="773">
        <f t="shared" si="17"/>
        <v>0</v>
      </c>
      <c r="Q27" s="713">
        <f t="shared" si="1"/>
        <v>0</v>
      </c>
      <c r="R27" s="731">
        <f>+'[1]Daily All PIT'!O27</f>
        <v>87</v>
      </c>
      <c r="S27" s="668">
        <f t="shared" si="18"/>
        <v>0</v>
      </c>
      <c r="T27" s="730">
        <f t="shared" si="26"/>
        <v>0</v>
      </c>
      <c r="U27" s="732" t="e">
        <f>+'PIT GAR 42'!R27+#REF!</f>
        <v>#REF!</v>
      </c>
      <c r="V27" s="732" t="e">
        <f>+'PIT GAR 42'!S27+#REF!</f>
        <v>#REF!</v>
      </c>
      <c r="W27" s="732" t="e">
        <f t="shared" si="19"/>
        <v>#REF!</v>
      </c>
      <c r="X27" s="679">
        <f>'55 REV-'!Z28+'50 REV'!W27</f>
        <v>0</v>
      </c>
      <c r="Y27" s="679">
        <f>'55 REV-'!AA28+'50 REV'!X27</f>
        <v>0</v>
      </c>
      <c r="Z27" s="728">
        <f t="shared" si="14"/>
        <v>0</v>
      </c>
      <c r="AA27" s="668">
        <f t="shared" si="3"/>
        <v>14.285714285714286</v>
      </c>
      <c r="AB27" s="668">
        <f t="shared" si="4"/>
        <v>0</v>
      </c>
      <c r="AC27" s="713">
        <f t="shared" si="25"/>
        <v>0</v>
      </c>
      <c r="AD27" s="714" t="e">
        <f t="shared" si="24"/>
        <v>#DIV/0!</v>
      </c>
      <c r="AE27" s="714" t="e">
        <f t="shared" si="15"/>
        <v>#DIV/0!</v>
      </c>
      <c r="AF27" s="714" t="e">
        <f t="shared" si="6"/>
        <v>#DIV/0!</v>
      </c>
      <c r="AG27" s="673"/>
      <c r="AH27" s="673"/>
      <c r="AI27" s="782"/>
      <c r="AJ27" s="707">
        <f t="shared" si="16"/>
        <v>0</v>
      </c>
      <c r="AK27" s="696">
        <f t="shared" si="21"/>
        <v>0</v>
      </c>
      <c r="AL27" s="696">
        <f t="shared" si="7"/>
        <v>0</v>
      </c>
      <c r="AM27" s="696">
        <f t="shared" si="8"/>
        <v>0</v>
      </c>
      <c r="AN27" s="651">
        <f t="shared" si="9"/>
        <v>0</v>
      </c>
      <c r="AO27" s="651">
        <f t="shared" si="10"/>
        <v>0</v>
      </c>
      <c r="AP27" s="651">
        <f t="shared" si="22"/>
        <v>0</v>
      </c>
      <c r="AQ27" s="652">
        <f t="shared" si="11"/>
        <v>0</v>
      </c>
      <c r="AR27" s="653">
        <f t="shared" si="12"/>
        <v>0</v>
      </c>
      <c r="AT27" s="651">
        <f>34.75-13.11</f>
        <v>21.64</v>
      </c>
    </row>
    <row r="28" spans="1:46" s="651" customFormat="1" ht="35.1" customHeight="1" x14ac:dyDescent="0.55000000000000004">
      <c r="B28" s="743">
        <v>45403</v>
      </c>
      <c r="C28" s="725">
        <f>'55 REV-'!D29+'50 REV'!D28</f>
        <v>90000</v>
      </c>
      <c r="D28" s="718">
        <f>'55 REV-'!M29+'50 REV'!L28</f>
        <v>0</v>
      </c>
      <c r="E28" s="724">
        <f>'55 REV-'!H29+'50 REV'!G28</f>
        <v>0</v>
      </c>
      <c r="F28" s="680" t="s">
        <v>118</v>
      </c>
      <c r="G28" s="718">
        <f>'55 REV-'!J29+'50 REV'!I28</f>
        <v>0</v>
      </c>
      <c r="H28" s="724">
        <f>'55 REV-'!K29+'50 REV'!J28</f>
        <v>0</v>
      </c>
      <c r="I28" s="680" t="s">
        <v>118</v>
      </c>
      <c r="J28" s="760">
        <f>+G28+D28</f>
        <v>0</v>
      </c>
      <c r="K28" s="713">
        <f t="shared" si="0"/>
        <v>0</v>
      </c>
      <c r="L28" s="678">
        <f t="shared" si="13"/>
        <v>0</v>
      </c>
      <c r="M28" s="650">
        <f>'55 REV-'!R29+'50 REV'!O28</f>
        <v>6300</v>
      </c>
      <c r="N28" s="650">
        <f>'55 REV-'!T29+'50 REV'!Q28</f>
        <v>0</v>
      </c>
      <c r="O28" s="650">
        <f>'55 REV-'!U29+'50 REV'!R28</f>
        <v>0</v>
      </c>
      <c r="P28" s="773">
        <f t="shared" si="17"/>
        <v>0</v>
      </c>
      <c r="Q28" s="713">
        <f t="shared" si="1"/>
        <v>0</v>
      </c>
      <c r="R28" s="731">
        <f>+'[1]Daily All PIT'!O28</f>
        <v>99</v>
      </c>
      <c r="S28" s="668">
        <f t="shared" si="18"/>
        <v>0</v>
      </c>
      <c r="T28" s="730">
        <f t="shared" si="26"/>
        <v>0</v>
      </c>
      <c r="U28" s="732" t="e">
        <f>+'PIT GAR 42'!R28+#REF!</f>
        <v>#REF!</v>
      </c>
      <c r="V28" s="732" t="e">
        <f>+'PIT GAR 42'!S28+#REF!</f>
        <v>#REF!</v>
      </c>
      <c r="W28" s="732" t="e">
        <f t="shared" si="19"/>
        <v>#REF!</v>
      </c>
      <c r="X28" s="679">
        <f>'55 REV-'!Z29+'50 REV'!W28</f>
        <v>0</v>
      </c>
      <c r="Y28" s="679">
        <f>'55 REV-'!AA29+'50 REV'!X28</f>
        <v>0</v>
      </c>
      <c r="Z28" s="728">
        <f t="shared" si="14"/>
        <v>0</v>
      </c>
      <c r="AA28" s="668">
        <f t="shared" si="3"/>
        <v>14.285714285714286</v>
      </c>
      <c r="AB28" s="668">
        <f t="shared" si="4"/>
        <v>0</v>
      </c>
      <c r="AC28" s="713">
        <f t="shared" si="25"/>
        <v>0</v>
      </c>
      <c r="AD28" s="714" t="e">
        <f t="shared" ref="AD28:AD36" si="27">+X28/(D28+(N28/1.27))</f>
        <v>#DIV/0!</v>
      </c>
      <c r="AE28" s="714" t="e">
        <f t="shared" si="15"/>
        <v>#DIV/0!</v>
      </c>
      <c r="AF28" s="714" t="e">
        <f t="shared" si="6"/>
        <v>#DIV/0!</v>
      </c>
      <c r="AG28" s="673"/>
      <c r="AH28" s="673"/>
      <c r="AI28" s="782"/>
      <c r="AJ28" s="707">
        <f t="shared" si="16"/>
        <v>0</v>
      </c>
      <c r="AK28" s="696">
        <f t="shared" si="21"/>
        <v>0</v>
      </c>
      <c r="AL28" s="696">
        <f t="shared" si="7"/>
        <v>0</v>
      </c>
      <c r="AM28" s="696">
        <f t="shared" si="8"/>
        <v>0</v>
      </c>
      <c r="AN28" s="651">
        <f t="shared" si="9"/>
        <v>0</v>
      </c>
      <c r="AO28" s="651">
        <f t="shared" si="10"/>
        <v>0</v>
      </c>
      <c r="AP28" s="651">
        <f t="shared" si="22"/>
        <v>0</v>
      </c>
      <c r="AQ28" s="652">
        <f t="shared" si="11"/>
        <v>0</v>
      </c>
      <c r="AR28" s="653">
        <f t="shared" si="12"/>
        <v>0</v>
      </c>
      <c r="AT28" s="651">
        <v>21</v>
      </c>
    </row>
    <row r="29" spans="1:46" s="651" customFormat="1" ht="35.1" customHeight="1" x14ac:dyDescent="0.55000000000000004">
      <c r="B29" s="743">
        <v>45404</v>
      </c>
      <c r="C29" s="725">
        <f>'55 REV-'!D30+'50 REV'!D29</f>
        <v>90000</v>
      </c>
      <c r="D29" s="718">
        <f>'55 REV-'!M30+'50 REV'!L29</f>
        <v>0</v>
      </c>
      <c r="E29" s="724">
        <f>'55 REV-'!H30+'50 REV'!G29</f>
        <v>0</v>
      </c>
      <c r="F29" s="680" t="s">
        <v>118</v>
      </c>
      <c r="G29" s="718">
        <f>'55 REV-'!J30+'50 REV'!I29</f>
        <v>0</v>
      </c>
      <c r="H29" s="724">
        <f>'55 REV-'!K30+'50 REV'!J29</f>
        <v>0</v>
      </c>
      <c r="I29" s="680" t="s">
        <v>118</v>
      </c>
      <c r="J29" s="760">
        <f t="shared" si="23"/>
        <v>0</v>
      </c>
      <c r="K29" s="713">
        <f t="shared" si="0"/>
        <v>0</v>
      </c>
      <c r="L29" s="678">
        <f t="shared" si="13"/>
        <v>0</v>
      </c>
      <c r="M29" s="650">
        <f>'55 REV-'!R30+'50 REV'!O29</f>
        <v>6300</v>
      </c>
      <c r="N29" s="650">
        <f>'55 REV-'!T30+'50 REV'!Q29</f>
        <v>0</v>
      </c>
      <c r="O29" s="650">
        <f>'55 REV-'!U30+'50 REV'!R29</f>
        <v>0</v>
      </c>
      <c r="P29" s="773">
        <f>O29+N29</f>
        <v>0</v>
      </c>
      <c r="Q29" s="713">
        <f t="shared" si="1"/>
        <v>0</v>
      </c>
      <c r="R29" s="731">
        <f>+'[1]Daily All PIT'!O29</f>
        <v>73</v>
      </c>
      <c r="S29" s="668">
        <f t="shared" si="18"/>
        <v>0</v>
      </c>
      <c r="T29" s="730">
        <f t="shared" si="26"/>
        <v>0</v>
      </c>
      <c r="U29" s="732" t="e">
        <f>+'PIT GAR 42'!R29+#REF!</f>
        <v>#REF!</v>
      </c>
      <c r="V29" s="732" t="e">
        <f>+'PIT GAR 42'!S29+#REF!</f>
        <v>#REF!</v>
      </c>
      <c r="W29" s="732" t="e">
        <f t="shared" si="19"/>
        <v>#REF!</v>
      </c>
      <c r="X29" s="679">
        <f>'55 REV-'!Z30+'50 REV'!W29</f>
        <v>0</v>
      </c>
      <c r="Y29" s="679">
        <f>'55 REV-'!AA30+'50 REV'!X29</f>
        <v>0</v>
      </c>
      <c r="Z29" s="728">
        <f t="shared" si="14"/>
        <v>0</v>
      </c>
      <c r="AA29" s="668">
        <f t="shared" si="3"/>
        <v>14.285714285714286</v>
      </c>
      <c r="AB29" s="668">
        <f t="shared" si="4"/>
        <v>0</v>
      </c>
      <c r="AC29" s="713">
        <f t="shared" si="25"/>
        <v>0</v>
      </c>
      <c r="AD29" s="714" t="e">
        <f t="shared" si="27"/>
        <v>#DIV/0!</v>
      </c>
      <c r="AE29" s="714" t="e">
        <f t="shared" si="15"/>
        <v>#DIV/0!</v>
      </c>
      <c r="AF29" s="714" t="e">
        <f t="shared" si="6"/>
        <v>#DIV/0!</v>
      </c>
      <c r="AG29" s="673"/>
      <c r="AH29" s="673"/>
      <c r="AI29" s="782"/>
      <c r="AJ29" s="707">
        <f t="shared" si="16"/>
        <v>0</v>
      </c>
      <c r="AK29" s="696">
        <f t="shared" si="21"/>
        <v>0</v>
      </c>
      <c r="AL29" s="696">
        <f t="shared" si="7"/>
        <v>0</v>
      </c>
      <c r="AM29" s="696">
        <f t="shared" si="8"/>
        <v>0</v>
      </c>
      <c r="AN29" s="651">
        <f t="shared" si="9"/>
        <v>0</v>
      </c>
      <c r="AO29" s="651">
        <f t="shared" si="10"/>
        <v>0</v>
      </c>
      <c r="AP29" s="651">
        <f t="shared" si="22"/>
        <v>0</v>
      </c>
      <c r="AQ29" s="652">
        <f t="shared" si="11"/>
        <v>0</v>
      </c>
      <c r="AR29" s="653">
        <f t="shared" si="12"/>
        <v>0</v>
      </c>
      <c r="AT29" s="651">
        <v>19.649999999999999</v>
      </c>
    </row>
    <row r="30" spans="1:46" s="651" customFormat="1" ht="35.1" customHeight="1" x14ac:dyDescent="0.55000000000000004">
      <c r="B30" s="743">
        <v>45405</v>
      </c>
      <c r="C30" s="725">
        <f>'55 REV-'!D31+'50 REV'!D30</f>
        <v>90000</v>
      </c>
      <c r="D30" s="718">
        <f>'55 REV-'!M31+'50 REV'!L30</f>
        <v>0</v>
      </c>
      <c r="E30" s="724">
        <f>'55 REV-'!H31+'50 REV'!G30</f>
        <v>0</v>
      </c>
      <c r="F30" s="680" t="s">
        <v>118</v>
      </c>
      <c r="G30" s="718">
        <f>'55 REV-'!J31+'50 REV'!I30</f>
        <v>0</v>
      </c>
      <c r="H30" s="724">
        <f>'55 REV-'!K31+'50 REV'!J30</f>
        <v>0</v>
      </c>
      <c r="I30" s="680" t="s">
        <v>118</v>
      </c>
      <c r="J30" s="760">
        <f>+G30+D30</f>
        <v>0</v>
      </c>
      <c r="K30" s="713">
        <f t="shared" si="0"/>
        <v>0</v>
      </c>
      <c r="L30" s="678">
        <f t="shared" si="13"/>
        <v>0</v>
      </c>
      <c r="M30" s="650">
        <f>'55 REV-'!R31+'50 REV'!O30</f>
        <v>6300</v>
      </c>
      <c r="N30" s="650">
        <f>'55 REV-'!T31+'50 REV'!Q30</f>
        <v>0</v>
      </c>
      <c r="O30" s="650">
        <f>'55 REV-'!U31+'50 REV'!R30</f>
        <v>0</v>
      </c>
      <c r="P30" s="773">
        <f t="shared" si="17"/>
        <v>0</v>
      </c>
      <c r="Q30" s="713">
        <f t="shared" si="1"/>
        <v>0</v>
      </c>
      <c r="R30" s="731">
        <f>+'[1]Daily All PIT'!O30</f>
        <v>14</v>
      </c>
      <c r="S30" s="668">
        <f t="shared" si="18"/>
        <v>0</v>
      </c>
      <c r="T30" s="730">
        <f t="shared" si="26"/>
        <v>0</v>
      </c>
      <c r="U30" s="732" t="e">
        <f>+'PIT GAR 42'!R30+#REF!</f>
        <v>#REF!</v>
      </c>
      <c r="V30" s="732" t="e">
        <f>+'PIT GAR 42'!S30+#REF!</f>
        <v>#REF!</v>
      </c>
      <c r="W30" s="732" t="e">
        <f t="shared" si="19"/>
        <v>#REF!</v>
      </c>
      <c r="X30" s="679">
        <f>'55 REV-'!Z31+'50 REV'!W30</f>
        <v>0</v>
      </c>
      <c r="Y30" s="679">
        <f>'55 REV-'!AA31+'50 REV'!X30</f>
        <v>0</v>
      </c>
      <c r="Z30" s="728">
        <f t="shared" si="14"/>
        <v>0</v>
      </c>
      <c r="AA30" s="668">
        <f t="shared" si="3"/>
        <v>14.285714285714286</v>
      </c>
      <c r="AB30" s="668">
        <f t="shared" si="4"/>
        <v>0</v>
      </c>
      <c r="AC30" s="713">
        <f t="shared" si="25"/>
        <v>0</v>
      </c>
      <c r="AD30" s="714" t="e">
        <f t="shared" si="27"/>
        <v>#DIV/0!</v>
      </c>
      <c r="AE30" s="714" t="e">
        <f t="shared" si="15"/>
        <v>#DIV/0!</v>
      </c>
      <c r="AF30" s="714" t="e">
        <f t="shared" si="6"/>
        <v>#DIV/0!</v>
      </c>
      <c r="AG30" s="673"/>
      <c r="AH30" s="673"/>
      <c r="AI30" s="782"/>
      <c r="AJ30" s="707">
        <f t="shared" si="16"/>
        <v>0</v>
      </c>
      <c r="AK30" s="696">
        <f t="shared" si="21"/>
        <v>0</v>
      </c>
      <c r="AL30" s="696">
        <f t="shared" si="7"/>
        <v>0</v>
      </c>
      <c r="AM30" s="696">
        <f t="shared" si="8"/>
        <v>0</v>
      </c>
      <c r="AN30" s="651">
        <f t="shared" si="9"/>
        <v>0</v>
      </c>
      <c r="AO30" s="651">
        <f t="shared" si="10"/>
        <v>0</v>
      </c>
      <c r="AP30" s="651">
        <f t="shared" si="22"/>
        <v>0</v>
      </c>
      <c r="AQ30" s="652">
        <f t="shared" si="11"/>
        <v>0</v>
      </c>
      <c r="AR30" s="653">
        <f t="shared" si="12"/>
        <v>0</v>
      </c>
      <c r="AT30" s="651">
        <v>20.07</v>
      </c>
    </row>
    <row r="31" spans="1:46" s="651" customFormat="1" ht="35.1" customHeight="1" x14ac:dyDescent="0.55000000000000004">
      <c r="B31" s="743">
        <v>45406</v>
      </c>
      <c r="C31" s="725">
        <f>'55 REV-'!D32+'50 REV'!D31</f>
        <v>90000</v>
      </c>
      <c r="D31" s="718">
        <f>'55 REV-'!M32+'50 REV'!L31</f>
        <v>0</v>
      </c>
      <c r="E31" s="724">
        <f>'55 REV-'!H32+'50 REV'!G31</f>
        <v>0</v>
      </c>
      <c r="F31" s="680" t="s">
        <v>118</v>
      </c>
      <c r="G31" s="718">
        <f>'55 REV-'!J32+'50 REV'!I31</f>
        <v>0</v>
      </c>
      <c r="H31" s="724">
        <f>'55 REV-'!K32+'50 REV'!J31</f>
        <v>0</v>
      </c>
      <c r="I31" s="680" t="s">
        <v>118</v>
      </c>
      <c r="J31" s="760">
        <f t="shared" si="23"/>
        <v>0</v>
      </c>
      <c r="K31" s="713">
        <f t="shared" si="0"/>
        <v>0</v>
      </c>
      <c r="L31" s="678">
        <f t="shared" si="13"/>
        <v>0</v>
      </c>
      <c r="M31" s="650">
        <f>'55 REV-'!R32+'50 REV'!O31</f>
        <v>6300</v>
      </c>
      <c r="N31" s="650">
        <f>'55 REV-'!T32+'50 REV'!Q31</f>
        <v>0</v>
      </c>
      <c r="O31" s="650">
        <f>'55 REV-'!U32+'50 REV'!R31</f>
        <v>0</v>
      </c>
      <c r="P31" s="773">
        <f t="shared" si="17"/>
        <v>0</v>
      </c>
      <c r="Q31" s="713">
        <f t="shared" si="1"/>
        <v>0</v>
      </c>
      <c r="R31" s="731">
        <f>+'[1]Daily All PIT'!O31</f>
        <v>55</v>
      </c>
      <c r="S31" s="668">
        <f t="shared" si="18"/>
        <v>0</v>
      </c>
      <c r="T31" s="730">
        <f t="shared" si="26"/>
        <v>0</v>
      </c>
      <c r="U31" s="732" t="e">
        <f>+'PIT GAR 42'!R31+#REF!</f>
        <v>#REF!</v>
      </c>
      <c r="V31" s="732" t="e">
        <f>+'PIT GAR 42'!S31+#REF!</f>
        <v>#REF!</v>
      </c>
      <c r="W31" s="732" t="e">
        <f t="shared" si="19"/>
        <v>#REF!</v>
      </c>
      <c r="X31" s="679">
        <f>'55 REV-'!Z32+'50 REV'!W31</f>
        <v>0</v>
      </c>
      <c r="Y31" s="679">
        <f>'55 REV-'!AA32+'50 REV'!X31</f>
        <v>0</v>
      </c>
      <c r="Z31" s="728">
        <f t="shared" si="14"/>
        <v>0</v>
      </c>
      <c r="AA31" s="668">
        <f t="shared" si="3"/>
        <v>14.285714285714286</v>
      </c>
      <c r="AB31" s="668">
        <f t="shared" si="4"/>
        <v>0</v>
      </c>
      <c r="AC31" s="713">
        <f t="shared" si="25"/>
        <v>0</v>
      </c>
      <c r="AD31" s="714" t="e">
        <f t="shared" si="27"/>
        <v>#DIV/0!</v>
      </c>
      <c r="AE31" s="714" t="e">
        <f t="shared" si="15"/>
        <v>#DIV/0!</v>
      </c>
      <c r="AF31" s="714" t="e">
        <f t="shared" si="6"/>
        <v>#DIV/0!</v>
      </c>
      <c r="AG31" s="673"/>
      <c r="AH31" s="673"/>
      <c r="AI31" s="782"/>
      <c r="AJ31" s="707">
        <f t="shared" si="16"/>
        <v>0</v>
      </c>
      <c r="AK31" s="696">
        <f t="shared" si="21"/>
        <v>0</v>
      </c>
      <c r="AL31" s="696">
        <f t="shared" si="7"/>
        <v>0</v>
      </c>
      <c r="AM31" s="696">
        <f t="shared" si="8"/>
        <v>0</v>
      </c>
      <c r="AN31" s="651">
        <f t="shared" si="9"/>
        <v>0</v>
      </c>
      <c r="AO31" s="651">
        <f t="shared" si="10"/>
        <v>0</v>
      </c>
      <c r="AP31" s="651">
        <f t="shared" si="22"/>
        <v>0</v>
      </c>
      <c r="AQ31" s="652">
        <f t="shared" si="11"/>
        <v>0</v>
      </c>
      <c r="AR31" s="653">
        <f t="shared" si="12"/>
        <v>0</v>
      </c>
      <c r="AT31" s="651">
        <v>20.65</v>
      </c>
    </row>
    <row r="32" spans="1:46" s="787" customFormat="1" ht="35.1" customHeight="1" x14ac:dyDescent="0.55000000000000004">
      <c r="B32" s="743">
        <v>45407</v>
      </c>
      <c r="C32" s="725">
        <f>'55 REV-'!D33+'50 REV'!D32</f>
        <v>45000</v>
      </c>
      <c r="D32" s="718">
        <f>'55 REV-'!M33+'50 REV'!L32</f>
        <v>0</v>
      </c>
      <c r="E32" s="724">
        <f>'55 REV-'!H33+'50 REV'!G32</f>
        <v>0</v>
      </c>
      <c r="F32" s="680" t="s">
        <v>118</v>
      </c>
      <c r="G32" s="718">
        <f>'55 REV-'!J33+'50 REV'!I32</f>
        <v>0</v>
      </c>
      <c r="H32" s="724">
        <f>'55 REV-'!K33+'50 REV'!J32</f>
        <v>0</v>
      </c>
      <c r="I32" s="680" t="s">
        <v>118</v>
      </c>
      <c r="J32" s="760">
        <f>+G32+D32</f>
        <v>0</v>
      </c>
      <c r="K32" s="791">
        <f t="shared" si="0"/>
        <v>0</v>
      </c>
      <c r="L32" s="792">
        <f t="shared" si="13"/>
        <v>0</v>
      </c>
      <c r="M32" s="650">
        <f>'55 REV-'!R33+'50 REV'!O32</f>
        <v>3775</v>
      </c>
      <c r="N32" s="650">
        <f>'55 REV-'!T33+'50 REV'!Q32</f>
        <v>0</v>
      </c>
      <c r="O32" s="650">
        <f>'55 REV-'!U33+'50 REV'!R32</f>
        <v>0</v>
      </c>
      <c r="P32" s="773">
        <f t="shared" si="17"/>
        <v>0</v>
      </c>
      <c r="Q32" s="791">
        <f t="shared" si="1"/>
        <v>0</v>
      </c>
      <c r="R32" s="799"/>
      <c r="S32" s="800"/>
      <c r="T32" s="801"/>
      <c r="U32" s="802"/>
      <c r="V32" s="802"/>
      <c r="W32" s="802"/>
      <c r="X32" s="679">
        <f>'55 REV-'!Z33+'50 REV'!W32</f>
        <v>0</v>
      </c>
      <c r="Y32" s="679">
        <f>'55 REV-'!AA33+'50 REV'!X32</f>
        <v>0</v>
      </c>
      <c r="Z32" s="797">
        <f t="shared" si="14"/>
        <v>0</v>
      </c>
      <c r="AA32" s="795">
        <f t="shared" si="3"/>
        <v>11.920529801324504</v>
      </c>
      <c r="AB32" s="795">
        <f t="shared" si="4"/>
        <v>0</v>
      </c>
      <c r="AC32" s="791">
        <f t="shared" ref="AC32:AC39" si="28">IFERROR(+AB32/AA32,"")</f>
        <v>0</v>
      </c>
      <c r="AD32" s="793" t="e">
        <f t="shared" si="27"/>
        <v>#DIV/0!</v>
      </c>
      <c r="AE32" s="793" t="e">
        <f t="shared" si="15"/>
        <v>#DIV/0!</v>
      </c>
      <c r="AF32" s="793" t="e">
        <f t="shared" si="6"/>
        <v>#DIV/0!</v>
      </c>
      <c r="AG32" s="803"/>
      <c r="AH32" s="803"/>
      <c r="AI32" s="782"/>
      <c r="AJ32" s="707">
        <f t="shared" si="16"/>
        <v>0</v>
      </c>
      <c r="AK32" s="786"/>
      <c r="AL32" s="786"/>
      <c r="AM32" s="786"/>
      <c r="AQ32" s="788"/>
      <c r="AR32" s="789"/>
      <c r="AT32" s="790"/>
    </row>
    <row r="33" spans="2:46" s="670" customFormat="1" ht="35.1" customHeight="1" x14ac:dyDescent="0.55000000000000004">
      <c r="B33" s="743">
        <v>45408</v>
      </c>
      <c r="C33" s="725">
        <f>'55 REV-'!D34+'50 REV'!D33</f>
        <v>90000</v>
      </c>
      <c r="D33" s="718">
        <f>'55 REV-'!M34+'50 REV'!L33</f>
        <v>0</v>
      </c>
      <c r="E33" s="724">
        <f>'55 REV-'!H34+'50 REV'!G33</f>
        <v>0</v>
      </c>
      <c r="F33" s="680" t="s">
        <v>118</v>
      </c>
      <c r="G33" s="718">
        <f>'55 REV-'!J34+'50 REV'!I33</f>
        <v>0</v>
      </c>
      <c r="H33" s="724">
        <f>'55 REV-'!K34+'50 REV'!J33</f>
        <v>0</v>
      </c>
      <c r="I33" s="680" t="s">
        <v>118</v>
      </c>
      <c r="J33" s="760">
        <f t="shared" si="23"/>
        <v>0</v>
      </c>
      <c r="K33" s="713">
        <f t="shared" si="0"/>
        <v>0</v>
      </c>
      <c r="L33" s="678">
        <f t="shared" si="13"/>
        <v>0</v>
      </c>
      <c r="M33" s="650">
        <f>'55 REV-'!R34+'50 REV'!O33</f>
        <v>6300</v>
      </c>
      <c r="N33" s="650">
        <f>'55 REV-'!T34+'50 REV'!Q33</f>
        <v>0</v>
      </c>
      <c r="O33" s="650">
        <f>'55 REV-'!U34+'50 REV'!R33</f>
        <v>0</v>
      </c>
      <c r="P33" s="773">
        <f t="shared" si="17"/>
        <v>0</v>
      </c>
      <c r="Q33" s="713">
        <f t="shared" si="1"/>
        <v>0</v>
      </c>
      <c r="R33" s="736">
        <f>+'[1]Daily All PIT'!O33</f>
        <v>125</v>
      </c>
      <c r="S33" s="737">
        <f>+P33/1.27</f>
        <v>0</v>
      </c>
      <c r="T33" s="738">
        <f>J33+S33</f>
        <v>0</v>
      </c>
      <c r="U33" s="739" t="e">
        <f>+'PIT GAR 42'!R33+#REF!</f>
        <v>#REF!</v>
      </c>
      <c r="V33" s="739" t="e">
        <f>+'PIT GAR 42'!S33+#REF!</f>
        <v>#REF!</v>
      </c>
      <c r="W33" s="739" t="e">
        <f>U33+V33</f>
        <v>#REF!</v>
      </c>
      <c r="X33" s="679">
        <f>'55 REV-'!Z34+'50 REV'!W33</f>
        <v>0</v>
      </c>
      <c r="Y33" s="679">
        <f>'55 REV-'!AA34+'50 REV'!X33</f>
        <v>0</v>
      </c>
      <c r="Z33" s="762">
        <f t="shared" si="14"/>
        <v>0</v>
      </c>
      <c r="AA33" s="668">
        <f t="shared" si="3"/>
        <v>14.285714285714286</v>
      </c>
      <c r="AB33" s="668">
        <f t="shared" si="4"/>
        <v>0</v>
      </c>
      <c r="AC33" s="713">
        <f t="shared" si="28"/>
        <v>0</v>
      </c>
      <c r="AD33" s="714" t="e">
        <f t="shared" si="27"/>
        <v>#DIV/0!</v>
      </c>
      <c r="AE33" s="714" t="e">
        <f t="shared" si="15"/>
        <v>#DIV/0!</v>
      </c>
      <c r="AF33" s="714" t="e">
        <f t="shared" si="6"/>
        <v>#DIV/0!</v>
      </c>
      <c r="AG33" s="740"/>
      <c r="AH33" s="740"/>
      <c r="AI33" s="782"/>
      <c r="AJ33" s="707">
        <f t="shared" si="16"/>
        <v>0</v>
      </c>
      <c r="AK33" s="669">
        <f t="shared" si="21"/>
        <v>0</v>
      </c>
      <c r="AL33" s="669">
        <f>+AN33+D33</f>
        <v>0</v>
      </c>
      <c r="AM33" s="669">
        <f>+AO33+G33</f>
        <v>0</v>
      </c>
      <c r="AN33" s="670">
        <f t="shared" ref="AN33:AO35" si="29">+N33/1.27</f>
        <v>0</v>
      </c>
      <c r="AO33" s="670">
        <f t="shared" si="29"/>
        <v>0</v>
      </c>
      <c r="AP33" s="670">
        <f t="shared" si="22"/>
        <v>0</v>
      </c>
      <c r="AQ33" s="671">
        <f>+AP33-S33</f>
        <v>0</v>
      </c>
      <c r="AR33" s="672">
        <f>+AP33+J33</f>
        <v>0</v>
      </c>
      <c r="AT33" s="651">
        <v>21.9</v>
      </c>
    </row>
    <row r="34" spans="2:46" s="670" customFormat="1" ht="34.5" customHeight="1" x14ac:dyDescent="0.55000000000000004">
      <c r="B34" s="743">
        <v>45409</v>
      </c>
      <c r="C34" s="725">
        <f>'55 REV-'!D35+'50 REV'!D34</f>
        <v>90000</v>
      </c>
      <c r="D34" s="718">
        <f>'55 REV-'!M35+'50 REV'!L34</f>
        <v>0</v>
      </c>
      <c r="E34" s="724">
        <f>'55 REV-'!H35+'50 REV'!G34</f>
        <v>0</v>
      </c>
      <c r="F34" s="680" t="s">
        <v>118</v>
      </c>
      <c r="G34" s="718">
        <f>'55 REV-'!J35+'50 REV'!I34</f>
        <v>0</v>
      </c>
      <c r="H34" s="724">
        <f>'55 REV-'!K35+'50 REV'!J34</f>
        <v>0</v>
      </c>
      <c r="I34" s="680" t="s">
        <v>118</v>
      </c>
      <c r="J34" s="760">
        <f>+G34+D34</f>
        <v>0</v>
      </c>
      <c r="K34" s="713">
        <f t="shared" si="0"/>
        <v>0</v>
      </c>
      <c r="L34" s="678">
        <f t="shared" si="13"/>
        <v>0</v>
      </c>
      <c r="M34" s="650">
        <f>'55 REV-'!R35+'50 REV'!O34</f>
        <v>6300</v>
      </c>
      <c r="N34" s="650">
        <f>'55 REV-'!T35+'50 REV'!Q34</f>
        <v>0</v>
      </c>
      <c r="O34" s="650">
        <f>'55 REV-'!U35+'50 REV'!R34</f>
        <v>0</v>
      </c>
      <c r="P34" s="773">
        <f t="shared" si="17"/>
        <v>0</v>
      </c>
      <c r="Q34" s="713">
        <f t="shared" si="1"/>
        <v>0</v>
      </c>
      <c r="R34" s="736">
        <f>+'[1]Daily All PIT'!O34</f>
        <v>63</v>
      </c>
      <c r="S34" s="737">
        <f>+P34/1.27</f>
        <v>0</v>
      </c>
      <c r="T34" s="738">
        <f>J34+S34</f>
        <v>0</v>
      </c>
      <c r="U34" s="739" t="e">
        <f>+'PIT GAR 42'!R34+#REF!</f>
        <v>#REF!</v>
      </c>
      <c r="V34" s="739" t="e">
        <f>+'PIT GAR 42'!S34+#REF!</f>
        <v>#REF!</v>
      </c>
      <c r="W34" s="739" t="e">
        <f>U34+V34</f>
        <v>#REF!</v>
      </c>
      <c r="X34" s="679">
        <f>'55 REV-'!Z35+'50 REV'!W34</f>
        <v>0</v>
      </c>
      <c r="Y34" s="679">
        <f>'55 REV-'!AA35+'50 REV'!X34</f>
        <v>0</v>
      </c>
      <c r="Z34" s="762">
        <f t="shared" si="14"/>
        <v>0</v>
      </c>
      <c r="AA34" s="668">
        <f t="shared" si="3"/>
        <v>14.285714285714286</v>
      </c>
      <c r="AB34" s="668">
        <f t="shared" si="4"/>
        <v>0</v>
      </c>
      <c r="AC34" s="713">
        <f t="shared" si="28"/>
        <v>0</v>
      </c>
      <c r="AD34" s="714" t="e">
        <f t="shared" si="27"/>
        <v>#DIV/0!</v>
      </c>
      <c r="AE34" s="714" t="e">
        <f t="shared" si="15"/>
        <v>#DIV/0!</v>
      </c>
      <c r="AF34" s="741" t="e">
        <f t="shared" si="6"/>
        <v>#DIV/0!</v>
      </c>
      <c r="AG34" s="740"/>
      <c r="AH34" s="740"/>
      <c r="AI34" s="782"/>
      <c r="AJ34" s="707">
        <f t="shared" si="16"/>
        <v>0</v>
      </c>
      <c r="AK34" s="669">
        <f t="shared" si="21"/>
        <v>0</v>
      </c>
      <c r="AL34" s="669">
        <f>+AN34+D34</f>
        <v>0</v>
      </c>
      <c r="AM34" s="669">
        <f>+AO34+G34</f>
        <v>0</v>
      </c>
      <c r="AN34" s="670">
        <f t="shared" si="29"/>
        <v>0</v>
      </c>
      <c r="AO34" s="670">
        <f t="shared" si="29"/>
        <v>0</v>
      </c>
      <c r="AP34" s="670">
        <f t="shared" si="22"/>
        <v>0</v>
      </c>
      <c r="AQ34" s="671">
        <f>+AP34-S34</f>
        <v>0</v>
      </c>
      <c r="AR34" s="672">
        <f>+AP34+J34</f>
        <v>0</v>
      </c>
      <c r="AT34" s="651">
        <v>20.98</v>
      </c>
    </row>
    <row r="35" spans="2:46" s="670" customFormat="1" ht="32.25" customHeight="1" x14ac:dyDescent="0.55000000000000004">
      <c r="B35" s="743">
        <v>45410</v>
      </c>
      <c r="C35" s="725">
        <f>'55 REV-'!D36+'50 REV'!D35</f>
        <v>90000</v>
      </c>
      <c r="D35" s="718">
        <f>'55 REV-'!M36+'50 REV'!L35</f>
        <v>0</v>
      </c>
      <c r="E35" s="724">
        <f>'55 REV-'!H36+'50 REV'!G35</f>
        <v>0</v>
      </c>
      <c r="F35" s="680" t="s">
        <v>118</v>
      </c>
      <c r="G35" s="718">
        <f>'55 REV-'!J36+'50 REV'!I35</f>
        <v>0</v>
      </c>
      <c r="H35" s="724">
        <f>'55 REV-'!K36+'50 REV'!J35</f>
        <v>0</v>
      </c>
      <c r="I35" s="680" t="s">
        <v>118</v>
      </c>
      <c r="J35" s="760">
        <f t="shared" si="23"/>
        <v>0</v>
      </c>
      <c r="K35" s="713">
        <f t="shared" si="0"/>
        <v>0</v>
      </c>
      <c r="L35" s="678">
        <f t="shared" si="13"/>
        <v>0</v>
      </c>
      <c r="M35" s="650">
        <f>'55 REV-'!R36+'50 REV'!O35</f>
        <v>6300</v>
      </c>
      <c r="N35" s="650">
        <f>'55 REV-'!T36+'50 REV'!Q35</f>
        <v>0</v>
      </c>
      <c r="O35" s="650">
        <f>'55 REV-'!U36+'50 REV'!R35</f>
        <v>0</v>
      </c>
      <c r="P35" s="773">
        <f t="shared" si="17"/>
        <v>0</v>
      </c>
      <c r="Q35" s="713">
        <f t="shared" si="1"/>
        <v>0</v>
      </c>
      <c r="R35" s="736">
        <f>+'[1]Daily All PIT'!O35</f>
        <v>35</v>
      </c>
      <c r="S35" s="737">
        <f>+P35/1.27</f>
        <v>0</v>
      </c>
      <c r="T35" s="738">
        <f>J35+S35</f>
        <v>0</v>
      </c>
      <c r="U35" s="739" t="e">
        <f>+'PIT GAR 42'!R35+#REF!</f>
        <v>#REF!</v>
      </c>
      <c r="V35" s="739" t="e">
        <f>+'PIT GAR 42'!S35+#REF!</f>
        <v>#REF!</v>
      </c>
      <c r="W35" s="739" t="e">
        <f>U35+V35</f>
        <v>#REF!</v>
      </c>
      <c r="X35" s="679">
        <f>'55 REV-'!Z36+'50 REV'!W35</f>
        <v>0</v>
      </c>
      <c r="Y35" s="679">
        <f>'55 REV-'!AA36+'50 REV'!X35</f>
        <v>0</v>
      </c>
      <c r="Z35" s="762">
        <f t="shared" si="14"/>
        <v>0</v>
      </c>
      <c r="AA35" s="668">
        <f t="shared" si="3"/>
        <v>14.285714285714286</v>
      </c>
      <c r="AB35" s="668">
        <f t="shared" si="4"/>
        <v>0</v>
      </c>
      <c r="AC35" s="713">
        <f t="shared" si="28"/>
        <v>0</v>
      </c>
      <c r="AD35" s="714" t="e">
        <f t="shared" si="27"/>
        <v>#DIV/0!</v>
      </c>
      <c r="AE35" s="714" t="e">
        <f t="shared" si="15"/>
        <v>#DIV/0!</v>
      </c>
      <c r="AF35" s="741" t="e">
        <f t="shared" si="6"/>
        <v>#DIV/0!</v>
      </c>
      <c r="AG35" s="740"/>
      <c r="AH35" s="740"/>
      <c r="AI35" s="782"/>
      <c r="AJ35" s="707">
        <f t="shared" si="16"/>
        <v>0</v>
      </c>
      <c r="AK35" s="669">
        <f t="shared" si="21"/>
        <v>0</v>
      </c>
      <c r="AL35" s="669">
        <f>+AN35+D35</f>
        <v>0</v>
      </c>
      <c r="AM35" s="669">
        <f>+AO35+G35</f>
        <v>0</v>
      </c>
      <c r="AN35" s="670">
        <f t="shared" si="29"/>
        <v>0</v>
      </c>
      <c r="AO35" s="670">
        <f t="shared" si="29"/>
        <v>0</v>
      </c>
      <c r="AP35" s="670">
        <f t="shared" si="22"/>
        <v>0</v>
      </c>
      <c r="AQ35" s="671">
        <f>+AP35-S35</f>
        <v>0</v>
      </c>
      <c r="AR35" s="672">
        <f>+AP35+J35</f>
        <v>0</v>
      </c>
      <c r="AT35" s="651">
        <v>21.08</v>
      </c>
    </row>
    <row r="36" spans="2:46" s="670" customFormat="1" ht="33.75" customHeight="1" x14ac:dyDescent="0.55000000000000004">
      <c r="B36" s="743">
        <v>45411</v>
      </c>
      <c r="C36" s="725">
        <f>'55 REV-'!D37+'50 REV'!D36</f>
        <v>90000</v>
      </c>
      <c r="D36" s="718">
        <f>'55 REV-'!M37+'50 REV'!L36</f>
        <v>0</v>
      </c>
      <c r="E36" s="724">
        <f>'55 REV-'!H37+'50 REV'!G36</f>
        <v>0</v>
      </c>
      <c r="F36" s="680" t="s">
        <v>118</v>
      </c>
      <c r="G36" s="718">
        <f>'55 REV-'!J37+'50 REV'!I36</f>
        <v>0</v>
      </c>
      <c r="H36" s="724">
        <f>'55 REV-'!K37+'50 REV'!J36</f>
        <v>0</v>
      </c>
      <c r="I36" s="680" t="s">
        <v>118</v>
      </c>
      <c r="J36" s="760">
        <f t="shared" si="23"/>
        <v>0</v>
      </c>
      <c r="K36" s="742"/>
      <c r="L36" s="678">
        <f t="shared" si="13"/>
        <v>0</v>
      </c>
      <c r="M36" s="650">
        <f>'55 REV-'!R37+'50 REV'!O36</f>
        <v>6300</v>
      </c>
      <c r="N36" s="650">
        <f>'55 REV-'!T37+'50 REV'!Q36</f>
        <v>0</v>
      </c>
      <c r="O36" s="650">
        <f>'55 REV-'!U37+'50 REV'!R36</f>
        <v>0</v>
      </c>
      <c r="P36" s="773">
        <f t="shared" si="17"/>
        <v>0</v>
      </c>
      <c r="Q36" s="742"/>
      <c r="R36" s="736"/>
      <c r="S36" s="737"/>
      <c r="T36" s="738"/>
      <c r="U36" s="739"/>
      <c r="V36" s="739"/>
      <c r="W36" s="739"/>
      <c r="X36" s="679">
        <f>'55 REV-'!Z37+'50 REV'!W36</f>
        <v>0</v>
      </c>
      <c r="Y36" s="679">
        <f>'55 REV-'!AA37+'50 REV'!X36</f>
        <v>0</v>
      </c>
      <c r="Z36" s="762">
        <f t="shared" si="14"/>
        <v>0</v>
      </c>
      <c r="AA36" s="668">
        <f t="shared" si="3"/>
        <v>14.285714285714286</v>
      </c>
      <c r="AB36" s="668">
        <f t="shared" si="4"/>
        <v>0</v>
      </c>
      <c r="AC36" s="713">
        <f t="shared" si="28"/>
        <v>0</v>
      </c>
      <c r="AD36" s="714" t="e">
        <f t="shared" si="27"/>
        <v>#DIV/0!</v>
      </c>
      <c r="AE36" s="714" t="e">
        <f t="shared" si="15"/>
        <v>#DIV/0!</v>
      </c>
      <c r="AF36" s="741" t="e">
        <f t="shared" si="6"/>
        <v>#DIV/0!</v>
      </c>
      <c r="AG36" s="740"/>
      <c r="AH36" s="740"/>
      <c r="AI36" s="782"/>
      <c r="AJ36" s="707">
        <f t="shared" si="16"/>
        <v>0</v>
      </c>
      <c r="AK36" s="669"/>
      <c r="AL36" s="669"/>
      <c r="AM36" s="669"/>
      <c r="AQ36" s="671"/>
      <c r="AR36" s="672"/>
      <c r="AT36" s="651"/>
    </row>
    <row r="37" spans="2:46" s="670" customFormat="1" ht="35.25" customHeight="1" x14ac:dyDescent="0.55000000000000004">
      <c r="B37" s="743">
        <v>45412</v>
      </c>
      <c r="C37" s="725">
        <f>'55 REV-'!D38+'50 REV'!D37</f>
        <v>90000</v>
      </c>
      <c r="D37" s="718">
        <f>'55 REV-'!M38+'50 REV'!L37</f>
        <v>0</v>
      </c>
      <c r="E37" s="724">
        <f>'55 REV-'!H38+'50 REV'!G37</f>
        <v>0</v>
      </c>
      <c r="F37" s="680" t="s">
        <v>118</v>
      </c>
      <c r="G37" s="718">
        <f>'55 REV-'!J38+'50 REV'!I37</f>
        <v>0</v>
      </c>
      <c r="H37" s="724">
        <f>'55 REV-'!K38+'50 REV'!J37</f>
        <v>0</v>
      </c>
      <c r="I37" s="680" t="s">
        <v>118</v>
      </c>
      <c r="J37" s="760">
        <f>+G37+D37</f>
        <v>0</v>
      </c>
      <c r="K37" s="742"/>
      <c r="L37" s="678">
        <f>IFERROR(J37/C37,"")</f>
        <v>0</v>
      </c>
      <c r="M37" s="650">
        <f>'55 REV-'!R38+'50 REV'!O37</f>
        <v>6300</v>
      </c>
      <c r="N37" s="650">
        <f>'55 REV-'!T38+'50 REV'!Q37</f>
        <v>0</v>
      </c>
      <c r="O37" s="650">
        <f>'55 REV-'!U38+'50 REV'!R37</f>
        <v>0</v>
      </c>
      <c r="P37" s="773">
        <f>+O37+N37</f>
        <v>0</v>
      </c>
      <c r="Q37" s="742"/>
      <c r="R37" s="736"/>
      <c r="S37" s="737"/>
      <c r="T37" s="738"/>
      <c r="U37" s="739"/>
      <c r="V37" s="739"/>
      <c r="W37" s="739"/>
      <c r="X37" s="679">
        <f>'55 REV-'!Z38+'50 REV'!W37</f>
        <v>0</v>
      </c>
      <c r="Y37" s="679">
        <f>'55 REV-'!AA38+'50 REV'!X37</f>
        <v>0</v>
      </c>
      <c r="Z37" s="762">
        <f>+X37+Y37</f>
        <v>0</v>
      </c>
      <c r="AA37" s="668">
        <f>+IFERROR(C37/M37,0)</f>
        <v>14.285714285714286</v>
      </c>
      <c r="AB37" s="668">
        <f>+IFERROR(J37/P37,0)</f>
        <v>0</v>
      </c>
      <c r="AC37" s="713">
        <f>IFERROR(+AB37/AA37,"")</f>
        <v>0</v>
      </c>
      <c r="AD37" s="714" t="e">
        <f>+X37/(D37+(N37/1.27))</f>
        <v>#DIV/0!</v>
      </c>
      <c r="AE37" s="714" t="e">
        <f>+Y37/(G37+(O37/1.27))</f>
        <v>#DIV/0!</v>
      </c>
      <c r="AF37" s="741" t="e">
        <f>+Z37/(J37+(P37/1.27))</f>
        <v>#DIV/0!</v>
      </c>
      <c r="AG37" s="740"/>
      <c r="AH37" s="740"/>
      <c r="AI37" s="782"/>
      <c r="AJ37" s="213"/>
      <c r="AK37" s="669"/>
      <c r="AL37" s="669"/>
      <c r="AM37" s="669"/>
      <c r="AQ37" s="671"/>
      <c r="AR37" s="672"/>
      <c r="AT37" s="651"/>
    </row>
    <row r="38" spans="2:46" s="670" customFormat="1" ht="35.25" customHeight="1" thickBot="1" x14ac:dyDescent="0.6">
      <c r="B38" s="743">
        <v>45413</v>
      </c>
      <c r="C38" s="730"/>
      <c r="D38" s="718"/>
      <c r="E38" s="724"/>
      <c r="F38" s="680" t="s">
        <v>118</v>
      </c>
      <c r="G38" s="718"/>
      <c r="H38" s="724"/>
      <c r="I38" s="680" t="s">
        <v>118</v>
      </c>
      <c r="J38" s="760"/>
      <c r="K38" s="742"/>
      <c r="L38" s="678" t="str">
        <f>IFERROR(J38/C38,"")</f>
        <v/>
      </c>
      <c r="M38" s="650"/>
      <c r="N38" s="650"/>
      <c r="O38" s="650"/>
      <c r="P38" s="773"/>
      <c r="Q38" s="742"/>
      <c r="R38" s="736"/>
      <c r="S38" s="737"/>
      <c r="T38" s="738"/>
      <c r="U38" s="739"/>
      <c r="V38" s="739"/>
      <c r="W38" s="739"/>
      <c r="X38" s="679"/>
      <c r="Y38" s="679"/>
      <c r="Z38" s="762"/>
      <c r="AA38" s="668"/>
      <c r="AB38" s="668"/>
      <c r="AC38" s="713"/>
      <c r="AD38" s="714"/>
      <c r="AE38" s="714"/>
      <c r="AF38" s="741"/>
      <c r="AG38" s="740"/>
      <c r="AH38" s="740"/>
      <c r="AI38" s="782"/>
      <c r="AJ38" s="213"/>
      <c r="AK38" s="669"/>
      <c r="AL38" s="669"/>
      <c r="AM38" s="669"/>
      <c r="AQ38" s="671"/>
      <c r="AR38" s="672"/>
      <c r="AT38" s="651"/>
    </row>
    <row r="39" spans="2:46" s="366" customFormat="1" ht="36.75" customHeight="1" thickBot="1" x14ac:dyDescent="0.6">
      <c r="B39" s="744" t="s">
        <v>15</v>
      </c>
      <c r="C39" s="746">
        <f>SUM(C8:C37)</f>
        <v>2520000</v>
      </c>
      <c r="D39" s="746">
        <f>SUM(D8:D37)</f>
        <v>733480</v>
      </c>
      <c r="E39" s="746"/>
      <c r="F39" s="746" t="s">
        <v>112</v>
      </c>
      <c r="G39" s="746">
        <f>SUM(G8:G37)</f>
        <v>380146</v>
      </c>
      <c r="H39" s="745"/>
      <c r="I39" s="747" t="s">
        <v>112</v>
      </c>
      <c r="J39" s="781">
        <f>G39+D39</f>
        <v>1113626</v>
      </c>
      <c r="K39" s="352">
        <f>IFERROR(+J39/C39,"")</f>
        <v>0.44191507936507934</v>
      </c>
      <c r="L39" s="352">
        <f>IFERROR(J39/C39,"")</f>
        <v>0.44191507936507934</v>
      </c>
      <c r="M39" s="746">
        <f>SUM(M8:M37)</f>
        <v>178900</v>
      </c>
      <c r="N39" s="746">
        <f>SUM(N8:N37)</f>
        <v>26623.770000000004</v>
      </c>
      <c r="O39" s="746">
        <f>SUM(O8:O37)</f>
        <v>26621.340000000004</v>
      </c>
      <c r="P39" s="748">
        <f>O39+N39</f>
        <v>53245.110000000008</v>
      </c>
      <c r="Q39" s="352">
        <f>IFERROR(+P39/M39,"")</f>
        <v>0.29762498602571275</v>
      </c>
      <c r="R39" s="749">
        <f>SUM(R8:R36)</f>
        <v>1810</v>
      </c>
      <c r="S39" s="750">
        <f>+P39/1.27</f>
        <v>41925.283464566935</v>
      </c>
      <c r="T39" s="750">
        <f>J39+S39</f>
        <v>1155551.283464567</v>
      </c>
      <c r="U39" s="751" t="e">
        <f>SUM(U8:U36)</f>
        <v>#REF!</v>
      </c>
      <c r="V39" s="751" t="e">
        <f>SUM(V8:V36)</f>
        <v>#REF!</v>
      </c>
      <c r="W39" s="751" t="e">
        <f>SUM(W8:W36)</f>
        <v>#REF!</v>
      </c>
      <c r="X39" s="746">
        <f>SUM(X8:X37)</f>
        <v>360704</v>
      </c>
      <c r="Y39" s="746">
        <f>SUM(Y8:Y37)</f>
        <v>391974.5</v>
      </c>
      <c r="Z39" s="752">
        <f t="shared" si="14"/>
        <v>752678.5</v>
      </c>
      <c r="AA39" s="358">
        <f>+IFERROR(C39/M39,0)</f>
        <v>14.086081609837898</v>
      </c>
      <c r="AB39" s="358">
        <f>+IFERROR(J39/P39,"")</f>
        <v>20.915084972122319</v>
      </c>
      <c r="AC39" s="753">
        <f t="shared" si="28"/>
        <v>1.4848050402828108</v>
      </c>
      <c r="AD39" s="358">
        <f>+X39/(D39+(N39/1.27))</f>
        <v>0.47810598532868837</v>
      </c>
      <c r="AE39" s="358">
        <f>+Y39/(G39+(O39/1.27))</f>
        <v>0.97723009211734835</v>
      </c>
      <c r="AF39" s="358">
        <f>+Z39/(J39+(P39/1.27))</f>
        <v>0.65135880230544485</v>
      </c>
      <c r="AG39" s="754">
        <f t="shared" ref="AG39:AM39" si="30">SUM(AG8:AG36)</f>
        <v>0</v>
      </c>
      <c r="AH39" s="754">
        <f t="shared" si="30"/>
        <v>0</v>
      </c>
      <c r="AI39" s="755">
        <f>SUM(AI8:AI38)</f>
        <v>0</v>
      </c>
      <c r="AJ39" s="712">
        <f t="shared" si="30"/>
        <v>752678.5</v>
      </c>
      <c r="AK39" s="325">
        <f t="shared" si="30"/>
        <v>1155551.2834645668</v>
      </c>
      <c r="AL39" s="325">
        <f t="shared" si="30"/>
        <v>754443.59842519695</v>
      </c>
      <c r="AM39" s="325">
        <f t="shared" si="30"/>
        <v>401107.68503937003</v>
      </c>
      <c r="AN39" s="366">
        <f>+N39/1.27</f>
        <v>20963.598425196855</v>
      </c>
      <c r="AO39" s="366">
        <f>+O39/1.27</f>
        <v>20961.685039370081</v>
      </c>
      <c r="AP39" s="366">
        <f>+AO39+AN39</f>
        <v>41925.283464566935</v>
      </c>
      <c r="AQ39" s="416">
        <f>+AP39-S39</f>
        <v>0</v>
      </c>
      <c r="AR39" s="417">
        <f>+AP39+J39</f>
        <v>1155551.283464567</v>
      </c>
      <c r="AT39" s="366">
        <v>19.71</v>
      </c>
    </row>
    <row r="40" spans="2:46" ht="17.25" customHeight="1" thickBot="1" x14ac:dyDescent="0.6">
      <c r="B40" s="418"/>
      <c r="C40" s="419"/>
      <c r="D40" s="418"/>
      <c r="E40" s="493"/>
      <c r="F40" s="418"/>
      <c r="G40" s="314"/>
      <c r="H40" s="420"/>
      <c r="I40" s="314"/>
      <c r="J40" s="419"/>
      <c r="K40" s="418"/>
      <c r="L40" s="418"/>
      <c r="M40" s="419"/>
      <c r="N40" s="314"/>
      <c r="O40" s="314"/>
      <c r="P40" s="314"/>
      <c r="Q40" s="418"/>
      <c r="R40" s="418"/>
      <c r="S40" s="418"/>
      <c r="T40" s="419"/>
      <c r="U40" s="418"/>
      <c r="V40" s="418"/>
      <c r="W40" s="420"/>
      <c r="X40" s="420"/>
      <c r="Y40" s="420"/>
      <c r="Z40" s="421"/>
      <c r="AA40" s="418"/>
      <c r="AB40" s="418"/>
      <c r="AC40" s="418"/>
      <c r="AD40" s="418"/>
      <c r="AE40" s="418"/>
      <c r="AF40" s="314"/>
      <c r="AG40" s="418"/>
      <c r="AH40" s="418"/>
      <c r="AI40" s="699"/>
      <c r="AT40" s="408">
        <v>20.07</v>
      </c>
    </row>
    <row r="41" spans="2:46" ht="20.25" customHeight="1" x14ac:dyDescent="0.55000000000000004">
      <c r="B41" s="418"/>
      <c r="C41" s="756" t="s">
        <v>27</v>
      </c>
      <c r="D41" s="1390">
        <f>J39</f>
        <v>1113626</v>
      </c>
      <c r="E41" s="1391"/>
      <c r="F41" s="442"/>
      <c r="G41" s="1396" t="s">
        <v>24</v>
      </c>
      <c r="H41" s="1397"/>
      <c r="I41" s="1397"/>
      <c r="J41" s="1398"/>
      <c r="K41" s="381">
        <f>+D39</f>
        <v>733480</v>
      </c>
      <c r="L41" s="381"/>
      <c r="M41" s="681">
        <f>+D39</f>
        <v>733480</v>
      </c>
      <c r="N41" s="682"/>
      <c r="O41" s="455" t="s">
        <v>31</v>
      </c>
      <c r="P41" s="456" t="s">
        <v>32</v>
      </c>
      <c r="Q41" s="420"/>
      <c r="R41" s="418"/>
      <c r="S41" s="418"/>
      <c r="T41" s="419"/>
      <c r="U41" s="418"/>
      <c r="V41" s="314"/>
      <c r="W41" s="418"/>
      <c r="X41" s="418"/>
      <c r="Y41" s="418"/>
      <c r="Z41" s="457" t="s">
        <v>103</v>
      </c>
      <c r="AA41" s="419"/>
      <c r="AB41" s="418"/>
      <c r="AC41" s="418"/>
      <c r="AD41" s="421"/>
      <c r="AE41" s="421"/>
      <c r="AF41" s="418"/>
      <c r="AG41" s="418"/>
      <c r="AH41" s="418"/>
      <c r="AI41" s="701"/>
      <c r="AJ41" s="404"/>
      <c r="AT41" s="408">
        <v>20.170000000000002</v>
      </c>
    </row>
    <row r="42" spans="2:46" ht="20.25" customHeight="1" x14ac:dyDescent="0.55000000000000004">
      <c r="B42" s="418"/>
      <c r="C42" s="757" t="s">
        <v>28</v>
      </c>
      <c r="D42" s="1392">
        <f>P39</f>
        <v>53245.110000000008</v>
      </c>
      <c r="E42" s="1393"/>
      <c r="F42" s="443"/>
      <c r="G42" s="1399" t="s">
        <v>25</v>
      </c>
      <c r="H42" s="1400"/>
      <c r="I42" s="1400"/>
      <c r="J42" s="1401"/>
      <c r="K42" s="386">
        <f>+G39</f>
        <v>380146</v>
      </c>
      <c r="L42" s="386"/>
      <c r="M42" s="683">
        <f>+G39</f>
        <v>380146</v>
      </c>
      <c r="N42" s="684"/>
      <c r="O42" s="388" t="s">
        <v>48</v>
      </c>
      <c r="P42" s="691">
        <f>SUM(C8:C37)</f>
        <v>2520000</v>
      </c>
      <c r="Q42" s="390">
        <f>IFERROR(+D41/P42,0)</f>
        <v>0.44191507936507934</v>
      </c>
      <c r="R42" s="422"/>
      <c r="S42" s="422"/>
      <c r="T42" s="423"/>
      <c r="U42" s="391"/>
      <c r="V42" s="391"/>
      <c r="W42" s="391"/>
      <c r="X42" s="391"/>
      <c r="Y42" s="391"/>
      <c r="Z42" s="392" t="s">
        <v>104</v>
      </c>
      <c r="AA42" s="1409" t="s">
        <v>14</v>
      </c>
      <c r="AB42" s="1410"/>
      <c r="AC42" s="1409" t="s">
        <v>17</v>
      </c>
      <c r="AD42" s="1411"/>
      <c r="AE42" s="1411"/>
      <c r="AF42" s="1410"/>
      <c r="AG42" s="393" t="s">
        <v>105</v>
      </c>
      <c r="AH42" s="393" t="s">
        <v>106</v>
      </c>
      <c r="AI42" s="701"/>
      <c r="AJ42" s="404"/>
      <c r="AK42" s="424" t="s">
        <v>109</v>
      </c>
      <c r="AL42" s="425" t="s">
        <v>110</v>
      </c>
      <c r="AT42" s="408">
        <v>19.059999999999999</v>
      </c>
    </row>
    <row r="43" spans="2:46" ht="20.25" customHeight="1" x14ac:dyDescent="0.55000000000000004">
      <c r="B43" s="418"/>
      <c r="C43" s="757" t="s">
        <v>46</v>
      </c>
      <c r="D43" s="1392" t="e">
        <f>+AF28</f>
        <v>#DIV/0!</v>
      </c>
      <c r="E43" s="1393"/>
      <c r="F43" s="443"/>
      <c r="G43" s="1399" t="s">
        <v>26</v>
      </c>
      <c r="H43" s="1400"/>
      <c r="I43" s="1400"/>
      <c r="J43" s="1401"/>
      <c r="K43" s="386">
        <f>+N39</f>
        <v>26623.770000000004</v>
      </c>
      <c r="L43" s="386"/>
      <c r="M43" s="685">
        <f>+N39</f>
        <v>26623.770000000004</v>
      </c>
      <c r="N43" s="686"/>
      <c r="O43" s="394" t="s">
        <v>49</v>
      </c>
      <c r="P43" s="691">
        <f>SUM(M8:M37)</f>
        <v>178900</v>
      </c>
      <c r="Q43" s="390">
        <f>IFERROR(+D42/P43,0)</f>
        <v>0.29762498602571275</v>
      </c>
      <c r="R43" s="422"/>
      <c r="S43" s="422"/>
      <c r="T43" s="423"/>
      <c r="U43" s="427"/>
      <c r="V43" s="428"/>
      <c r="W43" s="429"/>
      <c r="X43" s="429"/>
      <c r="Y43" s="429"/>
      <c r="Z43" s="393" t="s">
        <v>107</v>
      </c>
      <c r="AA43" s="1402">
        <f>C39</f>
        <v>2520000</v>
      </c>
      <c r="AB43" s="1403"/>
      <c r="AC43" s="1384">
        <f>+D41</f>
        <v>1113626</v>
      </c>
      <c r="AD43" s="1385"/>
      <c r="AE43" s="1385"/>
      <c r="AF43" s="1386"/>
      <c r="AG43" s="395">
        <f>+IFERROR(AC43/AA43,0)</f>
        <v>0.44191507936507934</v>
      </c>
      <c r="AH43" s="393">
        <f>+IFERROR(AC43-AA43,0)</f>
        <v>-1406374</v>
      </c>
      <c r="AI43" s="701"/>
      <c r="AJ43" s="404"/>
      <c r="AK43" s="430">
        <v>27.5</v>
      </c>
      <c r="AL43" s="396">
        <f>AK43-11</f>
        <v>16.5</v>
      </c>
      <c r="AT43" s="408">
        <v>19.28</v>
      </c>
    </row>
    <row r="44" spans="2:46" ht="20.25" customHeight="1" x14ac:dyDescent="0.55000000000000004">
      <c r="B44" s="418"/>
      <c r="C44" s="757" t="s">
        <v>47</v>
      </c>
      <c r="D44" s="1392">
        <f>AF39</f>
        <v>0.65135880230544485</v>
      </c>
      <c r="E44" s="1393"/>
      <c r="F44" s="443"/>
      <c r="G44" s="1399" t="s">
        <v>23</v>
      </c>
      <c r="H44" s="1400"/>
      <c r="I44" s="1400"/>
      <c r="J44" s="1401"/>
      <c r="K44" s="386">
        <f>+O39</f>
        <v>26621.340000000004</v>
      </c>
      <c r="L44" s="386"/>
      <c r="M44" s="685">
        <f>+O39</f>
        <v>26621.340000000004</v>
      </c>
      <c r="N44" s="686"/>
      <c r="O44" s="394" t="s">
        <v>5</v>
      </c>
      <c r="P44" s="691">
        <f>+AA39</f>
        <v>14.086081609837898</v>
      </c>
      <c r="Q44" s="390">
        <f>IFERROR(+D46/P44,0)</f>
        <v>1.4848050402828108</v>
      </c>
      <c r="R44" s="422"/>
      <c r="S44" s="422"/>
      <c r="T44" s="423"/>
      <c r="U44" s="427"/>
      <c r="V44" s="428"/>
      <c r="W44" s="429"/>
      <c r="X44" s="429"/>
      <c r="Y44" s="429"/>
      <c r="Z44" s="393" t="s">
        <v>108</v>
      </c>
      <c r="AA44" s="1402">
        <f>M39</f>
        <v>178900</v>
      </c>
      <c r="AB44" s="1403"/>
      <c r="AC44" s="1384">
        <f>+D42</f>
        <v>53245.110000000008</v>
      </c>
      <c r="AD44" s="1385"/>
      <c r="AE44" s="1385"/>
      <c r="AF44" s="1386"/>
      <c r="AG44" s="395">
        <f>+IFERROR(AC44/AA44,0)</f>
        <v>0.29762498602571275</v>
      </c>
      <c r="AH44" s="393">
        <f>+IFERROR(AC44-AA44,0)</f>
        <v>-125654.88999999998</v>
      </c>
      <c r="AI44" s="701"/>
      <c r="AJ44" s="404"/>
      <c r="AK44" s="431" t="s">
        <v>111</v>
      </c>
      <c r="AL44" s="411"/>
      <c r="AT44" s="408">
        <v>20.190000000000001</v>
      </c>
    </row>
    <row r="45" spans="2:46" ht="20.25" customHeight="1" x14ac:dyDescent="0.55000000000000004">
      <c r="B45" s="418"/>
      <c r="C45" s="757" t="s">
        <v>30</v>
      </c>
      <c r="D45" s="1394">
        <f>AB12</f>
        <v>22.230553525862959</v>
      </c>
      <c r="E45" s="1395"/>
      <c r="F45" s="444"/>
      <c r="G45" s="397"/>
      <c r="H45" s="489"/>
      <c r="I45" s="398"/>
      <c r="J45" s="399"/>
      <c r="K45" s="432"/>
      <c r="L45" s="432"/>
      <c r="M45" s="687"/>
      <c r="N45" s="688"/>
      <c r="O45" s="394" t="s">
        <v>6</v>
      </c>
      <c r="P45" s="703">
        <v>1.1000000000000001</v>
      </c>
      <c r="Q45" s="390">
        <f>IFERROR(+D44/P45,0)</f>
        <v>0.59214436573222251</v>
      </c>
      <c r="R45" s="422"/>
      <c r="S45" s="422"/>
      <c r="T45" s="423"/>
      <c r="U45" s="434"/>
      <c r="V45" s="428"/>
      <c r="W45" s="422"/>
      <c r="X45" s="422"/>
      <c r="Y45" s="422"/>
      <c r="Z45" s="393" t="s">
        <v>5</v>
      </c>
      <c r="AA45" s="1402">
        <f>+IFERROR(AA43/AA44,0)</f>
        <v>14.086081609837898</v>
      </c>
      <c r="AB45" s="1403"/>
      <c r="AC45" s="1387">
        <f>+IFERROR(AC43/AC44,0)</f>
        <v>20.915084972122319</v>
      </c>
      <c r="AD45" s="1388"/>
      <c r="AE45" s="1388"/>
      <c r="AF45" s="1389"/>
      <c r="AG45" s="395">
        <f>+IFERROR(AC45/AA45,0)</f>
        <v>1.4848050402828108</v>
      </c>
      <c r="AH45" s="393">
        <f>+IFERROR(AC45-AA45,0)</f>
        <v>6.8290033622844213</v>
      </c>
      <c r="AI45" s="701"/>
      <c r="AJ45" s="404"/>
      <c r="AK45" s="430" t="s">
        <v>107</v>
      </c>
      <c r="AL45" s="435">
        <f>IFERROR((C39-AC43)/AL43,"")</f>
        <v>85234.787878787873</v>
      </c>
      <c r="AT45" s="408">
        <v>20.61</v>
      </c>
    </row>
    <row r="46" spans="2:46" ht="20.25" customHeight="1" thickBot="1" x14ac:dyDescent="0.6">
      <c r="C46" s="758" t="s">
        <v>29</v>
      </c>
      <c r="D46" s="1423">
        <f>AB39</f>
        <v>20.915084972122319</v>
      </c>
      <c r="E46" s="1424"/>
      <c r="F46" s="445"/>
      <c r="G46" s="401"/>
      <c r="H46" s="490"/>
      <c r="I46" s="402"/>
      <c r="J46" s="403"/>
      <c r="K46" s="436"/>
      <c r="L46" s="436"/>
      <c r="M46" s="689"/>
      <c r="N46" s="690"/>
      <c r="V46" s="410"/>
      <c r="W46" s="404"/>
      <c r="X46" s="404"/>
      <c r="Y46" s="404"/>
      <c r="AC46" s="218"/>
      <c r="AD46" s="218"/>
      <c r="AE46" s="218"/>
      <c r="AF46" s="404"/>
      <c r="AH46" s="195" t="s">
        <v>114</v>
      </c>
      <c r="AI46" s="700"/>
      <c r="AJ46" s="404"/>
      <c r="AK46" s="430" t="s">
        <v>108</v>
      </c>
      <c r="AL46" s="435">
        <f>IFERROR((M39-AC44)/AL43,"")</f>
        <v>7615.4478787878779</v>
      </c>
      <c r="AT46" s="408">
        <v>18.77</v>
      </c>
    </row>
    <row r="47" spans="2:46" ht="20.25" customHeight="1" x14ac:dyDescent="0.55000000000000004">
      <c r="C47" s="764"/>
      <c r="D47" s="765"/>
      <c r="E47" s="765"/>
      <c r="F47" s="429"/>
      <c r="G47" s="766"/>
      <c r="H47" s="767"/>
      <c r="I47" s="766"/>
      <c r="J47" s="768"/>
      <c r="K47" s="769"/>
      <c r="L47" s="769"/>
      <c r="M47" s="770"/>
      <c r="N47" s="771"/>
      <c r="V47" s="410"/>
      <c r="W47" s="404"/>
      <c r="X47" s="404"/>
      <c r="Y47" s="404"/>
      <c r="AC47" s="218"/>
      <c r="AD47" s="218"/>
      <c r="AE47" s="218"/>
      <c r="AF47" s="404"/>
      <c r="AH47" s="195"/>
      <c r="AI47" s="700"/>
      <c r="AJ47" s="404"/>
      <c r="AK47" s="411"/>
      <c r="AL47" s="772"/>
    </row>
    <row r="48" spans="2:46" x14ac:dyDescent="0.55000000000000004">
      <c r="F48" s="438"/>
      <c r="K48" s="218"/>
      <c r="L48" s="218"/>
      <c r="N48" s="404"/>
    </row>
    <row r="49" spans="2:46" s="195" customFormat="1" ht="20.100000000000001" x14ac:dyDescent="0.65">
      <c r="C49" s="666" t="s">
        <v>194</v>
      </c>
      <c r="D49" s="404"/>
      <c r="E49" s="492"/>
      <c r="F49" s="702"/>
      <c r="G49" s="776" t="s">
        <v>192</v>
      </c>
      <c r="H49" s="776"/>
      <c r="I49" s="218"/>
      <c r="J49" s="675"/>
      <c r="K49" s="676"/>
      <c r="L49" s="676"/>
      <c r="M49" s="1422" t="s">
        <v>187</v>
      </c>
      <c r="N49" s="1422"/>
      <c r="O49" s="1422"/>
      <c r="P49" s="494"/>
      <c r="Q49" s="494"/>
      <c r="R49" s="494"/>
      <c r="S49" s="494"/>
      <c r="T49" s="494"/>
      <c r="U49" s="494"/>
      <c r="V49" s="494"/>
      <c r="W49" s="494"/>
      <c r="X49" s="494"/>
      <c r="Y49" s="494"/>
      <c r="Z49" s="404"/>
      <c r="AA49" s="404"/>
      <c r="AB49" s="404"/>
      <c r="AC49" s="404"/>
      <c r="AD49" s="404"/>
      <c r="AE49" s="404"/>
      <c r="AF49" s="218"/>
      <c r="AG49" s="404"/>
      <c r="AH49" s="404"/>
      <c r="AI49" s="698"/>
      <c r="AT49" s="439"/>
    </row>
    <row r="50" spans="2:46" s="195" customFormat="1" ht="20.100000000000001" x14ac:dyDescent="0.65">
      <c r="C50" s="666"/>
      <c r="D50" s="404"/>
      <c r="E50" s="492"/>
      <c r="F50" s="702"/>
      <c r="G50" s="775"/>
      <c r="H50" s="775"/>
      <c r="I50" s="218"/>
      <c r="J50" s="675"/>
      <c r="K50" s="676"/>
      <c r="L50" s="676"/>
      <c r="M50" s="674"/>
      <c r="N50" s="708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Y50" s="494"/>
      <c r="Z50" s="404"/>
      <c r="AA50" s="404"/>
      <c r="AB50" s="404"/>
      <c r="AC50" s="404"/>
      <c r="AD50" s="404"/>
      <c r="AE50" s="404"/>
      <c r="AF50" s="218"/>
      <c r="AG50" s="404"/>
      <c r="AH50" s="404"/>
      <c r="AI50" s="698"/>
      <c r="AT50" s="439"/>
    </row>
    <row r="51" spans="2:46" s="195" customFormat="1" ht="20.100000000000001" x14ac:dyDescent="0.65">
      <c r="C51" s="666"/>
      <c r="D51" s="404"/>
      <c r="E51" s="492"/>
      <c r="F51" s="702"/>
      <c r="G51" s="775"/>
      <c r="H51" s="775"/>
      <c r="I51" s="218"/>
      <c r="J51" s="675"/>
      <c r="K51" s="676"/>
      <c r="L51" s="676"/>
      <c r="M51" s="674"/>
      <c r="N51" s="708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Y51" s="494"/>
      <c r="Z51" s="404"/>
      <c r="AA51" s="404"/>
      <c r="AB51" s="404"/>
      <c r="AC51" s="404"/>
      <c r="AD51" s="404"/>
      <c r="AE51" s="404"/>
      <c r="AF51" s="218"/>
      <c r="AG51" s="404"/>
      <c r="AH51" s="404"/>
      <c r="AI51" s="698"/>
      <c r="AT51" s="439"/>
    </row>
    <row r="52" spans="2:46" ht="20.100000000000001" x14ac:dyDescent="0.65">
      <c r="C52" s="759"/>
      <c r="D52" s="218"/>
      <c r="F52" s="702"/>
      <c r="G52" s="777"/>
      <c r="H52" s="777"/>
      <c r="J52" s="675"/>
      <c r="K52" s="676"/>
      <c r="L52" s="676"/>
      <c r="M52" s="674"/>
      <c r="N52" s="675"/>
    </row>
    <row r="53" spans="2:46" s="195" customFormat="1" ht="20.100000000000001" x14ac:dyDescent="0.65">
      <c r="C53" s="666"/>
      <c r="D53" s="218"/>
      <c r="E53" s="492"/>
      <c r="F53" s="702"/>
      <c r="G53" s="775"/>
      <c r="H53" s="775"/>
      <c r="I53" s="218"/>
      <c r="J53" s="675"/>
      <c r="K53" s="676"/>
      <c r="L53" s="676"/>
      <c r="M53" s="674"/>
      <c r="N53" s="709"/>
      <c r="O53" s="218"/>
      <c r="P53" s="218"/>
      <c r="Q53" s="404"/>
      <c r="R53" s="404"/>
      <c r="S53" s="404"/>
      <c r="U53" s="404"/>
      <c r="V53" s="404"/>
      <c r="W53" s="410"/>
      <c r="X53" s="410"/>
      <c r="Y53" s="410"/>
      <c r="Z53" s="404"/>
      <c r="AA53" s="404"/>
      <c r="AB53" s="404"/>
      <c r="AC53" s="404"/>
      <c r="AD53" s="404"/>
      <c r="AE53" s="404"/>
      <c r="AF53" s="218"/>
      <c r="AG53" s="404"/>
      <c r="AH53" s="404"/>
      <c r="AI53" s="698"/>
      <c r="AJ53" s="218"/>
      <c r="AT53" s="439"/>
    </row>
    <row r="54" spans="2:46" s="195" customFormat="1" ht="24.6" x14ac:dyDescent="1.4">
      <c r="B54" s="461"/>
      <c r="C54" s="667" t="s">
        <v>188</v>
      </c>
      <c r="D54" s="460"/>
      <c r="E54" s="492"/>
      <c r="F54" s="778"/>
      <c r="G54" s="779" t="s">
        <v>186</v>
      </c>
      <c r="H54" s="779"/>
      <c r="I54" s="459"/>
      <c r="J54" s="710"/>
      <c r="K54" s="780"/>
      <c r="L54" s="780"/>
      <c r="M54" s="667" t="s">
        <v>201</v>
      </c>
      <c r="N54" s="710"/>
      <c r="O54" s="667" t="s">
        <v>189</v>
      </c>
      <c r="P54" s="218"/>
      <c r="Q54" s="404"/>
      <c r="R54" s="404"/>
      <c r="S54" s="404"/>
      <c r="U54" s="404"/>
      <c r="V54" s="404"/>
      <c r="W54" s="410"/>
      <c r="X54" s="410"/>
      <c r="Y54" s="218"/>
      <c r="Z54" s="404"/>
      <c r="AA54" s="404"/>
      <c r="AB54" s="404"/>
      <c r="AC54" s="404"/>
      <c r="AD54" s="404"/>
      <c r="AE54" s="404"/>
      <c r="AF54" s="218"/>
      <c r="AG54" s="404"/>
      <c r="AH54" s="404"/>
      <c r="AI54" s="698"/>
      <c r="AJ54" s="218"/>
      <c r="AT54" s="439"/>
    </row>
    <row r="55" spans="2:46" s="195" customFormat="1" ht="20.100000000000001" x14ac:dyDescent="0.65">
      <c r="C55" s="666" t="s">
        <v>191</v>
      </c>
      <c r="D55" s="476"/>
      <c r="E55" s="492"/>
      <c r="F55" s="702"/>
      <c r="G55" s="775" t="s">
        <v>196</v>
      </c>
      <c r="H55" s="775"/>
      <c r="I55" s="404"/>
      <c r="J55" s="675"/>
      <c r="K55" s="676"/>
      <c r="L55" s="676"/>
      <c r="M55" s="763" t="s">
        <v>199</v>
      </c>
      <c r="N55" s="675"/>
      <c r="O55" s="763" t="s">
        <v>190</v>
      </c>
      <c r="P55" s="218"/>
      <c r="Q55" s="404"/>
      <c r="R55" s="441"/>
      <c r="S55" s="404"/>
      <c r="U55" s="404"/>
      <c r="V55" s="404"/>
      <c r="W55" s="410"/>
      <c r="X55" s="410"/>
      <c r="Y55" s="218"/>
      <c r="Z55" s="404"/>
      <c r="AA55" s="404"/>
      <c r="AB55" s="404"/>
      <c r="AC55" s="404"/>
      <c r="AD55" s="404"/>
      <c r="AE55" s="404"/>
      <c r="AF55" s="218"/>
      <c r="AG55" s="404"/>
      <c r="AH55" s="404"/>
      <c r="AI55" s="698"/>
      <c r="AT55" s="439"/>
    </row>
    <row r="56" spans="2:46" x14ac:dyDescent="0.55000000000000004">
      <c r="J56" s="711"/>
      <c r="K56" s="676"/>
      <c r="L56" s="676"/>
      <c r="M56" s="711"/>
      <c r="N56" s="675"/>
    </row>
    <row r="61" spans="2:46" x14ac:dyDescent="0.55000000000000004">
      <c r="AT61" s="408">
        <v>21.25</v>
      </c>
    </row>
    <row r="62" spans="2:46" x14ac:dyDescent="0.55000000000000004">
      <c r="AT62" s="408">
        <v>20.059999999999999</v>
      </c>
    </row>
    <row r="63" spans="2:46" x14ac:dyDescent="0.55000000000000004">
      <c r="AT63" s="408">
        <v>19.77</v>
      </c>
    </row>
    <row r="64" spans="2:46" x14ac:dyDescent="0.55000000000000004">
      <c r="AT64" s="408">
        <v>20.16</v>
      </c>
    </row>
    <row r="65" spans="3:46" x14ac:dyDescent="0.55000000000000004">
      <c r="AT65" s="408">
        <f>SUM(AT18:AT64)</f>
        <v>594.53</v>
      </c>
    </row>
    <row r="66" spans="3:46" x14ac:dyDescent="0.55000000000000004">
      <c r="AT66" s="408">
        <f>+AT65+22</f>
        <v>616.53</v>
      </c>
    </row>
    <row r="67" spans="3:46" x14ac:dyDescent="0.55000000000000004">
      <c r="C67" s="654"/>
      <c r="G67" s="404"/>
      <c r="I67" s="404"/>
      <c r="J67" s="404"/>
      <c r="M67" s="404"/>
      <c r="N67" s="404"/>
      <c r="O67" s="404"/>
      <c r="P67" s="404"/>
      <c r="T67" s="404"/>
      <c r="W67" s="404"/>
      <c r="X67" s="404"/>
      <c r="Y67" s="404"/>
      <c r="AF67" s="404"/>
      <c r="AI67" s="700"/>
      <c r="AJ67" s="404"/>
      <c r="AT67" s="408">
        <f>927.8-AT65</f>
        <v>333.27</v>
      </c>
    </row>
    <row r="68" spans="3:46" x14ac:dyDescent="0.55000000000000004">
      <c r="AD68" s="404">
        <f>50/700</f>
        <v>7.1428571428571425E-2</v>
      </c>
    </row>
    <row r="75" spans="3:46" x14ac:dyDescent="0.55000000000000004">
      <c r="H75" s="495"/>
      <c r="I75" s="428"/>
      <c r="J75" s="423"/>
    </row>
    <row r="76" spans="3:46" x14ac:dyDescent="0.55000000000000004">
      <c r="H76" s="495"/>
      <c r="I76" s="428"/>
      <c r="J76" s="423"/>
    </row>
    <row r="77" spans="3:46" x14ac:dyDescent="0.55000000000000004">
      <c r="H77" s="495"/>
      <c r="I77" s="428"/>
      <c r="J77" s="423"/>
    </row>
    <row r="78" spans="3:46" x14ac:dyDescent="0.55000000000000004">
      <c r="H78" s="495"/>
      <c r="I78" s="428"/>
      <c r="J78" s="423"/>
    </row>
    <row r="79" spans="3:46" x14ac:dyDescent="0.55000000000000004">
      <c r="H79" s="495"/>
      <c r="I79" s="428"/>
      <c r="J79" s="423"/>
    </row>
    <row r="80" spans="3:46" x14ac:dyDescent="0.55000000000000004">
      <c r="H80" s="495"/>
      <c r="I80" s="428"/>
      <c r="J80" s="423"/>
    </row>
    <row r="81" spans="8:10" x14ac:dyDescent="0.55000000000000004">
      <c r="H81" s="495"/>
      <c r="I81" s="428"/>
      <c r="J81" s="423"/>
    </row>
    <row r="82" spans="8:10" x14ac:dyDescent="0.55000000000000004">
      <c r="H82" s="495"/>
      <c r="I82" s="428"/>
      <c r="J82" s="423"/>
    </row>
    <row r="83" spans="8:10" x14ac:dyDescent="0.55000000000000004">
      <c r="H83" s="495"/>
      <c r="I83" s="428"/>
      <c r="J83" s="423"/>
    </row>
    <row r="84" spans="8:10" x14ac:dyDescent="0.55000000000000004">
      <c r="H84" s="495"/>
      <c r="I84" s="428"/>
      <c r="J84" s="423"/>
    </row>
    <row r="85" spans="8:10" x14ac:dyDescent="0.55000000000000004">
      <c r="H85" s="495"/>
      <c r="I85" s="428"/>
      <c r="J85" s="423"/>
    </row>
    <row r="86" spans="8:10" x14ac:dyDescent="0.55000000000000004">
      <c r="H86" s="495"/>
      <c r="I86" s="428"/>
      <c r="J86" s="423"/>
    </row>
    <row r="87" spans="8:10" x14ac:dyDescent="0.55000000000000004">
      <c r="H87" s="495"/>
      <c r="I87" s="428"/>
      <c r="J87" s="423"/>
    </row>
    <row r="88" spans="8:10" x14ac:dyDescent="0.55000000000000004">
      <c r="H88" s="495"/>
      <c r="I88" s="428"/>
      <c r="J88" s="423"/>
    </row>
  </sheetData>
  <mergeCells count="46">
    <mergeCell ref="M49:O49"/>
    <mergeCell ref="U5:W6"/>
    <mergeCell ref="Z5:Z7"/>
    <mergeCell ref="C6:C7"/>
    <mergeCell ref="D6:J6"/>
    <mergeCell ref="K6:K7"/>
    <mergeCell ref="M6:M7"/>
    <mergeCell ref="N6:P6"/>
    <mergeCell ref="Q6:Q7"/>
    <mergeCell ref="R6:S6"/>
    <mergeCell ref="X5:X7"/>
    <mergeCell ref="Y5:Y7"/>
    <mergeCell ref="E7:F7"/>
    <mergeCell ref="H7:I7"/>
    <mergeCell ref="D46:E46"/>
    <mergeCell ref="B5:B7"/>
    <mergeCell ref="C5:K5"/>
    <mergeCell ref="M5:S5"/>
    <mergeCell ref="T5:T7"/>
    <mergeCell ref="AL5:AL7"/>
    <mergeCell ref="AM5:AM7"/>
    <mergeCell ref="AD5:AD7"/>
    <mergeCell ref="AE5:AE7"/>
    <mergeCell ref="AA42:AB42"/>
    <mergeCell ref="AC42:AF42"/>
    <mergeCell ref="AK5:AK7"/>
    <mergeCell ref="AI5:AI7"/>
    <mergeCell ref="AA5:AC6"/>
    <mergeCell ref="AF5:AF7"/>
    <mergeCell ref="AG5:AG7"/>
    <mergeCell ref="AH5:AH7"/>
    <mergeCell ref="AC44:AF44"/>
    <mergeCell ref="AC45:AF45"/>
    <mergeCell ref="D41:E41"/>
    <mergeCell ref="D42:E42"/>
    <mergeCell ref="D43:E43"/>
    <mergeCell ref="D44:E44"/>
    <mergeCell ref="D45:E45"/>
    <mergeCell ref="G41:J41"/>
    <mergeCell ref="G42:J42"/>
    <mergeCell ref="G43:J43"/>
    <mergeCell ref="G44:J44"/>
    <mergeCell ref="AA43:AB43"/>
    <mergeCell ref="AA44:AB44"/>
    <mergeCell ref="AA45:AB45"/>
    <mergeCell ref="AC43:AF43"/>
  </mergeCells>
  <conditionalFormatting sqref="L8:L3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" right="0" top="0" bottom="0" header="0" footer="0"/>
  <pageSetup paperSize="8" scale="44" orientation="landscape" r:id="rId1"/>
  <ignoredErrors>
    <ignoredError sqref="Q3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S64"/>
  <sheetViews>
    <sheetView showGridLines="0" view="pageBreakPreview" topLeftCell="A4" zoomScale="85" zoomScaleNormal="70" zoomScaleSheetLayoutView="85" workbookViewId="0">
      <pane xSplit="2" ySplit="3" topLeftCell="C7" activePane="bottomRight" state="frozen"/>
      <selection activeCell="A4" sqref="A4"/>
      <selection pane="topRight" activeCell="C4" sqref="C4"/>
      <selection pane="bottomLeft" activeCell="A7" sqref="A7"/>
      <selection pane="bottomRight" activeCell="H13" sqref="H13"/>
    </sheetView>
  </sheetViews>
  <sheetFormatPr defaultColWidth="9.15625" defaultRowHeight="12.3" x14ac:dyDescent="0.55000000000000004"/>
  <cols>
    <col min="1" max="1" width="11.83984375" style="16" customWidth="1"/>
    <col min="2" max="2" width="13.83984375" style="16" bestFit="1" customWidth="1"/>
    <col min="3" max="3" width="13.26171875" style="16" customWidth="1"/>
    <col min="4" max="5" width="13.15625" style="17" customWidth="1"/>
    <col min="6" max="6" width="10.15625" style="16" customWidth="1"/>
    <col min="7" max="7" width="14.68359375" style="27" customWidth="1"/>
    <col min="8" max="8" width="13.578125" style="27" customWidth="1"/>
    <col min="9" max="9" width="11.578125" style="27" customWidth="1"/>
    <col min="10" max="10" width="8" style="16" customWidth="1"/>
    <col min="11" max="11" width="9.578125" style="16" customWidth="1"/>
    <col min="12" max="12" width="12.41796875" style="16" customWidth="1"/>
    <col min="13" max="13" width="8.68359375" style="27" customWidth="1"/>
    <col min="14" max="14" width="5.68359375" style="16" customWidth="1"/>
    <col min="15" max="15" width="11.41796875" style="16" customWidth="1"/>
    <col min="16" max="17" width="13" style="17" customWidth="1"/>
    <col min="18" max="18" width="9.83984375" style="16" customWidth="1"/>
    <col min="19" max="19" width="53.83984375" style="102" customWidth="1"/>
    <col min="20" max="16384" width="9.15625" style="16"/>
  </cols>
  <sheetData>
    <row r="1" spans="1:19" x14ac:dyDescent="0.55000000000000004">
      <c r="A1" s="15" t="s">
        <v>33</v>
      </c>
      <c r="S1" s="26" t="s">
        <v>58</v>
      </c>
    </row>
    <row r="2" spans="1:19" x14ac:dyDescent="0.55000000000000004">
      <c r="A2" s="15" t="s">
        <v>34</v>
      </c>
      <c r="J2" s="18"/>
      <c r="K2" s="17"/>
      <c r="O2" s="19"/>
      <c r="P2" s="20"/>
      <c r="Q2" s="20"/>
      <c r="R2" s="19"/>
      <c r="S2" s="21"/>
    </row>
    <row r="3" spans="1:19" x14ac:dyDescent="0.55000000000000004">
      <c r="A3" s="15"/>
      <c r="J3" s="18"/>
      <c r="K3" s="18"/>
      <c r="O3" s="19"/>
      <c r="P3" s="20"/>
      <c r="Q3" s="20"/>
      <c r="R3" s="19"/>
      <c r="S3" s="21"/>
    </row>
    <row r="4" spans="1:19" ht="18" customHeight="1" x14ac:dyDescent="0.55000000000000004">
      <c r="A4" s="61" t="s">
        <v>9</v>
      </c>
      <c r="B4" s="62"/>
      <c r="C4" s="63"/>
      <c r="D4" s="64"/>
      <c r="E4" s="65"/>
      <c r="F4" s="62"/>
      <c r="G4" s="66"/>
      <c r="H4" s="66"/>
      <c r="I4" s="66"/>
      <c r="J4" s="62"/>
      <c r="K4" s="63"/>
      <c r="L4" s="67"/>
      <c r="M4" s="68"/>
      <c r="N4" s="62"/>
      <c r="O4" s="67"/>
      <c r="P4" s="65"/>
      <c r="Q4" s="65"/>
      <c r="R4" s="67"/>
      <c r="S4" s="69"/>
    </row>
    <row r="5" spans="1:19" ht="17.25" customHeight="1" x14ac:dyDescent="0.55000000000000004">
      <c r="A5" s="1425" t="s">
        <v>1</v>
      </c>
      <c r="B5" s="1425" t="s">
        <v>35</v>
      </c>
      <c r="C5" s="1427" t="s">
        <v>36</v>
      </c>
      <c r="D5" s="1429" t="s">
        <v>37</v>
      </c>
      <c r="E5" s="1429" t="s">
        <v>38</v>
      </c>
      <c r="F5" s="1429" t="s">
        <v>39</v>
      </c>
      <c r="G5" s="1431" t="s">
        <v>40</v>
      </c>
      <c r="H5" s="1433" t="s">
        <v>60</v>
      </c>
      <c r="I5" s="1434"/>
      <c r="J5" s="1435" t="s">
        <v>41</v>
      </c>
      <c r="K5" s="1436"/>
      <c r="L5" s="1437"/>
      <c r="M5" s="1431" t="s">
        <v>61</v>
      </c>
      <c r="N5" s="1425" t="s">
        <v>42</v>
      </c>
      <c r="O5" s="70" t="s">
        <v>43</v>
      </c>
      <c r="P5" s="1429" t="s">
        <v>37</v>
      </c>
      <c r="Q5" s="1429" t="s">
        <v>38</v>
      </c>
      <c r="R5" s="1429" t="s">
        <v>39</v>
      </c>
      <c r="S5" s="1425" t="s">
        <v>44</v>
      </c>
    </row>
    <row r="6" spans="1:19" ht="23.25" customHeight="1" thickBot="1" x14ac:dyDescent="0.6">
      <c r="A6" s="1426"/>
      <c r="B6" s="1426"/>
      <c r="C6" s="1428"/>
      <c r="D6" s="1430"/>
      <c r="E6" s="1430"/>
      <c r="F6" s="1430"/>
      <c r="G6" s="1432"/>
      <c r="H6" s="71" t="s">
        <v>62</v>
      </c>
      <c r="I6" s="71" t="s">
        <v>63</v>
      </c>
      <c r="J6" s="72" t="s">
        <v>14</v>
      </c>
      <c r="K6" s="73" t="s">
        <v>17</v>
      </c>
      <c r="L6" s="74" t="s">
        <v>21</v>
      </c>
      <c r="M6" s="1432"/>
      <c r="N6" s="1426"/>
      <c r="O6" s="75" t="s">
        <v>45</v>
      </c>
      <c r="P6" s="1430"/>
      <c r="Q6" s="1430"/>
      <c r="R6" s="1430"/>
      <c r="S6" s="1426"/>
    </row>
    <row r="7" spans="1:19" ht="45" customHeight="1" x14ac:dyDescent="0.55000000000000004">
      <c r="A7" s="131">
        <v>42429</v>
      </c>
      <c r="B7" s="76" t="s">
        <v>50</v>
      </c>
      <c r="C7" s="77" t="s">
        <v>77</v>
      </c>
      <c r="D7" s="78">
        <v>17650</v>
      </c>
      <c r="E7" s="78">
        <v>17660</v>
      </c>
      <c r="F7" s="77">
        <f>E7-D7</f>
        <v>10</v>
      </c>
      <c r="G7" s="79">
        <f>(164*24)+(4*24)</f>
        <v>4032</v>
      </c>
      <c r="H7" s="129" t="s">
        <v>64</v>
      </c>
      <c r="I7" s="79" t="s">
        <v>69</v>
      </c>
      <c r="J7" s="126">
        <v>500</v>
      </c>
      <c r="K7" s="127">
        <f>G7/F7</f>
        <v>403.2</v>
      </c>
      <c r="L7" s="128">
        <f>K7/J7</f>
        <v>0.80640000000000001</v>
      </c>
      <c r="M7" s="129">
        <v>3.5</v>
      </c>
      <c r="N7" s="76">
        <v>7</v>
      </c>
      <c r="O7" s="76" t="s">
        <v>78</v>
      </c>
      <c r="P7" s="110">
        <v>13420</v>
      </c>
      <c r="Q7" s="110">
        <v>13429</v>
      </c>
      <c r="R7" s="130">
        <f>Q7-P7</f>
        <v>9</v>
      </c>
      <c r="S7" s="80" t="s">
        <v>79</v>
      </c>
    </row>
    <row r="8" spans="1:19" ht="27.75" customHeight="1" x14ac:dyDescent="0.55000000000000004">
      <c r="A8" s="1449">
        <v>42429</v>
      </c>
      <c r="B8" s="1442" t="s">
        <v>51</v>
      </c>
      <c r="C8" s="1438" t="s">
        <v>80</v>
      </c>
      <c r="D8" s="1451">
        <v>17907</v>
      </c>
      <c r="E8" s="1451">
        <v>17917</v>
      </c>
      <c r="F8" s="1438">
        <f>E8-D8</f>
        <v>10</v>
      </c>
      <c r="G8" s="1440">
        <f>195*24</f>
        <v>4680</v>
      </c>
      <c r="H8" s="1440" t="s">
        <v>64</v>
      </c>
      <c r="I8" s="1440" t="s">
        <v>69</v>
      </c>
      <c r="J8" s="1442">
        <v>500</v>
      </c>
      <c r="K8" s="1438">
        <f>G8/F8</f>
        <v>468</v>
      </c>
      <c r="L8" s="1444">
        <f>K8/J8</f>
        <v>0.93600000000000005</v>
      </c>
      <c r="M8" s="1440">
        <v>3.8</v>
      </c>
      <c r="N8" s="1442">
        <v>7</v>
      </c>
      <c r="O8" s="76" t="s">
        <v>74</v>
      </c>
      <c r="P8" s="110">
        <v>17159</v>
      </c>
      <c r="Q8" s="110">
        <v>17166</v>
      </c>
      <c r="R8" s="130">
        <f>Q8-P8</f>
        <v>7</v>
      </c>
      <c r="S8" s="1447" t="s">
        <v>81</v>
      </c>
    </row>
    <row r="9" spans="1:19" ht="27.75" customHeight="1" x14ac:dyDescent="0.55000000000000004">
      <c r="A9" s="1450"/>
      <c r="B9" s="1443"/>
      <c r="C9" s="1439"/>
      <c r="D9" s="1452"/>
      <c r="E9" s="1452"/>
      <c r="F9" s="1439"/>
      <c r="G9" s="1441"/>
      <c r="H9" s="1441"/>
      <c r="I9" s="1441"/>
      <c r="J9" s="1443"/>
      <c r="K9" s="1439"/>
      <c r="L9" s="1445"/>
      <c r="M9" s="1441"/>
      <c r="N9" s="1443"/>
      <c r="O9" s="76" t="s">
        <v>88</v>
      </c>
      <c r="P9" s="110">
        <v>18708</v>
      </c>
      <c r="Q9" s="110">
        <v>18710</v>
      </c>
      <c r="R9" s="130">
        <f>Q9-P9</f>
        <v>2</v>
      </c>
      <c r="S9" s="1448"/>
    </row>
    <row r="10" spans="1:19" ht="30" customHeight="1" x14ac:dyDescent="0.55000000000000004">
      <c r="A10" s="131">
        <v>42429</v>
      </c>
      <c r="B10" s="76" t="s">
        <v>52</v>
      </c>
      <c r="C10" s="77"/>
      <c r="D10" s="78"/>
      <c r="E10" s="78"/>
      <c r="F10" s="77"/>
      <c r="G10" s="79"/>
      <c r="H10" s="129"/>
      <c r="I10" s="129"/>
      <c r="J10" s="126"/>
      <c r="K10" s="127"/>
      <c r="L10" s="128"/>
      <c r="M10" s="129"/>
      <c r="N10" s="76"/>
      <c r="O10" s="76"/>
      <c r="P10" s="110"/>
      <c r="Q10" s="110"/>
      <c r="R10" s="130"/>
      <c r="S10" s="81" t="s">
        <v>75</v>
      </c>
    </row>
    <row r="11" spans="1:19" ht="81.75" customHeight="1" x14ac:dyDescent="0.55000000000000004">
      <c r="A11" s="131">
        <v>42429</v>
      </c>
      <c r="B11" s="76" t="s">
        <v>53</v>
      </c>
      <c r="C11" s="77" t="s">
        <v>82</v>
      </c>
      <c r="D11" s="78">
        <v>14125</v>
      </c>
      <c r="E11" s="78">
        <v>14131</v>
      </c>
      <c r="F11" s="77">
        <f>E11-D11</f>
        <v>6</v>
      </c>
      <c r="G11" s="79">
        <f>135*24</f>
        <v>3240</v>
      </c>
      <c r="H11" s="138" t="s">
        <v>65</v>
      </c>
      <c r="I11" s="138" t="s">
        <v>70</v>
      </c>
      <c r="J11" s="139">
        <v>500</v>
      </c>
      <c r="K11" s="140">
        <f>IFERROR(G11/F11,0)</f>
        <v>540</v>
      </c>
      <c r="L11" s="141">
        <f>K11/J11</f>
        <v>1.08</v>
      </c>
      <c r="M11" s="129">
        <v>0.9</v>
      </c>
      <c r="N11" s="76">
        <v>4</v>
      </c>
      <c r="O11" s="76" t="s">
        <v>83</v>
      </c>
      <c r="P11" s="110">
        <v>15408</v>
      </c>
      <c r="Q11" s="110">
        <v>15418</v>
      </c>
      <c r="R11" s="130">
        <f>Q11-P11</f>
        <v>10</v>
      </c>
      <c r="S11" s="80" t="s">
        <v>84</v>
      </c>
    </row>
    <row r="12" spans="1:19" ht="30" customHeight="1" x14ac:dyDescent="0.55000000000000004">
      <c r="A12" s="131">
        <v>42429</v>
      </c>
      <c r="B12" s="76" t="s">
        <v>54</v>
      </c>
      <c r="C12" s="77"/>
      <c r="D12" s="78"/>
      <c r="E12" s="78"/>
      <c r="F12" s="77"/>
      <c r="G12" s="79"/>
      <c r="H12" s="129"/>
      <c r="I12" s="129"/>
      <c r="J12" s="126"/>
      <c r="K12" s="127"/>
      <c r="L12" s="128"/>
      <c r="M12" s="129"/>
      <c r="N12" s="76"/>
      <c r="O12" s="76"/>
      <c r="P12" s="110"/>
      <c r="Q12" s="110"/>
      <c r="R12" s="130"/>
      <c r="S12" s="81" t="s">
        <v>66</v>
      </c>
    </row>
    <row r="13" spans="1:19" ht="80.25" customHeight="1" x14ac:dyDescent="0.55000000000000004">
      <c r="A13" s="131">
        <v>42429</v>
      </c>
      <c r="B13" s="76" t="s">
        <v>55</v>
      </c>
      <c r="C13" s="77" t="s">
        <v>85</v>
      </c>
      <c r="D13" s="78">
        <v>12623</v>
      </c>
      <c r="E13" s="78">
        <v>12632</v>
      </c>
      <c r="F13" s="77">
        <f>E13-D13</f>
        <v>9</v>
      </c>
      <c r="G13" s="79">
        <f>81*24</f>
        <v>1944</v>
      </c>
      <c r="H13" s="138" t="s">
        <v>65</v>
      </c>
      <c r="I13" s="138" t="s">
        <v>67</v>
      </c>
      <c r="J13" s="139">
        <v>500</v>
      </c>
      <c r="K13" s="140">
        <f>IFERROR(G13/F13,0)</f>
        <v>216</v>
      </c>
      <c r="L13" s="141">
        <f>K13/J13</f>
        <v>0.432</v>
      </c>
      <c r="M13" s="129">
        <v>1</v>
      </c>
      <c r="N13" s="76">
        <v>4</v>
      </c>
      <c r="O13" s="76" t="s">
        <v>68</v>
      </c>
      <c r="P13" s="110">
        <v>15230</v>
      </c>
      <c r="Q13" s="110">
        <v>15240</v>
      </c>
      <c r="R13" s="130">
        <f>Q13-P13</f>
        <v>10</v>
      </c>
      <c r="S13" s="80" t="s">
        <v>86</v>
      </c>
    </row>
    <row r="14" spans="1:19" ht="30" customHeight="1" x14ac:dyDescent="0.55000000000000004">
      <c r="A14" s="131">
        <v>42429</v>
      </c>
      <c r="B14" s="76" t="s">
        <v>57</v>
      </c>
      <c r="C14" s="77"/>
      <c r="D14" s="78"/>
      <c r="E14" s="78"/>
      <c r="F14" s="77"/>
      <c r="G14" s="79"/>
      <c r="H14" s="129"/>
      <c r="I14" s="129"/>
      <c r="J14" s="126"/>
      <c r="K14" s="127"/>
      <c r="L14" s="128"/>
      <c r="M14" s="129"/>
      <c r="N14" s="76"/>
      <c r="O14" s="76"/>
      <c r="P14" s="110"/>
      <c r="Q14" s="110"/>
      <c r="R14" s="130"/>
      <c r="S14" s="81" t="s">
        <v>87</v>
      </c>
    </row>
    <row r="15" spans="1:19" ht="30" customHeight="1" thickBot="1" x14ac:dyDescent="0.6">
      <c r="A15" s="131">
        <v>42429</v>
      </c>
      <c r="B15" s="76" t="s">
        <v>56</v>
      </c>
      <c r="C15" s="77"/>
      <c r="D15" s="78"/>
      <c r="E15" s="78"/>
      <c r="F15" s="77"/>
      <c r="G15" s="79"/>
      <c r="H15" s="129"/>
      <c r="I15" s="129"/>
      <c r="J15" s="126"/>
      <c r="K15" s="127"/>
      <c r="L15" s="128"/>
      <c r="M15" s="129"/>
      <c r="N15" s="76"/>
      <c r="O15" s="76"/>
      <c r="P15" s="110"/>
      <c r="Q15" s="110"/>
      <c r="R15" s="130"/>
      <c r="S15" s="81" t="s">
        <v>87</v>
      </c>
    </row>
    <row r="16" spans="1:19" ht="20.25" customHeight="1" thickBot="1" x14ac:dyDescent="0.6">
      <c r="A16" s="82"/>
      <c r="B16" s="83" t="s">
        <v>15</v>
      </c>
      <c r="C16" s="84"/>
      <c r="D16" s="85"/>
      <c r="E16" s="85"/>
      <c r="F16" s="86">
        <f>SUM(F7:F15)</f>
        <v>35</v>
      </c>
      <c r="G16" s="87">
        <f>SUM(G7:G15)</f>
        <v>13896</v>
      </c>
      <c r="H16" s="88"/>
      <c r="I16" s="88"/>
      <c r="J16" s="111"/>
      <c r="K16" s="112"/>
      <c r="L16" s="113"/>
      <c r="M16" s="90"/>
      <c r="N16" s="91"/>
      <c r="O16" s="92"/>
      <c r="P16" s="85"/>
      <c r="Q16" s="93"/>
      <c r="R16" s="86">
        <f>SUM(R7:R15)</f>
        <v>38</v>
      </c>
      <c r="S16" s="94"/>
    </row>
    <row r="17" spans="1:19" ht="20.25" customHeight="1" x14ac:dyDescent="0.55000000000000004">
      <c r="B17" s="95"/>
      <c r="C17" s="96"/>
      <c r="F17" s="97"/>
      <c r="G17" s="98"/>
      <c r="H17" s="98"/>
      <c r="I17" s="98"/>
      <c r="K17" s="96"/>
      <c r="L17" s="99"/>
      <c r="N17" s="100"/>
      <c r="O17" s="101"/>
      <c r="R17" s="97"/>
    </row>
    <row r="18" spans="1:19" x14ac:dyDescent="0.55000000000000004">
      <c r="A18" s="103" t="s">
        <v>10</v>
      </c>
      <c r="E18" s="104"/>
      <c r="O18" s="19"/>
      <c r="P18" s="19"/>
      <c r="Q18" s="19"/>
      <c r="R18" s="19"/>
    </row>
    <row r="19" spans="1:19" ht="18.75" customHeight="1" x14ac:dyDescent="0.55000000000000004">
      <c r="A19" s="1425" t="s">
        <v>1</v>
      </c>
      <c r="B19" s="1425" t="s">
        <v>35</v>
      </c>
      <c r="C19" s="1427" t="s">
        <v>36</v>
      </c>
      <c r="D19" s="1429" t="s">
        <v>37</v>
      </c>
      <c r="E19" s="1429" t="s">
        <v>38</v>
      </c>
      <c r="F19" s="1429" t="s">
        <v>39</v>
      </c>
      <c r="G19" s="1431" t="s">
        <v>40</v>
      </c>
      <c r="H19" s="1433" t="s">
        <v>60</v>
      </c>
      <c r="I19" s="1434"/>
      <c r="J19" s="1435" t="s">
        <v>41</v>
      </c>
      <c r="K19" s="1436"/>
      <c r="L19" s="1437"/>
      <c r="M19" s="1431" t="s">
        <v>61</v>
      </c>
      <c r="N19" s="1425" t="s">
        <v>42</v>
      </c>
      <c r="O19" s="70" t="s">
        <v>43</v>
      </c>
      <c r="P19" s="1429" t="s">
        <v>37</v>
      </c>
      <c r="Q19" s="1429" t="s">
        <v>38</v>
      </c>
      <c r="R19" s="1429" t="s">
        <v>39</v>
      </c>
      <c r="S19" s="1425" t="s">
        <v>44</v>
      </c>
    </row>
    <row r="20" spans="1:19" ht="26.25" customHeight="1" thickBot="1" x14ac:dyDescent="0.6">
      <c r="A20" s="1426"/>
      <c r="B20" s="1426"/>
      <c r="C20" s="1428"/>
      <c r="D20" s="1430"/>
      <c r="E20" s="1430"/>
      <c r="F20" s="1430"/>
      <c r="G20" s="1432"/>
      <c r="H20" s="71" t="s">
        <v>62</v>
      </c>
      <c r="I20" s="71" t="s">
        <v>63</v>
      </c>
      <c r="J20" s="72" t="s">
        <v>14</v>
      </c>
      <c r="K20" s="73" t="s">
        <v>17</v>
      </c>
      <c r="L20" s="74" t="s">
        <v>21</v>
      </c>
      <c r="M20" s="1432"/>
      <c r="N20" s="1426"/>
      <c r="O20" s="75" t="s">
        <v>45</v>
      </c>
      <c r="P20" s="1430"/>
      <c r="Q20" s="1430"/>
      <c r="R20" s="1430"/>
      <c r="S20" s="1446"/>
    </row>
    <row r="21" spans="1:19" ht="63.75" customHeight="1" x14ac:dyDescent="0.55000000000000004">
      <c r="A21" s="131">
        <v>42429</v>
      </c>
      <c r="B21" s="76" t="s">
        <v>50</v>
      </c>
      <c r="C21" s="77" t="s">
        <v>76</v>
      </c>
      <c r="D21" s="78">
        <v>17660</v>
      </c>
      <c r="E21" s="78">
        <v>17670</v>
      </c>
      <c r="F21" s="77">
        <f>+E21-D21</f>
        <v>10</v>
      </c>
      <c r="G21" s="79">
        <f>151*24</f>
        <v>3624</v>
      </c>
      <c r="H21" s="129" t="s">
        <v>64</v>
      </c>
      <c r="I21" s="79" t="s">
        <v>69</v>
      </c>
      <c r="J21" s="126">
        <v>500</v>
      </c>
      <c r="K21" s="127">
        <f>G21/F21</f>
        <v>362.4</v>
      </c>
      <c r="L21" s="128">
        <f>K21/J21</f>
        <v>0.7248</v>
      </c>
      <c r="M21" s="129">
        <v>2.6</v>
      </c>
      <c r="N21" s="76">
        <v>5</v>
      </c>
      <c r="O21" s="142" t="s">
        <v>78</v>
      </c>
      <c r="P21" s="145">
        <v>13428</v>
      </c>
      <c r="Q21" s="145">
        <v>13438</v>
      </c>
      <c r="R21" s="133">
        <f>Q21-P21</f>
        <v>10</v>
      </c>
      <c r="S21" s="80" t="s">
        <v>89</v>
      </c>
    </row>
    <row r="22" spans="1:19" ht="50.25" customHeight="1" x14ac:dyDescent="0.55000000000000004">
      <c r="A22" s="131">
        <v>42429</v>
      </c>
      <c r="B22" s="76" t="s">
        <v>51</v>
      </c>
      <c r="C22" s="77" t="s">
        <v>72</v>
      </c>
      <c r="D22" s="78">
        <v>17917</v>
      </c>
      <c r="E22" s="78">
        <v>17927</v>
      </c>
      <c r="F22" s="77">
        <f>+E22-D22</f>
        <v>10</v>
      </c>
      <c r="G22" s="79">
        <f>226*24</f>
        <v>5424</v>
      </c>
      <c r="H22" s="129" t="s">
        <v>64</v>
      </c>
      <c r="I22" s="79" t="s">
        <v>90</v>
      </c>
      <c r="J22" s="126">
        <v>500</v>
      </c>
      <c r="K22" s="127">
        <f>G22/F22</f>
        <v>542.4</v>
      </c>
      <c r="L22" s="128">
        <f>K22/J22</f>
        <v>1.0848</v>
      </c>
      <c r="M22" s="129">
        <v>1.4</v>
      </c>
      <c r="N22" s="76">
        <v>5</v>
      </c>
      <c r="O22" s="142" t="s">
        <v>78</v>
      </c>
      <c r="P22" s="110">
        <v>13428</v>
      </c>
      <c r="Q22" s="110">
        <v>13438</v>
      </c>
      <c r="R22" s="133">
        <f>Q22-P22</f>
        <v>10</v>
      </c>
      <c r="S22" s="80" t="s">
        <v>91</v>
      </c>
    </row>
    <row r="23" spans="1:19" ht="30" customHeight="1" x14ac:dyDescent="0.55000000000000004">
      <c r="A23" s="131">
        <v>42429</v>
      </c>
      <c r="B23" s="76" t="s">
        <v>52</v>
      </c>
      <c r="C23" s="77"/>
      <c r="D23" s="78"/>
      <c r="E23" s="78"/>
      <c r="F23" s="135"/>
      <c r="G23" s="79"/>
      <c r="H23" s="138"/>
      <c r="I23" s="143"/>
      <c r="J23" s="126"/>
      <c r="K23" s="127"/>
      <c r="L23" s="128"/>
      <c r="M23" s="129"/>
      <c r="N23" s="76"/>
      <c r="O23" s="142"/>
      <c r="P23" s="110"/>
      <c r="Q23" s="110"/>
      <c r="R23" s="133"/>
      <c r="S23" s="81" t="s">
        <v>73</v>
      </c>
    </row>
    <row r="24" spans="1:19" ht="78" customHeight="1" x14ac:dyDescent="0.55000000000000004">
      <c r="A24" s="131">
        <v>42429</v>
      </c>
      <c r="B24" s="126" t="s">
        <v>53</v>
      </c>
      <c r="C24" s="135" t="s">
        <v>71</v>
      </c>
      <c r="D24" s="136">
        <v>14131</v>
      </c>
      <c r="E24" s="136">
        <v>14140</v>
      </c>
      <c r="F24" s="135">
        <f>+E24-D24</f>
        <v>9</v>
      </c>
      <c r="G24" s="137">
        <f>142*24</f>
        <v>3408</v>
      </c>
      <c r="H24" s="138" t="s">
        <v>65</v>
      </c>
      <c r="I24" s="138" t="s">
        <v>70</v>
      </c>
      <c r="J24" s="139">
        <v>500</v>
      </c>
      <c r="K24" s="140">
        <f>IFERROR(G24/F24,0)</f>
        <v>378.66666666666669</v>
      </c>
      <c r="L24" s="141">
        <f>K24/J24</f>
        <v>0.75733333333333341</v>
      </c>
      <c r="M24" s="138">
        <v>0.6</v>
      </c>
      <c r="N24" s="142">
        <v>4</v>
      </c>
      <c r="O24" s="76" t="s">
        <v>68</v>
      </c>
      <c r="P24" s="134">
        <v>15240</v>
      </c>
      <c r="Q24" s="134">
        <v>15250</v>
      </c>
      <c r="R24" s="133">
        <f>Q24-P24</f>
        <v>10</v>
      </c>
      <c r="S24" s="132" t="s">
        <v>92</v>
      </c>
    </row>
    <row r="25" spans="1:19" ht="30" customHeight="1" x14ac:dyDescent="0.55000000000000004">
      <c r="A25" s="131">
        <v>42429</v>
      </c>
      <c r="B25" s="76" t="s">
        <v>54</v>
      </c>
      <c r="C25" s="77"/>
      <c r="D25" s="78"/>
      <c r="E25" s="78"/>
      <c r="F25" s="135"/>
      <c r="G25" s="79"/>
      <c r="H25" s="138"/>
      <c r="I25" s="143"/>
      <c r="J25" s="126"/>
      <c r="K25" s="127"/>
      <c r="L25" s="128"/>
      <c r="M25" s="129"/>
      <c r="N25" s="76"/>
      <c r="O25" s="142"/>
      <c r="P25" s="144"/>
      <c r="Q25" s="144"/>
      <c r="R25" s="144"/>
      <c r="S25" s="81" t="s">
        <v>66</v>
      </c>
    </row>
    <row r="26" spans="1:19" ht="30" customHeight="1" x14ac:dyDescent="0.55000000000000004">
      <c r="A26" s="131">
        <v>42429</v>
      </c>
      <c r="B26" s="76" t="s">
        <v>55</v>
      </c>
      <c r="C26" s="77"/>
      <c r="D26" s="78"/>
      <c r="E26" s="78"/>
      <c r="F26" s="135"/>
      <c r="G26" s="79"/>
      <c r="H26" s="138"/>
      <c r="I26" s="143"/>
      <c r="J26" s="126"/>
      <c r="K26" s="127"/>
      <c r="L26" s="128"/>
      <c r="M26" s="129"/>
      <c r="N26" s="76"/>
      <c r="O26" s="142"/>
      <c r="P26" s="144"/>
      <c r="Q26" s="144"/>
      <c r="R26" s="133"/>
      <c r="S26" s="81" t="s">
        <v>93</v>
      </c>
    </row>
    <row r="27" spans="1:19" ht="30" customHeight="1" x14ac:dyDescent="0.55000000000000004">
      <c r="A27" s="131">
        <v>42429</v>
      </c>
      <c r="B27" s="76" t="s">
        <v>57</v>
      </c>
      <c r="C27" s="77"/>
      <c r="D27" s="78"/>
      <c r="E27" s="78"/>
      <c r="F27" s="135"/>
      <c r="G27" s="79"/>
      <c r="H27" s="138"/>
      <c r="I27" s="143"/>
      <c r="J27" s="126"/>
      <c r="K27" s="127"/>
      <c r="L27" s="128"/>
      <c r="M27" s="129"/>
      <c r="N27" s="76"/>
      <c r="O27" s="142"/>
      <c r="P27" s="134"/>
      <c r="Q27" s="134"/>
      <c r="R27" s="133"/>
      <c r="S27" s="81" t="s">
        <v>75</v>
      </c>
    </row>
    <row r="28" spans="1:19" ht="30" customHeight="1" thickBot="1" x14ac:dyDescent="0.6">
      <c r="A28" s="131">
        <v>42429</v>
      </c>
      <c r="B28" s="76" t="s">
        <v>56</v>
      </c>
      <c r="C28" s="77"/>
      <c r="D28" s="78"/>
      <c r="E28" s="78"/>
      <c r="F28" s="135"/>
      <c r="G28" s="79"/>
      <c r="H28" s="138"/>
      <c r="I28" s="143"/>
      <c r="J28" s="126"/>
      <c r="K28" s="127"/>
      <c r="L28" s="128"/>
      <c r="M28" s="129"/>
      <c r="N28" s="76"/>
      <c r="O28" s="142"/>
      <c r="P28" s="144"/>
      <c r="Q28" s="144"/>
      <c r="R28" s="144"/>
      <c r="S28" s="81" t="s">
        <v>75</v>
      </c>
    </row>
    <row r="29" spans="1:19" ht="28.5" customHeight="1" thickBot="1" x14ac:dyDescent="0.6">
      <c r="A29" s="82"/>
      <c r="B29" s="83" t="s">
        <v>15</v>
      </c>
      <c r="C29" s="84"/>
      <c r="D29" s="85"/>
      <c r="E29" s="85"/>
      <c r="F29" s="86">
        <f>SUM(F21:F28)</f>
        <v>29</v>
      </c>
      <c r="G29" s="87">
        <f>SUM(G21:G28)</f>
        <v>12456</v>
      </c>
      <c r="H29" s="88"/>
      <c r="I29" s="88"/>
      <c r="J29" s="82"/>
      <c r="K29" s="84"/>
      <c r="L29" s="89"/>
      <c r="M29" s="90"/>
      <c r="N29" s="91"/>
      <c r="O29" s="92"/>
      <c r="P29" s="85"/>
      <c r="Q29" s="93"/>
      <c r="R29" s="86">
        <f>SUM(R21:R28)</f>
        <v>30</v>
      </c>
      <c r="S29" s="94"/>
    </row>
    <row r="30" spans="1:19" ht="9.75" customHeight="1" x14ac:dyDescent="0.55000000000000004">
      <c r="C30" s="96"/>
      <c r="F30" s="97"/>
      <c r="G30" s="98"/>
      <c r="H30" s="98"/>
      <c r="I30" s="98"/>
      <c r="K30" s="96"/>
      <c r="L30" s="99"/>
      <c r="N30" s="100"/>
      <c r="O30" s="101"/>
      <c r="R30" s="97"/>
    </row>
    <row r="31" spans="1:19" x14ac:dyDescent="0.55000000000000004">
      <c r="C31" s="18"/>
    </row>
    <row r="32" spans="1:19" s="102" customFormat="1" x14ac:dyDescent="0.55000000000000004">
      <c r="A32" s="16"/>
      <c r="B32" s="16"/>
      <c r="C32" s="19"/>
      <c r="D32" s="17"/>
      <c r="E32" s="17"/>
      <c r="F32" s="16"/>
      <c r="G32" s="27"/>
      <c r="H32" s="105"/>
      <c r="I32" s="105"/>
      <c r="J32" s="16"/>
      <c r="K32" s="19"/>
      <c r="L32" s="16"/>
      <c r="M32" s="27"/>
      <c r="N32" s="16"/>
      <c r="O32" s="19"/>
      <c r="P32" s="17"/>
      <c r="Q32" s="20"/>
      <c r="R32" s="19"/>
    </row>
    <row r="33" spans="1:18" s="102" customFormat="1" x14ac:dyDescent="0.55000000000000004">
      <c r="A33" s="16"/>
      <c r="B33" s="16"/>
      <c r="C33" s="16"/>
      <c r="D33" s="17"/>
      <c r="E33" s="17"/>
      <c r="F33" s="96"/>
      <c r="G33" s="27"/>
      <c r="H33" s="27"/>
      <c r="I33" s="27"/>
      <c r="J33" s="16"/>
      <c r="K33" s="19"/>
      <c r="L33" s="16"/>
      <c r="M33" s="27"/>
      <c r="N33" s="16"/>
      <c r="O33" s="16"/>
      <c r="P33" s="17"/>
      <c r="Q33" s="20"/>
      <c r="R33" s="16"/>
    </row>
    <row r="35" spans="1:18" s="102" customFormat="1" x14ac:dyDescent="0.55000000000000004">
      <c r="A35" s="16"/>
      <c r="B35" s="16"/>
      <c r="C35" s="16"/>
      <c r="D35" s="17"/>
      <c r="E35" s="17"/>
      <c r="F35" s="16"/>
      <c r="G35" s="27"/>
      <c r="H35" s="27"/>
      <c r="I35" s="27"/>
      <c r="J35" s="16"/>
      <c r="K35" s="19"/>
      <c r="L35" s="16"/>
      <c r="M35" s="27"/>
      <c r="N35" s="16"/>
      <c r="O35" s="16"/>
      <c r="P35" s="17"/>
      <c r="Q35" s="17"/>
      <c r="R35" s="16"/>
    </row>
    <row r="36" spans="1:18" s="102" customFormat="1" x14ac:dyDescent="0.55000000000000004">
      <c r="A36" s="16"/>
      <c r="B36" s="16"/>
      <c r="C36" s="16"/>
      <c r="D36" s="17"/>
      <c r="E36" s="17"/>
      <c r="F36" s="16"/>
      <c r="G36" s="27"/>
      <c r="H36" s="27"/>
      <c r="I36" s="105"/>
      <c r="K36" s="19"/>
      <c r="M36" s="27"/>
      <c r="N36" s="16"/>
      <c r="O36" s="16"/>
      <c r="P36" s="17"/>
      <c r="Q36" s="17"/>
      <c r="R36" s="16"/>
    </row>
    <row r="37" spans="1:18" s="102" customFormat="1" x14ac:dyDescent="0.55000000000000004">
      <c r="A37" s="16"/>
      <c r="B37" s="16"/>
      <c r="C37" s="16"/>
      <c r="D37" s="17"/>
      <c r="E37" s="17"/>
      <c r="F37" s="16"/>
      <c r="G37" s="27"/>
      <c r="H37" s="27"/>
      <c r="I37" s="105"/>
      <c r="K37" s="19"/>
      <c r="L37" s="16"/>
      <c r="M37" s="27"/>
      <c r="N37" s="16"/>
      <c r="O37" s="16"/>
      <c r="P37" s="17"/>
      <c r="Q37" s="17"/>
      <c r="R37" s="16"/>
    </row>
    <row r="38" spans="1:18" s="102" customFormat="1" x14ac:dyDescent="0.55000000000000004">
      <c r="A38" s="16"/>
      <c r="B38" s="16"/>
      <c r="C38" s="16"/>
      <c r="D38" s="17"/>
      <c r="E38" s="17"/>
      <c r="F38" s="18"/>
      <c r="G38" s="27"/>
      <c r="H38" s="27"/>
      <c r="I38" s="27"/>
      <c r="K38" s="16"/>
      <c r="L38" s="16"/>
      <c r="M38" s="27"/>
      <c r="N38" s="16"/>
      <c r="O38" s="16"/>
      <c r="P38" s="17"/>
      <c r="Q38" s="17"/>
      <c r="R38" s="16"/>
    </row>
    <row r="39" spans="1:18" s="102" customFormat="1" x14ac:dyDescent="0.55000000000000004">
      <c r="A39" s="16"/>
      <c r="B39" s="16"/>
      <c r="C39" s="16"/>
      <c r="D39" s="106"/>
      <c r="E39" s="17"/>
      <c r="F39" s="19"/>
      <c r="G39" s="27"/>
      <c r="H39" s="27"/>
      <c r="I39" s="27"/>
      <c r="J39" s="107"/>
      <c r="K39" s="16"/>
      <c r="L39" s="16"/>
      <c r="M39" s="27"/>
      <c r="N39" s="16"/>
      <c r="O39" s="16"/>
      <c r="P39" s="17"/>
      <c r="Q39" s="17"/>
      <c r="R39" s="16"/>
    </row>
    <row r="40" spans="1:18" s="102" customFormat="1" x14ac:dyDescent="0.55000000000000004">
      <c r="A40" s="16"/>
      <c r="B40" s="16"/>
      <c r="C40" s="16"/>
      <c r="E40" s="17"/>
      <c r="F40" s="16"/>
      <c r="G40" s="27"/>
      <c r="H40" s="27"/>
      <c r="I40" s="27"/>
      <c r="J40" s="17"/>
      <c r="K40" s="19"/>
      <c r="L40" s="16"/>
      <c r="M40" s="27"/>
      <c r="N40" s="16"/>
      <c r="O40" s="16"/>
      <c r="P40" s="17"/>
      <c r="Q40" s="17"/>
      <c r="R40" s="16"/>
    </row>
    <row r="41" spans="1:18" s="102" customFormat="1" x14ac:dyDescent="0.55000000000000004">
      <c r="A41" s="16"/>
      <c r="B41" s="16"/>
      <c r="C41" s="16"/>
      <c r="D41" s="17"/>
      <c r="E41" s="17"/>
      <c r="F41" s="16"/>
      <c r="G41" s="27"/>
      <c r="H41" s="27"/>
      <c r="I41" s="27"/>
      <c r="J41" s="27"/>
      <c r="K41" s="19"/>
      <c r="L41" s="16"/>
      <c r="M41" s="27"/>
      <c r="N41" s="16"/>
      <c r="O41" s="16"/>
      <c r="P41" s="17"/>
      <c r="Q41" s="17"/>
      <c r="R41" s="16"/>
    </row>
    <row r="42" spans="1:18" s="102" customFormat="1" x14ac:dyDescent="0.55000000000000004">
      <c r="A42" s="16"/>
      <c r="B42" s="16"/>
      <c r="C42" s="16"/>
      <c r="D42" s="17"/>
      <c r="E42" s="17"/>
      <c r="F42" s="19"/>
      <c r="G42" s="27"/>
      <c r="H42" s="27"/>
      <c r="I42" s="27"/>
      <c r="J42" s="27"/>
      <c r="K42" s="19"/>
      <c r="L42" s="16"/>
      <c r="M42" s="27"/>
      <c r="N42" s="16"/>
      <c r="O42" s="16"/>
      <c r="P42" s="17"/>
      <c r="Q42" s="17"/>
      <c r="R42" s="16"/>
    </row>
    <row r="43" spans="1:18" s="102" customFormat="1" x14ac:dyDescent="0.55000000000000004">
      <c r="A43" s="16"/>
      <c r="B43" s="16"/>
      <c r="C43" s="16"/>
      <c r="D43" s="17"/>
      <c r="E43" s="17"/>
      <c r="F43" s="19"/>
      <c r="G43" s="27"/>
      <c r="H43" s="27"/>
      <c r="I43" s="27"/>
      <c r="J43" s="27"/>
      <c r="K43" s="16"/>
      <c r="L43" s="16"/>
      <c r="M43" s="27"/>
      <c r="N43" s="16"/>
      <c r="O43" s="16"/>
      <c r="P43" s="17"/>
      <c r="Q43" s="17"/>
      <c r="R43" s="16"/>
    </row>
    <row r="44" spans="1:18" s="102" customFormat="1" x14ac:dyDescent="0.55000000000000004">
      <c r="A44" s="16"/>
      <c r="B44" s="16"/>
      <c r="C44" s="16"/>
      <c r="D44" s="17"/>
      <c r="E44" s="17"/>
      <c r="F44" s="19"/>
      <c r="G44" s="27"/>
      <c r="H44" s="27"/>
      <c r="I44" s="27"/>
      <c r="J44" s="16"/>
      <c r="K44" s="16"/>
      <c r="L44" s="16"/>
      <c r="M44" s="27"/>
      <c r="N44" s="16"/>
      <c r="O44" s="16"/>
      <c r="P44" s="17"/>
      <c r="Q44" s="17"/>
      <c r="R44" s="16"/>
    </row>
    <row r="45" spans="1:18" s="102" customFormat="1" x14ac:dyDescent="0.55000000000000004">
      <c r="A45" s="16"/>
      <c r="B45" s="16"/>
      <c r="C45" s="16"/>
      <c r="D45" s="17"/>
      <c r="E45" s="17"/>
      <c r="F45" s="19"/>
      <c r="G45" s="27"/>
      <c r="H45" s="27"/>
      <c r="I45" s="27"/>
      <c r="J45" s="27"/>
      <c r="K45" s="16"/>
      <c r="L45" s="16"/>
      <c r="M45" s="27"/>
      <c r="N45" s="16"/>
      <c r="O45" s="16"/>
      <c r="P45" s="17"/>
      <c r="Q45" s="17"/>
      <c r="R45" s="16"/>
    </row>
    <row r="46" spans="1:18" s="102" customFormat="1" x14ac:dyDescent="0.55000000000000004">
      <c r="A46" s="16"/>
      <c r="B46" s="16"/>
      <c r="C46" s="16"/>
      <c r="D46" s="17"/>
      <c r="E46" s="17"/>
      <c r="F46" s="16"/>
      <c r="G46" s="27"/>
      <c r="H46" s="27"/>
      <c r="I46" s="27"/>
      <c r="K46" s="19"/>
      <c r="L46" s="16"/>
      <c r="M46" s="27"/>
      <c r="N46" s="16"/>
      <c r="O46" s="16"/>
      <c r="P46" s="17"/>
      <c r="Q46" s="17"/>
      <c r="R46" s="16"/>
    </row>
    <row r="47" spans="1:18" s="102" customFormat="1" x14ac:dyDescent="0.55000000000000004">
      <c r="A47" s="16"/>
      <c r="B47" s="16"/>
      <c r="C47" s="16"/>
      <c r="D47" s="17"/>
      <c r="E47" s="17"/>
      <c r="F47" s="16"/>
      <c r="G47" s="27"/>
      <c r="H47" s="27"/>
      <c r="I47" s="27"/>
      <c r="J47" s="20"/>
      <c r="K47" s="16"/>
      <c r="L47" s="16"/>
      <c r="M47" s="27"/>
      <c r="N47" s="16"/>
      <c r="O47" s="16"/>
      <c r="P47" s="17"/>
      <c r="Q47" s="17"/>
      <c r="R47" s="16"/>
    </row>
    <row r="48" spans="1:18" s="102" customFormat="1" x14ac:dyDescent="0.55000000000000004">
      <c r="A48" s="16"/>
      <c r="B48" s="16"/>
      <c r="C48" s="16"/>
      <c r="D48" s="17"/>
      <c r="E48" s="17"/>
      <c r="F48" s="19"/>
      <c r="G48" s="27"/>
      <c r="H48" s="27"/>
      <c r="I48" s="27"/>
      <c r="J48" s="19"/>
      <c r="K48" s="108"/>
      <c r="L48" s="16"/>
      <c r="M48" s="27"/>
      <c r="N48" s="16"/>
      <c r="O48" s="16"/>
      <c r="P48" s="17"/>
      <c r="Q48" s="17"/>
      <c r="R48" s="16"/>
    </row>
    <row r="49" spans="1:18" s="102" customFormat="1" x14ac:dyDescent="0.55000000000000004">
      <c r="A49" s="16"/>
      <c r="B49" s="16"/>
      <c r="C49" s="16"/>
      <c r="D49" s="17"/>
      <c r="E49" s="17"/>
      <c r="F49" s="19"/>
      <c r="G49" s="27"/>
      <c r="H49" s="27"/>
      <c r="I49" s="27"/>
      <c r="J49" s="16"/>
      <c r="K49" s="19"/>
      <c r="L49" s="16"/>
      <c r="M49" s="27"/>
      <c r="N49" s="16"/>
      <c r="O49" s="16"/>
      <c r="P49" s="17"/>
      <c r="Q49" s="17"/>
      <c r="R49" s="16"/>
    </row>
    <row r="50" spans="1:18" s="102" customFormat="1" x14ac:dyDescent="0.55000000000000004">
      <c r="A50" s="16"/>
      <c r="B50" s="16"/>
      <c r="C50" s="16"/>
      <c r="D50" s="17"/>
      <c r="E50" s="17"/>
      <c r="F50" s="19"/>
      <c r="G50" s="105"/>
      <c r="H50" s="27"/>
      <c r="I50" s="27"/>
      <c r="J50" s="17"/>
      <c r="K50" s="16"/>
      <c r="L50" s="16"/>
      <c r="M50" s="27"/>
      <c r="N50" s="16"/>
      <c r="O50" s="16"/>
      <c r="P50" s="17"/>
      <c r="Q50" s="17"/>
      <c r="R50" s="16"/>
    </row>
    <row r="51" spans="1:18" s="102" customFormat="1" x14ac:dyDescent="0.55000000000000004">
      <c r="A51" s="16"/>
      <c r="B51" s="16"/>
      <c r="C51" s="16"/>
      <c r="D51" s="17"/>
      <c r="E51" s="17"/>
      <c r="F51" s="19"/>
      <c r="G51" s="27"/>
      <c r="H51" s="27"/>
      <c r="I51" s="27"/>
      <c r="J51" s="19"/>
      <c r="K51" s="16"/>
      <c r="L51" s="16"/>
      <c r="M51" s="27"/>
      <c r="N51" s="16"/>
      <c r="O51" s="16"/>
      <c r="P51" s="17"/>
      <c r="Q51" s="17"/>
      <c r="R51" s="16"/>
    </row>
    <row r="52" spans="1:18" s="102" customFormat="1" x14ac:dyDescent="0.55000000000000004">
      <c r="A52" s="16"/>
      <c r="B52" s="16"/>
      <c r="C52" s="16"/>
      <c r="D52" s="17"/>
      <c r="E52" s="17"/>
      <c r="F52" s="19"/>
      <c r="G52" s="27"/>
      <c r="H52" s="27"/>
      <c r="I52" s="27"/>
      <c r="J52" s="19"/>
      <c r="K52" s="19"/>
      <c r="L52" s="16"/>
      <c r="M52" s="27"/>
      <c r="N52" s="16"/>
      <c r="O52" s="16"/>
      <c r="P52" s="17"/>
      <c r="Q52" s="17"/>
      <c r="R52" s="16"/>
    </row>
    <row r="53" spans="1:18" s="102" customFormat="1" x14ac:dyDescent="0.55000000000000004">
      <c r="A53" s="16"/>
      <c r="B53" s="16"/>
      <c r="C53" s="16"/>
      <c r="D53" s="17"/>
      <c r="E53" s="17"/>
      <c r="F53" s="18"/>
      <c r="G53" s="27"/>
      <c r="H53" s="27"/>
      <c r="I53" s="27"/>
      <c r="J53" s="16"/>
      <c r="K53" s="16"/>
      <c r="L53" s="16"/>
      <c r="M53" s="27"/>
      <c r="N53" s="16"/>
      <c r="O53" s="16"/>
      <c r="P53" s="17"/>
      <c r="Q53" s="17"/>
      <c r="R53" s="16"/>
    </row>
    <row r="57" spans="1:18" s="102" customFormat="1" x14ac:dyDescent="0.55000000000000004">
      <c r="A57" s="16"/>
      <c r="B57" s="16"/>
      <c r="C57" s="16"/>
      <c r="D57" s="17"/>
      <c r="E57" s="17"/>
      <c r="F57" s="16"/>
      <c r="G57" s="27"/>
      <c r="H57" s="27"/>
      <c r="I57" s="27"/>
      <c r="J57" s="18"/>
      <c r="K57" s="16"/>
      <c r="L57" s="16"/>
      <c r="M57" s="109"/>
      <c r="N57" s="16"/>
      <c r="O57" s="16"/>
      <c r="P57" s="17"/>
      <c r="Q57" s="17"/>
      <c r="R57" s="16"/>
    </row>
    <row r="58" spans="1:18" s="102" customFormat="1" x14ac:dyDescent="0.55000000000000004">
      <c r="A58" s="16"/>
      <c r="B58" s="16"/>
      <c r="C58" s="16"/>
      <c r="D58" s="17"/>
      <c r="E58" s="17"/>
      <c r="F58" s="16"/>
      <c r="G58" s="27"/>
      <c r="H58" s="27"/>
      <c r="I58" s="27"/>
      <c r="J58" s="16"/>
      <c r="K58" s="16"/>
      <c r="L58" s="16"/>
      <c r="M58" s="109"/>
      <c r="N58" s="16"/>
      <c r="O58" s="16"/>
      <c r="P58" s="17"/>
      <c r="Q58" s="17"/>
      <c r="R58" s="16"/>
    </row>
    <row r="59" spans="1:18" s="102" customFormat="1" x14ac:dyDescent="0.55000000000000004">
      <c r="A59" s="16"/>
      <c r="B59" s="16"/>
      <c r="C59" s="16"/>
      <c r="D59" s="17"/>
      <c r="E59" s="17"/>
      <c r="F59" s="16"/>
      <c r="G59" s="27"/>
      <c r="H59" s="27"/>
      <c r="I59" s="27"/>
      <c r="J59" s="16"/>
      <c r="K59" s="16"/>
      <c r="L59" s="16"/>
      <c r="M59" s="109"/>
      <c r="N59" s="16"/>
      <c r="O59" s="16"/>
      <c r="P59" s="17"/>
      <c r="Q59" s="17"/>
      <c r="R59" s="16"/>
    </row>
    <row r="60" spans="1:18" s="102" customFormat="1" x14ac:dyDescent="0.55000000000000004">
      <c r="A60" s="16"/>
      <c r="B60" s="16"/>
      <c r="C60" s="16"/>
      <c r="D60" s="17"/>
      <c r="E60" s="17"/>
      <c r="F60" s="16"/>
      <c r="G60" s="27"/>
      <c r="H60" s="27"/>
      <c r="I60" s="27"/>
      <c r="J60" s="16"/>
      <c r="K60" s="16"/>
      <c r="L60" s="16"/>
      <c r="M60" s="109"/>
      <c r="N60" s="16"/>
      <c r="O60" s="16"/>
      <c r="P60" s="17"/>
      <c r="Q60" s="17"/>
      <c r="R60" s="16"/>
    </row>
    <row r="61" spans="1:18" s="102" customFormat="1" x14ac:dyDescent="0.55000000000000004">
      <c r="A61" s="16"/>
      <c r="B61" s="16"/>
      <c r="C61" s="16"/>
      <c r="D61" s="17"/>
      <c r="E61" s="17"/>
      <c r="F61" s="16"/>
      <c r="G61" s="27"/>
      <c r="H61" s="27"/>
      <c r="I61" s="27"/>
      <c r="J61" s="16"/>
      <c r="K61" s="16"/>
      <c r="L61" s="16"/>
      <c r="M61" s="109"/>
      <c r="N61" s="16"/>
      <c r="O61" s="16"/>
      <c r="P61" s="17"/>
      <c r="Q61" s="17"/>
      <c r="R61" s="16"/>
    </row>
    <row r="62" spans="1:18" s="102" customFormat="1" x14ac:dyDescent="0.55000000000000004">
      <c r="A62" s="16"/>
      <c r="B62" s="16"/>
      <c r="C62" s="16"/>
      <c r="D62" s="17"/>
      <c r="E62" s="17"/>
      <c r="F62" s="16"/>
      <c r="G62" s="27"/>
      <c r="H62" s="27"/>
      <c r="I62" s="27"/>
      <c r="J62" s="16"/>
      <c r="K62" s="16"/>
      <c r="L62" s="16"/>
      <c r="M62" s="109"/>
      <c r="N62" s="16"/>
      <c r="O62" s="16"/>
      <c r="P62" s="17"/>
      <c r="Q62" s="17"/>
      <c r="R62" s="16"/>
    </row>
    <row r="63" spans="1:18" s="102" customFormat="1" x14ac:dyDescent="0.55000000000000004">
      <c r="A63" s="16"/>
      <c r="B63" s="16"/>
      <c r="C63" s="16"/>
      <c r="D63" s="17"/>
      <c r="E63" s="17"/>
      <c r="F63" s="16"/>
      <c r="G63" s="27"/>
      <c r="H63" s="27"/>
      <c r="I63" s="27"/>
      <c r="J63" s="16"/>
      <c r="K63" s="16"/>
      <c r="L63" s="16"/>
      <c r="M63" s="109"/>
      <c r="N63" s="16"/>
      <c r="O63" s="16"/>
      <c r="P63" s="17"/>
      <c r="Q63" s="17"/>
      <c r="R63" s="16"/>
    </row>
    <row r="64" spans="1:18" s="102" customFormat="1" x14ac:dyDescent="0.55000000000000004">
      <c r="A64" s="16"/>
      <c r="B64" s="16"/>
      <c r="C64" s="16"/>
      <c r="D64" s="17"/>
      <c r="E64" s="17"/>
      <c r="F64" s="16"/>
      <c r="G64" s="27"/>
      <c r="H64" s="27"/>
      <c r="I64" s="27"/>
      <c r="J64" s="16"/>
      <c r="K64" s="16"/>
      <c r="L64" s="16"/>
      <c r="M64" s="109"/>
      <c r="N64" s="16"/>
      <c r="O64" s="16"/>
      <c r="P64" s="17"/>
      <c r="Q64" s="17"/>
      <c r="R64" s="16"/>
    </row>
  </sheetData>
  <sheetProtection selectLockedCells="1" selectUnlockedCells="1"/>
  <mergeCells count="45">
    <mergeCell ref="S8:S9"/>
    <mergeCell ref="A8:A9"/>
    <mergeCell ref="B8:B9"/>
    <mergeCell ref="C8:C9"/>
    <mergeCell ref="D8:D9"/>
    <mergeCell ref="E8:E9"/>
    <mergeCell ref="A19:A20"/>
    <mergeCell ref="B19:B20"/>
    <mergeCell ref="C19:C20"/>
    <mergeCell ref="D19:D20"/>
    <mergeCell ref="E19:E20"/>
    <mergeCell ref="Q19:Q20"/>
    <mergeCell ref="S19:S20"/>
    <mergeCell ref="R19:R20"/>
    <mergeCell ref="F19:F20"/>
    <mergeCell ref="G19:G20"/>
    <mergeCell ref="H19:I19"/>
    <mergeCell ref="F5:F6"/>
    <mergeCell ref="J19:L19"/>
    <mergeCell ref="M19:M20"/>
    <mergeCell ref="N19:N20"/>
    <mergeCell ref="P19:P20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S5:S6"/>
    <mergeCell ref="G5:G6"/>
    <mergeCell ref="H5:I5"/>
    <mergeCell ref="J5:L5"/>
    <mergeCell ref="M5:M6"/>
    <mergeCell ref="N5:N6"/>
    <mergeCell ref="P5:P6"/>
    <mergeCell ref="Q5:Q6"/>
    <mergeCell ref="R5:R6"/>
    <mergeCell ref="A5:A6"/>
    <mergeCell ref="B5:B6"/>
    <mergeCell ref="C5:C6"/>
    <mergeCell ref="D5:D6"/>
    <mergeCell ref="E5:E6"/>
  </mergeCells>
  <printOptions horizontalCentered="1"/>
  <pageMargins left="0" right="0" top="0.37992125999999998" bottom="0.23622047244094499" header="0" footer="0"/>
  <pageSetup paperSize="9" scale="54" fitToWidth="0" fitToHeight="0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2:AI93"/>
  <sheetViews>
    <sheetView showGridLines="0" view="pageBreakPreview" topLeftCell="A5" zoomScale="91" zoomScaleNormal="85" zoomScaleSheetLayoutView="91" workbookViewId="0">
      <pane xSplit="2" ySplit="3" topLeftCell="G8" activePane="bottomRight" state="frozen"/>
      <selection activeCell="A5" sqref="A5"/>
      <selection pane="topRight" activeCell="C5" sqref="C5"/>
      <selection pane="bottomLeft" activeCell="A8" sqref="A8"/>
      <selection pane="bottomRight" activeCell="L10" sqref="L10"/>
    </sheetView>
  </sheetViews>
  <sheetFormatPr defaultColWidth="9.15625" defaultRowHeight="11.1" x14ac:dyDescent="0.35"/>
  <cols>
    <col min="1" max="1" width="1" style="6" customWidth="1"/>
    <col min="2" max="2" width="11" style="186" customWidth="1"/>
    <col min="3" max="3" width="16.26171875" style="197" customWidth="1"/>
    <col min="4" max="5" width="11.26171875" style="8" customWidth="1"/>
    <col min="6" max="6" width="11.41796875" style="8" customWidth="1"/>
    <col min="7" max="7" width="10.41796875" style="8" customWidth="1"/>
    <col min="8" max="8" width="13.578125" style="8" bestFit="1" customWidth="1"/>
    <col min="9" max="9" width="13.15625" style="6" customWidth="1"/>
    <col min="10" max="10" width="14.15625" style="189" customWidth="1"/>
    <col min="11" max="11" width="12.83984375" style="116" customWidth="1"/>
    <col min="12" max="13" width="14" style="116" customWidth="1"/>
    <col min="14" max="14" width="7.83984375" style="6" customWidth="1"/>
    <col min="15" max="15" width="7.15625" style="6" customWidth="1"/>
    <col min="16" max="16" width="10.26171875" style="6" customWidth="1"/>
    <col min="17" max="17" width="13.578125" style="8" customWidth="1"/>
    <col min="18" max="18" width="7.15625" style="6" hidden="1" customWidth="1"/>
    <col min="19" max="19" width="8" style="6" hidden="1" customWidth="1"/>
    <col min="20" max="20" width="8.15625" style="7" hidden="1" customWidth="1"/>
    <col min="21" max="21" width="10" style="7" customWidth="1"/>
    <col min="22" max="22" width="10.15625" style="7" customWidth="1"/>
    <col min="23" max="23" width="13.15625" style="8" customWidth="1"/>
    <col min="24" max="24" width="7" style="6" customWidth="1"/>
    <col min="25" max="25" width="9.68359375" style="6" customWidth="1"/>
    <col min="26" max="26" width="9.15625" style="6" customWidth="1"/>
    <col min="27" max="28" width="8.41796875" style="6" customWidth="1"/>
    <col min="29" max="29" width="9.68359375" style="116" customWidth="1"/>
    <col min="30" max="30" width="9.41796875" style="6" customWidth="1"/>
    <col min="31" max="31" width="17.68359375" style="6" customWidth="1"/>
    <col min="32" max="32" width="12.15625" style="8" customWidth="1"/>
    <col min="33" max="33" width="15.578125" style="6" customWidth="1"/>
    <col min="34" max="34" width="15" style="6" customWidth="1"/>
    <col min="35" max="35" width="12.26171875" style="6" customWidth="1"/>
    <col min="36" max="16384" width="9.15625" style="6"/>
  </cols>
  <sheetData>
    <row r="2" spans="2:35" s="1" customFormat="1" ht="14.1" x14ac:dyDescent="0.45">
      <c r="B2" s="185" t="s">
        <v>33</v>
      </c>
      <c r="C2" s="223"/>
      <c r="D2" s="4"/>
      <c r="E2" s="4"/>
      <c r="F2" s="4"/>
      <c r="G2" s="4"/>
      <c r="H2" s="4"/>
      <c r="J2" s="188"/>
      <c r="K2" s="2"/>
      <c r="L2" s="2"/>
      <c r="M2" s="2"/>
      <c r="Q2" s="4"/>
      <c r="T2" s="3"/>
      <c r="U2" s="3"/>
      <c r="V2" s="3"/>
      <c r="W2" s="4"/>
      <c r="AC2" s="2"/>
      <c r="AF2" s="4"/>
    </row>
    <row r="3" spans="2:35" s="1" customFormat="1" ht="14.1" x14ac:dyDescent="0.45">
      <c r="B3" s="185" t="s">
        <v>59</v>
      </c>
      <c r="C3" s="223"/>
      <c r="D3" s="4"/>
      <c r="E3" s="4"/>
      <c r="F3" s="4"/>
      <c r="G3" s="4"/>
      <c r="H3" s="4"/>
      <c r="J3" s="188"/>
      <c r="K3" s="2"/>
      <c r="L3" s="2"/>
      <c r="M3" s="2"/>
      <c r="N3" s="5"/>
      <c r="O3" s="5"/>
      <c r="Q3" s="4"/>
      <c r="T3" s="3"/>
      <c r="U3" s="3"/>
      <c r="V3" s="3"/>
      <c r="W3" s="4"/>
      <c r="AC3" s="2"/>
      <c r="AF3" s="4"/>
    </row>
    <row r="4" spans="2:35" ht="11.4" thickBot="1" x14ac:dyDescent="0.4">
      <c r="AG4" s="6" t="s">
        <v>0</v>
      </c>
    </row>
    <row r="5" spans="2:35" s="9" customFormat="1" ht="30.75" customHeight="1" x14ac:dyDescent="0.35">
      <c r="B5" s="1506" t="s">
        <v>1</v>
      </c>
      <c r="C5" s="1509" t="s">
        <v>20</v>
      </c>
      <c r="D5" s="1510"/>
      <c r="E5" s="1510"/>
      <c r="F5" s="1510"/>
      <c r="G5" s="1510"/>
      <c r="H5" s="1510"/>
      <c r="I5" s="1511"/>
      <c r="J5" s="1512" t="s">
        <v>19</v>
      </c>
      <c r="K5" s="1512"/>
      <c r="L5" s="1512"/>
      <c r="M5" s="1512"/>
      <c r="N5" s="1512"/>
      <c r="O5" s="1512"/>
      <c r="P5" s="1513"/>
      <c r="Q5" s="1514" t="s">
        <v>2</v>
      </c>
      <c r="R5" s="1501" t="s">
        <v>3</v>
      </c>
      <c r="S5" s="1492"/>
      <c r="T5" s="1502"/>
      <c r="U5" s="1464" t="s">
        <v>94</v>
      </c>
      <c r="V5" s="1464" t="s">
        <v>96</v>
      </c>
      <c r="W5" s="1503" t="s">
        <v>4</v>
      </c>
      <c r="X5" s="1501" t="s">
        <v>5</v>
      </c>
      <c r="Y5" s="1492"/>
      <c r="Z5" s="1502"/>
      <c r="AA5" s="1464" t="s">
        <v>99</v>
      </c>
      <c r="AB5" s="1464" t="s">
        <v>100</v>
      </c>
      <c r="AC5" s="1489" t="s">
        <v>6</v>
      </c>
      <c r="AD5" s="1492" t="s">
        <v>7</v>
      </c>
      <c r="AE5" s="1495" t="s">
        <v>8</v>
      </c>
      <c r="AF5" s="35"/>
      <c r="AG5" s="1475" t="s">
        <v>2</v>
      </c>
      <c r="AH5" s="1461" t="s">
        <v>101</v>
      </c>
      <c r="AI5" s="1461" t="s">
        <v>102</v>
      </c>
    </row>
    <row r="6" spans="2:35" s="9" customFormat="1" ht="19" customHeight="1" x14ac:dyDescent="0.35">
      <c r="B6" s="1507"/>
      <c r="C6" s="1520" t="s">
        <v>14</v>
      </c>
      <c r="D6" s="1498" t="s">
        <v>17</v>
      </c>
      <c r="E6" s="1498"/>
      <c r="F6" s="1498"/>
      <c r="G6" s="1498"/>
      <c r="H6" s="1498"/>
      <c r="I6" s="1500" t="s">
        <v>21</v>
      </c>
      <c r="J6" s="1523" t="s">
        <v>14</v>
      </c>
      <c r="K6" s="1498" t="s">
        <v>17</v>
      </c>
      <c r="L6" s="1498"/>
      <c r="M6" s="1498"/>
      <c r="N6" s="1475" t="s">
        <v>21</v>
      </c>
      <c r="O6" s="1475" t="s">
        <v>17</v>
      </c>
      <c r="P6" s="1500"/>
      <c r="Q6" s="1515"/>
      <c r="R6" s="1517"/>
      <c r="S6" s="1518"/>
      <c r="T6" s="1519"/>
      <c r="U6" s="1465"/>
      <c r="V6" s="1465"/>
      <c r="W6" s="1504"/>
      <c r="X6" s="123"/>
      <c r="Y6" s="124"/>
      <c r="Z6" s="125"/>
      <c r="AA6" s="1465"/>
      <c r="AB6" s="1465"/>
      <c r="AC6" s="1490"/>
      <c r="AD6" s="1493"/>
      <c r="AE6" s="1496"/>
      <c r="AF6" s="35"/>
      <c r="AG6" s="1475"/>
      <c r="AH6" s="1462"/>
      <c r="AI6" s="1462"/>
    </row>
    <row r="7" spans="2:35" s="9" customFormat="1" ht="19.5" customHeight="1" thickBot="1" x14ac:dyDescent="0.4">
      <c r="B7" s="1508"/>
      <c r="C7" s="1521"/>
      <c r="D7" s="49" t="s">
        <v>9</v>
      </c>
      <c r="E7" s="49" t="s">
        <v>112</v>
      </c>
      <c r="F7" s="49" t="s">
        <v>10</v>
      </c>
      <c r="G7" s="49" t="s">
        <v>112</v>
      </c>
      <c r="H7" s="49" t="s">
        <v>15</v>
      </c>
      <c r="I7" s="1522"/>
      <c r="J7" s="1524"/>
      <c r="K7" s="45" t="s">
        <v>9</v>
      </c>
      <c r="L7" s="45" t="s">
        <v>10</v>
      </c>
      <c r="M7" s="45" t="s">
        <v>15</v>
      </c>
      <c r="N7" s="1499"/>
      <c r="O7" s="117" t="s">
        <v>12</v>
      </c>
      <c r="P7" s="59" t="s">
        <v>13</v>
      </c>
      <c r="Q7" s="1516"/>
      <c r="R7" s="46" t="s">
        <v>9</v>
      </c>
      <c r="S7" s="118" t="s">
        <v>10</v>
      </c>
      <c r="T7" s="47" t="s">
        <v>11</v>
      </c>
      <c r="U7" s="1466"/>
      <c r="V7" s="1466"/>
      <c r="W7" s="1505"/>
      <c r="X7" s="119" t="s">
        <v>14</v>
      </c>
      <c r="Y7" s="118" t="s">
        <v>18</v>
      </c>
      <c r="Z7" s="48" t="s">
        <v>16</v>
      </c>
      <c r="AA7" s="1466"/>
      <c r="AB7" s="1466"/>
      <c r="AC7" s="1491"/>
      <c r="AD7" s="1494"/>
      <c r="AE7" s="1497"/>
      <c r="AF7" s="35"/>
      <c r="AG7" s="1475"/>
      <c r="AH7" s="1463"/>
      <c r="AI7" s="1463"/>
    </row>
    <row r="8" spans="2:35" s="122" customFormat="1" ht="20.25" customHeight="1" x14ac:dyDescent="0.55000000000000004">
      <c r="B8" s="155">
        <v>43221</v>
      </c>
      <c r="C8" s="252">
        <v>0</v>
      </c>
      <c r="D8" s="266">
        <v>0</v>
      </c>
      <c r="E8" s="267">
        <v>0</v>
      </c>
      <c r="F8" s="266">
        <v>0</v>
      </c>
      <c r="G8" s="267">
        <v>0</v>
      </c>
      <c r="H8" s="254">
        <v>0</v>
      </c>
      <c r="I8" s="298">
        <v>0</v>
      </c>
      <c r="J8" s="198"/>
      <c r="K8" s="255"/>
      <c r="L8" s="256"/>
      <c r="M8" s="256"/>
      <c r="N8" s="201" t="str">
        <f t="shared" ref="N8:N13" si="0">IFERROR(+M8/J8,"")</f>
        <v/>
      </c>
      <c r="O8" s="257"/>
      <c r="P8" s="268">
        <f>+M8/1.27</f>
        <v>0</v>
      </c>
      <c r="Q8" s="258">
        <f t="shared" ref="Q8:Q38" si="1">H8+P8</f>
        <v>0</v>
      </c>
      <c r="R8" s="259">
        <v>0</v>
      </c>
      <c r="S8" s="269">
        <v>0</v>
      </c>
      <c r="T8" s="260">
        <v>0</v>
      </c>
      <c r="U8" s="270"/>
      <c r="V8" s="270"/>
      <c r="W8" s="258">
        <f>+U8+V8</f>
        <v>0</v>
      </c>
      <c r="X8" s="261" t="str">
        <f>IFERROR(C8/J8,"")</f>
        <v/>
      </c>
      <c r="Y8" s="262">
        <f>+IFERROR(H8/M8,0)</f>
        <v>0</v>
      </c>
      <c r="Z8" s="263">
        <f>IFERROR(+Y8/X8,0)</f>
        <v>0</v>
      </c>
      <c r="AA8" s="271">
        <f>+IFERROR(U8/AH8,0)</f>
        <v>0</v>
      </c>
      <c r="AB8" s="271">
        <f>+IFERROR(V8/AI8,0)</f>
        <v>0</v>
      </c>
      <c r="AC8" s="264">
        <f>IFERROR(W8/AG8,0)</f>
        <v>0</v>
      </c>
      <c r="AD8" s="265"/>
      <c r="AE8" s="272"/>
      <c r="AF8" s="120"/>
      <c r="AG8" s="121">
        <f>(H8+T8)+(M8/1.27)</f>
        <v>0</v>
      </c>
      <c r="AH8" s="121">
        <f>(D8+R8)+(K8/1.27)</f>
        <v>0</v>
      </c>
      <c r="AI8" s="121">
        <f>(F8+S8)+(L8/1.27)</f>
        <v>0</v>
      </c>
    </row>
    <row r="9" spans="2:35" s="122" customFormat="1" ht="20.25" customHeight="1" x14ac:dyDescent="0.55000000000000004">
      <c r="B9" s="155">
        <v>43222</v>
      </c>
      <c r="C9" s="275">
        <v>0</v>
      </c>
      <c r="D9" s="266">
        <v>0</v>
      </c>
      <c r="E9" s="267">
        <v>0</v>
      </c>
      <c r="F9" s="266">
        <v>0</v>
      </c>
      <c r="G9" s="267">
        <v>0</v>
      </c>
      <c r="H9" s="254">
        <v>0</v>
      </c>
      <c r="I9" s="298">
        <v>0</v>
      </c>
      <c r="J9" s="154"/>
      <c r="K9" s="255"/>
      <c r="L9" s="256"/>
      <c r="M9" s="256"/>
      <c r="N9" s="201" t="str">
        <f t="shared" si="0"/>
        <v/>
      </c>
      <c r="O9" s="257"/>
      <c r="P9" s="268">
        <f t="shared" ref="P9:P38" si="2">+M9/1.27</f>
        <v>0</v>
      </c>
      <c r="Q9" s="258">
        <f t="shared" si="1"/>
        <v>0</v>
      </c>
      <c r="R9" s="259">
        <v>0</v>
      </c>
      <c r="S9" s="269">
        <v>0</v>
      </c>
      <c r="T9" s="260">
        <v>0</v>
      </c>
      <c r="U9" s="270"/>
      <c r="V9" s="270"/>
      <c r="W9" s="258">
        <f t="shared" ref="W9:W20" si="3">+U9+V9</f>
        <v>0</v>
      </c>
      <c r="X9" s="261" t="str">
        <f t="shared" ref="X9:X39" si="4">IFERROR(C9/J9,"")</f>
        <v/>
      </c>
      <c r="Y9" s="262">
        <f t="shared" ref="Y9:Y38" si="5">+IFERROR(H9/M9,0)</f>
        <v>0</v>
      </c>
      <c r="Z9" s="263">
        <f t="shared" ref="Z9:Z38" si="6">IFERROR(+Y9/X9,0)</f>
        <v>0</v>
      </c>
      <c r="AA9" s="271">
        <f t="shared" ref="AA9:AA38" si="7">+IFERROR(U9/AH9,0)</f>
        <v>0</v>
      </c>
      <c r="AB9" s="271">
        <f t="shared" ref="AB9:AB38" si="8">+IFERROR(V9/AI9,0)</f>
        <v>0</v>
      </c>
      <c r="AC9" s="264">
        <f t="shared" ref="AC9:AC38" si="9">IFERROR(W9/AG9,0)</f>
        <v>0</v>
      </c>
      <c r="AD9" s="265"/>
      <c r="AE9" s="272"/>
      <c r="AF9" s="199"/>
      <c r="AG9" s="121">
        <f t="shared" ref="AG9:AG38" si="10">(H9+T9)+(M9/1.27)</f>
        <v>0</v>
      </c>
      <c r="AH9" s="121">
        <f t="shared" ref="AH9:AH38" si="11">(D9+R9)+(K9/1.27)</f>
        <v>0</v>
      </c>
      <c r="AI9" s="121">
        <f t="shared" ref="AI9:AI38" si="12">(F9+S9)+(L9/1.27)</f>
        <v>0</v>
      </c>
    </row>
    <row r="10" spans="2:35" s="122" customFormat="1" ht="20.25" customHeight="1" x14ac:dyDescent="0.55000000000000004">
      <c r="B10" s="155">
        <v>43223</v>
      </c>
      <c r="C10" s="275">
        <v>0</v>
      </c>
      <c r="D10" s="266">
        <v>0</v>
      </c>
      <c r="E10" s="267">
        <v>0</v>
      </c>
      <c r="F10" s="266">
        <v>0</v>
      </c>
      <c r="G10" s="267">
        <v>0</v>
      </c>
      <c r="H10" s="254">
        <v>0</v>
      </c>
      <c r="I10" s="298">
        <v>0</v>
      </c>
      <c r="J10" s="154"/>
      <c r="K10" s="255"/>
      <c r="L10" s="256"/>
      <c r="M10" s="256"/>
      <c r="N10" s="201" t="str">
        <f t="shared" si="0"/>
        <v/>
      </c>
      <c r="O10" s="257"/>
      <c r="P10" s="268">
        <f t="shared" si="2"/>
        <v>0</v>
      </c>
      <c r="Q10" s="258">
        <f t="shared" si="1"/>
        <v>0</v>
      </c>
      <c r="R10" s="259">
        <v>0</v>
      </c>
      <c r="S10" s="269">
        <v>0</v>
      </c>
      <c r="T10" s="260">
        <v>0</v>
      </c>
      <c r="U10" s="270"/>
      <c r="V10" s="270"/>
      <c r="W10" s="258">
        <f t="shared" si="3"/>
        <v>0</v>
      </c>
      <c r="X10" s="261" t="str">
        <f t="shared" si="4"/>
        <v/>
      </c>
      <c r="Y10" s="262">
        <f t="shared" si="5"/>
        <v>0</v>
      </c>
      <c r="Z10" s="263">
        <f t="shared" si="6"/>
        <v>0</v>
      </c>
      <c r="AA10" s="271">
        <f t="shared" si="7"/>
        <v>0</v>
      </c>
      <c r="AB10" s="271">
        <f t="shared" si="8"/>
        <v>0</v>
      </c>
      <c r="AC10" s="264">
        <f t="shared" si="9"/>
        <v>0</v>
      </c>
      <c r="AD10" s="265"/>
      <c r="AE10" s="272"/>
      <c r="AF10" s="120"/>
      <c r="AG10" s="121">
        <f t="shared" si="10"/>
        <v>0</v>
      </c>
      <c r="AH10" s="121">
        <f t="shared" si="11"/>
        <v>0</v>
      </c>
      <c r="AI10" s="121">
        <f t="shared" si="12"/>
        <v>0</v>
      </c>
    </row>
    <row r="11" spans="2:35" s="122" customFormat="1" ht="20.25" customHeight="1" x14ac:dyDescent="0.55000000000000004">
      <c r="B11" s="155">
        <v>43224</v>
      </c>
      <c r="C11" s="275">
        <v>0</v>
      </c>
      <c r="D11" s="266">
        <v>0</v>
      </c>
      <c r="E11" s="267">
        <v>0</v>
      </c>
      <c r="F11" s="266">
        <v>0</v>
      </c>
      <c r="G11" s="267">
        <v>0</v>
      </c>
      <c r="H11" s="254">
        <v>0</v>
      </c>
      <c r="I11" s="298">
        <v>0</v>
      </c>
      <c r="J11" s="154"/>
      <c r="K11" s="255"/>
      <c r="L11" s="256"/>
      <c r="M11" s="256"/>
      <c r="N11" s="201" t="str">
        <f t="shared" si="0"/>
        <v/>
      </c>
      <c r="O11" s="257"/>
      <c r="P11" s="268">
        <f t="shared" si="2"/>
        <v>0</v>
      </c>
      <c r="Q11" s="258">
        <f t="shared" si="1"/>
        <v>0</v>
      </c>
      <c r="R11" s="259">
        <v>0</v>
      </c>
      <c r="S11" s="269">
        <v>0</v>
      </c>
      <c r="T11" s="260">
        <v>0</v>
      </c>
      <c r="U11" s="270"/>
      <c r="V11" s="270"/>
      <c r="W11" s="258">
        <f t="shared" si="3"/>
        <v>0</v>
      </c>
      <c r="X11" s="261" t="str">
        <f t="shared" si="4"/>
        <v/>
      </c>
      <c r="Y11" s="262">
        <f t="shared" si="5"/>
        <v>0</v>
      </c>
      <c r="Z11" s="263">
        <f t="shared" si="6"/>
        <v>0</v>
      </c>
      <c r="AA11" s="271">
        <f t="shared" si="7"/>
        <v>0</v>
      </c>
      <c r="AB11" s="271">
        <f t="shared" si="8"/>
        <v>0</v>
      </c>
      <c r="AC11" s="264">
        <f t="shared" si="9"/>
        <v>0</v>
      </c>
      <c r="AD11" s="265"/>
      <c r="AE11" s="272"/>
      <c r="AF11" s="200"/>
      <c r="AG11" s="121">
        <f t="shared" si="10"/>
        <v>0</v>
      </c>
      <c r="AH11" s="121">
        <f t="shared" si="11"/>
        <v>0</v>
      </c>
      <c r="AI11" s="121">
        <f t="shared" si="12"/>
        <v>0</v>
      </c>
    </row>
    <row r="12" spans="2:35" s="122" customFormat="1" ht="20.25" customHeight="1" x14ac:dyDescent="0.55000000000000004">
      <c r="B12" s="155">
        <v>43225</v>
      </c>
      <c r="C12" s="275">
        <v>0</v>
      </c>
      <c r="D12" s="266">
        <v>0</v>
      </c>
      <c r="E12" s="267">
        <v>0</v>
      </c>
      <c r="F12" s="266">
        <v>0</v>
      </c>
      <c r="G12" s="267">
        <v>0</v>
      </c>
      <c r="H12" s="254">
        <v>0</v>
      </c>
      <c r="I12" s="298">
        <v>0</v>
      </c>
      <c r="J12" s="154"/>
      <c r="K12" s="255"/>
      <c r="L12" s="256"/>
      <c r="M12" s="256"/>
      <c r="N12" s="201" t="str">
        <f t="shared" si="0"/>
        <v/>
      </c>
      <c r="O12" s="257"/>
      <c r="P12" s="268">
        <f t="shared" si="2"/>
        <v>0</v>
      </c>
      <c r="Q12" s="258">
        <f t="shared" si="1"/>
        <v>0</v>
      </c>
      <c r="R12" s="259">
        <v>0</v>
      </c>
      <c r="S12" s="269">
        <v>0</v>
      </c>
      <c r="T12" s="260">
        <v>0</v>
      </c>
      <c r="U12" s="270"/>
      <c r="V12" s="270"/>
      <c r="W12" s="258">
        <f t="shared" si="3"/>
        <v>0</v>
      </c>
      <c r="X12" s="261" t="str">
        <f t="shared" si="4"/>
        <v/>
      </c>
      <c r="Y12" s="262">
        <f t="shared" si="5"/>
        <v>0</v>
      </c>
      <c r="Z12" s="263">
        <f t="shared" si="6"/>
        <v>0</v>
      </c>
      <c r="AA12" s="271">
        <f t="shared" si="7"/>
        <v>0</v>
      </c>
      <c r="AB12" s="271">
        <f t="shared" si="8"/>
        <v>0</v>
      </c>
      <c r="AC12" s="264">
        <f t="shared" si="9"/>
        <v>0</v>
      </c>
      <c r="AD12" s="265"/>
      <c r="AE12" s="272"/>
      <c r="AF12" s="200"/>
      <c r="AG12" s="121">
        <f t="shared" si="10"/>
        <v>0</v>
      </c>
      <c r="AH12" s="121">
        <f t="shared" si="11"/>
        <v>0</v>
      </c>
      <c r="AI12" s="121">
        <f t="shared" si="12"/>
        <v>0</v>
      </c>
    </row>
    <row r="13" spans="2:35" s="122" customFormat="1" ht="20.25" customHeight="1" x14ac:dyDescent="0.55000000000000004">
      <c r="B13" s="155">
        <v>43226</v>
      </c>
      <c r="C13" s="280">
        <v>0</v>
      </c>
      <c r="D13" s="276">
        <v>0</v>
      </c>
      <c r="E13" s="277">
        <v>0</v>
      </c>
      <c r="F13" s="276">
        <v>0</v>
      </c>
      <c r="G13" s="267">
        <v>0</v>
      </c>
      <c r="H13" s="254">
        <v>0</v>
      </c>
      <c r="I13" s="298">
        <v>0</v>
      </c>
      <c r="J13" s="154"/>
      <c r="K13" s="281"/>
      <c r="L13" s="278"/>
      <c r="M13" s="278"/>
      <c r="N13" s="201" t="str">
        <f t="shared" si="0"/>
        <v/>
      </c>
      <c r="O13" s="282"/>
      <c r="P13" s="268">
        <f t="shared" si="2"/>
        <v>0</v>
      </c>
      <c r="Q13" s="283">
        <f t="shared" si="1"/>
        <v>0</v>
      </c>
      <c r="R13" s="284">
        <v>0</v>
      </c>
      <c r="S13" s="285">
        <v>0</v>
      </c>
      <c r="T13" s="286">
        <v>0</v>
      </c>
      <c r="U13" s="287"/>
      <c r="V13" s="287"/>
      <c r="W13" s="258">
        <f t="shared" si="3"/>
        <v>0</v>
      </c>
      <c r="X13" s="261" t="str">
        <f>IFERROR(C13/J13,"")</f>
        <v/>
      </c>
      <c r="Y13" s="262">
        <f t="shared" si="5"/>
        <v>0</v>
      </c>
      <c r="Z13" s="263">
        <f t="shared" si="6"/>
        <v>0</v>
      </c>
      <c r="AA13" s="271">
        <f t="shared" si="7"/>
        <v>0</v>
      </c>
      <c r="AB13" s="271">
        <f t="shared" si="8"/>
        <v>0</v>
      </c>
      <c r="AC13" s="264">
        <f t="shared" si="9"/>
        <v>0</v>
      </c>
      <c r="AD13" s="288"/>
      <c r="AE13" s="289"/>
      <c r="AF13" s="120"/>
      <c r="AG13" s="121">
        <f t="shared" si="10"/>
        <v>0</v>
      </c>
      <c r="AH13" s="121">
        <f t="shared" si="11"/>
        <v>0</v>
      </c>
      <c r="AI13" s="121">
        <f t="shared" si="12"/>
        <v>0</v>
      </c>
    </row>
    <row r="14" spans="2:35" s="38" customFormat="1" ht="20.25" customHeight="1" x14ac:dyDescent="0.55000000000000004">
      <c r="B14" s="308">
        <v>43227</v>
      </c>
      <c r="C14" s="309"/>
      <c r="D14" s="297"/>
      <c r="E14" s="296"/>
      <c r="F14" s="297"/>
      <c r="G14" s="296"/>
      <c r="H14" s="279"/>
      <c r="I14" s="298"/>
      <c r="J14" s="299"/>
      <c r="K14" s="310"/>
      <c r="L14" s="300"/>
      <c r="M14" s="300"/>
      <c r="N14" s="298" t="str">
        <f t="shared" ref="N14:N23" si="13">IFERROR(+M14/J14,"")</f>
        <v/>
      </c>
      <c r="O14" s="311"/>
      <c r="P14" s="39">
        <f t="shared" si="2"/>
        <v>0</v>
      </c>
      <c r="Q14" s="301">
        <f t="shared" si="1"/>
        <v>0</v>
      </c>
      <c r="R14" s="302">
        <v>0</v>
      </c>
      <c r="S14" s="303">
        <v>0</v>
      </c>
      <c r="T14" s="304">
        <v>0</v>
      </c>
      <c r="U14" s="305"/>
      <c r="V14" s="305"/>
      <c r="W14" s="40">
        <f t="shared" si="3"/>
        <v>0</v>
      </c>
      <c r="X14" s="41" t="str">
        <f t="shared" si="4"/>
        <v/>
      </c>
      <c r="Y14" s="42">
        <f t="shared" si="5"/>
        <v>0</v>
      </c>
      <c r="Z14" s="43">
        <f t="shared" si="6"/>
        <v>0</v>
      </c>
      <c r="AA14" s="146">
        <f t="shared" si="7"/>
        <v>0</v>
      </c>
      <c r="AB14" s="146">
        <f t="shared" si="8"/>
        <v>0</v>
      </c>
      <c r="AC14" s="44">
        <f t="shared" si="9"/>
        <v>0</v>
      </c>
      <c r="AD14" s="306"/>
      <c r="AE14" s="307"/>
      <c r="AF14" s="36"/>
      <c r="AG14" s="14">
        <f t="shared" si="10"/>
        <v>0</v>
      </c>
      <c r="AH14" s="14">
        <f t="shared" si="11"/>
        <v>0</v>
      </c>
      <c r="AI14" s="14">
        <f t="shared" si="12"/>
        <v>0</v>
      </c>
    </row>
    <row r="15" spans="2:35" s="38" customFormat="1" ht="20.25" customHeight="1" x14ac:dyDescent="0.55000000000000004">
      <c r="B15" s="308">
        <v>43228</v>
      </c>
      <c r="C15" s="309"/>
      <c r="D15" s="297"/>
      <c r="E15" s="296"/>
      <c r="F15" s="297"/>
      <c r="G15" s="296"/>
      <c r="H15" s="279"/>
      <c r="I15" s="298"/>
      <c r="J15" s="299"/>
      <c r="K15" s="310"/>
      <c r="L15" s="310"/>
      <c r="M15" s="300"/>
      <c r="N15" s="298" t="str">
        <f t="shared" si="13"/>
        <v/>
      </c>
      <c r="O15" s="311"/>
      <c r="P15" s="39">
        <v>0</v>
      </c>
      <c r="Q15" s="301">
        <v>0</v>
      </c>
      <c r="R15" s="302">
        <v>0</v>
      </c>
      <c r="S15" s="303">
        <v>0</v>
      </c>
      <c r="T15" s="304">
        <v>0</v>
      </c>
      <c r="U15" s="305"/>
      <c r="V15" s="305"/>
      <c r="W15" s="40">
        <f t="shared" si="3"/>
        <v>0</v>
      </c>
      <c r="X15" s="41" t="str">
        <f t="shared" si="4"/>
        <v/>
      </c>
      <c r="Y15" s="42">
        <v>0</v>
      </c>
      <c r="Z15" s="43">
        <v>0</v>
      </c>
      <c r="AA15" s="146">
        <v>0</v>
      </c>
      <c r="AB15" s="146">
        <v>0</v>
      </c>
      <c r="AC15" s="44">
        <v>0</v>
      </c>
      <c r="AD15" s="306"/>
      <c r="AE15" s="307"/>
      <c r="AF15" s="36"/>
      <c r="AG15" s="14">
        <v>0</v>
      </c>
      <c r="AH15" s="14">
        <v>0</v>
      </c>
      <c r="AI15" s="14">
        <v>0</v>
      </c>
    </row>
    <row r="16" spans="2:35" s="38" customFormat="1" ht="20.25" customHeight="1" x14ac:dyDescent="0.55000000000000004">
      <c r="B16" s="308">
        <v>43229</v>
      </c>
      <c r="C16" s="309"/>
      <c r="D16" s="297"/>
      <c r="E16" s="296"/>
      <c r="F16" s="297"/>
      <c r="G16" s="296"/>
      <c r="H16" s="279"/>
      <c r="I16" s="298"/>
      <c r="J16" s="299"/>
      <c r="K16" s="310"/>
      <c r="L16" s="300"/>
      <c r="M16" s="300"/>
      <c r="N16" s="298" t="str">
        <f t="shared" si="13"/>
        <v/>
      </c>
      <c r="O16" s="311"/>
      <c r="P16" s="39">
        <f t="shared" si="2"/>
        <v>0</v>
      </c>
      <c r="Q16" s="301">
        <f t="shared" si="1"/>
        <v>0</v>
      </c>
      <c r="R16" s="302">
        <v>0</v>
      </c>
      <c r="S16" s="303">
        <v>0</v>
      </c>
      <c r="T16" s="304">
        <f t="shared" ref="T16:T38" si="14">R16+S16</f>
        <v>0</v>
      </c>
      <c r="U16" s="305"/>
      <c r="V16" s="305"/>
      <c r="W16" s="40">
        <f t="shared" si="3"/>
        <v>0</v>
      </c>
      <c r="X16" s="41" t="str">
        <f t="shared" si="4"/>
        <v/>
      </c>
      <c r="Y16" s="42">
        <f t="shared" si="5"/>
        <v>0</v>
      </c>
      <c r="Z16" s="43">
        <f t="shared" si="6"/>
        <v>0</v>
      </c>
      <c r="AA16" s="146">
        <f t="shared" si="7"/>
        <v>0</v>
      </c>
      <c r="AB16" s="146">
        <f t="shared" si="8"/>
        <v>0</v>
      </c>
      <c r="AC16" s="44">
        <f t="shared" si="9"/>
        <v>0</v>
      </c>
      <c r="AD16" s="306"/>
      <c r="AE16" s="307"/>
      <c r="AF16" s="36"/>
      <c r="AG16" s="14">
        <f t="shared" si="10"/>
        <v>0</v>
      </c>
      <c r="AH16" s="14">
        <f t="shared" si="11"/>
        <v>0</v>
      </c>
      <c r="AI16" s="14">
        <f t="shared" si="12"/>
        <v>0</v>
      </c>
    </row>
    <row r="17" spans="2:35" s="38" customFormat="1" ht="20.25" customHeight="1" x14ac:dyDescent="0.55000000000000004">
      <c r="B17" s="308">
        <v>43230</v>
      </c>
      <c r="C17" s="309"/>
      <c r="D17" s="297"/>
      <c r="E17" s="296"/>
      <c r="F17" s="297"/>
      <c r="G17" s="296"/>
      <c r="H17" s="279"/>
      <c r="I17" s="298"/>
      <c r="J17" s="299"/>
      <c r="K17" s="310"/>
      <c r="L17" s="300"/>
      <c r="M17" s="300"/>
      <c r="N17" s="298" t="str">
        <f t="shared" si="13"/>
        <v/>
      </c>
      <c r="O17" s="311"/>
      <c r="P17" s="39">
        <f t="shared" si="2"/>
        <v>0</v>
      </c>
      <c r="Q17" s="301">
        <f t="shared" si="1"/>
        <v>0</v>
      </c>
      <c r="R17" s="302">
        <v>0</v>
      </c>
      <c r="S17" s="303">
        <v>0</v>
      </c>
      <c r="T17" s="304">
        <f t="shared" si="14"/>
        <v>0</v>
      </c>
      <c r="U17" s="305"/>
      <c r="V17" s="305"/>
      <c r="W17" s="40">
        <f t="shared" si="3"/>
        <v>0</v>
      </c>
      <c r="X17" s="41" t="str">
        <f t="shared" si="4"/>
        <v/>
      </c>
      <c r="Y17" s="42">
        <f t="shared" si="5"/>
        <v>0</v>
      </c>
      <c r="Z17" s="43">
        <f t="shared" si="6"/>
        <v>0</v>
      </c>
      <c r="AA17" s="146">
        <f t="shared" si="7"/>
        <v>0</v>
      </c>
      <c r="AB17" s="146">
        <f t="shared" si="8"/>
        <v>0</v>
      </c>
      <c r="AC17" s="44">
        <f t="shared" si="9"/>
        <v>0</v>
      </c>
      <c r="AD17" s="306"/>
      <c r="AE17" s="307"/>
      <c r="AF17" s="36"/>
      <c r="AG17" s="14">
        <f t="shared" si="10"/>
        <v>0</v>
      </c>
      <c r="AH17" s="14">
        <f t="shared" si="11"/>
        <v>0</v>
      </c>
      <c r="AI17" s="14">
        <f t="shared" si="12"/>
        <v>0</v>
      </c>
    </row>
    <row r="18" spans="2:35" s="122" customFormat="1" ht="19.5" customHeight="1" x14ac:dyDescent="0.55000000000000004">
      <c r="B18" s="155">
        <v>43231</v>
      </c>
      <c r="C18" s="280"/>
      <c r="D18" s="276"/>
      <c r="E18" s="277"/>
      <c r="F18" s="276"/>
      <c r="G18" s="277"/>
      <c r="H18" s="254"/>
      <c r="I18" s="298"/>
      <c r="J18" s="154"/>
      <c r="K18" s="281"/>
      <c r="L18" s="278"/>
      <c r="M18" s="278"/>
      <c r="N18" s="201" t="str">
        <f t="shared" si="13"/>
        <v/>
      </c>
      <c r="O18" s="282"/>
      <c r="P18" s="268">
        <f t="shared" si="2"/>
        <v>0</v>
      </c>
      <c r="Q18" s="283">
        <f>H18+P18</f>
        <v>0</v>
      </c>
      <c r="R18" s="284">
        <v>0</v>
      </c>
      <c r="S18" s="285">
        <v>0</v>
      </c>
      <c r="T18" s="286">
        <f t="shared" si="14"/>
        <v>0</v>
      </c>
      <c r="U18" s="287"/>
      <c r="V18" s="287"/>
      <c r="W18" s="258">
        <f t="shared" si="3"/>
        <v>0</v>
      </c>
      <c r="X18" s="261" t="str">
        <f t="shared" si="4"/>
        <v/>
      </c>
      <c r="Y18" s="262">
        <f t="shared" si="5"/>
        <v>0</v>
      </c>
      <c r="Z18" s="263">
        <f t="shared" si="6"/>
        <v>0</v>
      </c>
      <c r="AA18" s="271">
        <f t="shared" si="7"/>
        <v>0</v>
      </c>
      <c r="AB18" s="271">
        <f t="shared" si="8"/>
        <v>0</v>
      </c>
      <c r="AC18" s="264">
        <f t="shared" si="9"/>
        <v>0</v>
      </c>
      <c r="AD18" s="288"/>
      <c r="AE18" s="289"/>
      <c r="AF18" s="120"/>
      <c r="AG18" s="121">
        <f t="shared" si="10"/>
        <v>0</v>
      </c>
      <c r="AH18" s="121">
        <f t="shared" si="11"/>
        <v>0</v>
      </c>
      <c r="AI18" s="121">
        <f t="shared" si="12"/>
        <v>0</v>
      </c>
    </row>
    <row r="19" spans="2:35" s="122" customFormat="1" ht="20.25" customHeight="1" x14ac:dyDescent="0.55000000000000004">
      <c r="B19" s="155">
        <v>43232</v>
      </c>
      <c r="C19" s="280"/>
      <c r="D19" s="276"/>
      <c r="E19" s="277"/>
      <c r="F19" s="276"/>
      <c r="G19" s="277"/>
      <c r="H19" s="254"/>
      <c r="I19" s="298"/>
      <c r="J19" s="154"/>
      <c r="K19" s="281"/>
      <c r="L19" s="278"/>
      <c r="M19" s="278"/>
      <c r="N19" s="201" t="str">
        <f t="shared" si="13"/>
        <v/>
      </c>
      <c r="O19" s="282"/>
      <c r="P19" s="268">
        <v>0</v>
      </c>
      <c r="Q19" s="283">
        <v>0</v>
      </c>
      <c r="R19" s="284">
        <v>0</v>
      </c>
      <c r="S19" s="285">
        <v>0</v>
      </c>
      <c r="T19" s="286">
        <v>0</v>
      </c>
      <c r="U19" s="287"/>
      <c r="V19" s="287"/>
      <c r="W19" s="258">
        <v>0</v>
      </c>
      <c r="X19" s="261" t="str">
        <f t="shared" si="4"/>
        <v/>
      </c>
      <c r="Y19" s="262">
        <v>0</v>
      </c>
      <c r="Z19" s="263">
        <v>0</v>
      </c>
      <c r="AA19" s="271">
        <v>0</v>
      </c>
      <c r="AB19" s="271">
        <v>0</v>
      </c>
      <c r="AC19" s="264">
        <v>0</v>
      </c>
      <c r="AD19" s="288"/>
      <c r="AE19" s="289"/>
      <c r="AF19" s="120"/>
      <c r="AG19" s="121">
        <v>0</v>
      </c>
      <c r="AH19" s="121">
        <v>0</v>
      </c>
      <c r="AI19" s="121">
        <v>0</v>
      </c>
    </row>
    <row r="20" spans="2:35" s="122" customFormat="1" ht="20.25" customHeight="1" x14ac:dyDescent="0.55000000000000004">
      <c r="B20" s="155">
        <v>43233</v>
      </c>
      <c r="C20" s="275"/>
      <c r="D20" s="293"/>
      <c r="E20" s="277"/>
      <c r="F20" s="276"/>
      <c r="G20" s="277"/>
      <c r="H20" s="254"/>
      <c r="I20" s="201" t="str">
        <f t="shared" ref="I20:I38" si="15">IFERROR(+H20/C20,"")</f>
        <v/>
      </c>
      <c r="J20" s="154"/>
      <c r="K20" s="278"/>
      <c r="L20" s="278"/>
      <c r="M20" s="278"/>
      <c r="N20" s="201" t="str">
        <f t="shared" si="13"/>
        <v/>
      </c>
      <c r="O20" s="282"/>
      <c r="P20" s="268">
        <f t="shared" si="2"/>
        <v>0</v>
      </c>
      <c r="Q20" s="283">
        <f t="shared" si="1"/>
        <v>0</v>
      </c>
      <c r="R20" s="284">
        <v>0</v>
      </c>
      <c r="S20" s="285">
        <v>0</v>
      </c>
      <c r="T20" s="286">
        <f t="shared" si="14"/>
        <v>0</v>
      </c>
      <c r="U20" s="287"/>
      <c r="V20" s="287"/>
      <c r="W20" s="258">
        <f t="shared" si="3"/>
        <v>0</v>
      </c>
      <c r="X20" s="261" t="str">
        <f t="shared" si="4"/>
        <v/>
      </c>
      <c r="Y20" s="262">
        <f t="shared" si="5"/>
        <v>0</v>
      </c>
      <c r="Z20" s="263">
        <f t="shared" si="6"/>
        <v>0</v>
      </c>
      <c r="AA20" s="271">
        <f t="shared" si="7"/>
        <v>0</v>
      </c>
      <c r="AB20" s="271">
        <f t="shared" si="8"/>
        <v>0</v>
      </c>
      <c r="AC20" s="264">
        <f t="shared" si="9"/>
        <v>0</v>
      </c>
      <c r="AD20" s="288"/>
      <c r="AE20" s="289"/>
      <c r="AF20" s="120"/>
      <c r="AG20" s="121">
        <f t="shared" si="10"/>
        <v>0</v>
      </c>
      <c r="AH20" s="121">
        <f t="shared" si="11"/>
        <v>0</v>
      </c>
      <c r="AI20" s="121">
        <f t="shared" si="12"/>
        <v>0</v>
      </c>
    </row>
    <row r="21" spans="2:35" s="38" customFormat="1" ht="20.25" customHeight="1" x14ac:dyDescent="0.55000000000000004">
      <c r="B21" s="155">
        <v>43234</v>
      </c>
      <c r="C21" s="294"/>
      <c r="D21" s="295"/>
      <c r="E21" s="296"/>
      <c r="F21" s="297"/>
      <c r="G21" s="296"/>
      <c r="H21" s="279"/>
      <c r="I21" s="298" t="str">
        <f t="shared" si="15"/>
        <v/>
      </c>
      <c r="J21" s="299"/>
      <c r="K21" s="300"/>
      <c r="L21" s="300"/>
      <c r="M21" s="300"/>
      <c r="N21" s="201" t="str">
        <f t="shared" si="13"/>
        <v/>
      </c>
      <c r="O21" s="282"/>
      <c r="P21" s="39">
        <f t="shared" si="2"/>
        <v>0</v>
      </c>
      <c r="Q21" s="301">
        <f t="shared" si="1"/>
        <v>0</v>
      </c>
      <c r="R21" s="302">
        <v>0</v>
      </c>
      <c r="S21" s="303">
        <v>0</v>
      </c>
      <c r="T21" s="304">
        <f t="shared" si="14"/>
        <v>0</v>
      </c>
      <c r="U21" s="305"/>
      <c r="V21" s="305"/>
      <c r="W21" s="40">
        <f t="shared" ref="W21:W38" si="16">+U21+V21</f>
        <v>0</v>
      </c>
      <c r="X21" s="41" t="str">
        <f t="shared" si="4"/>
        <v/>
      </c>
      <c r="Y21" s="42">
        <f t="shared" si="5"/>
        <v>0</v>
      </c>
      <c r="Z21" s="43">
        <f t="shared" si="6"/>
        <v>0</v>
      </c>
      <c r="AA21" s="146">
        <f t="shared" si="7"/>
        <v>0</v>
      </c>
      <c r="AB21" s="146">
        <f t="shared" si="8"/>
        <v>0</v>
      </c>
      <c r="AC21" s="44">
        <f t="shared" si="9"/>
        <v>0</v>
      </c>
      <c r="AD21" s="306"/>
      <c r="AE21" s="307"/>
      <c r="AF21" s="36"/>
      <c r="AG21" s="14">
        <f t="shared" si="10"/>
        <v>0</v>
      </c>
      <c r="AH21" s="14">
        <f t="shared" si="11"/>
        <v>0</v>
      </c>
      <c r="AI21" s="14">
        <f t="shared" si="12"/>
        <v>0</v>
      </c>
    </row>
    <row r="22" spans="2:35" s="292" customFormat="1" ht="20.25" customHeight="1" x14ac:dyDescent="0.55000000000000004">
      <c r="B22" s="155">
        <v>43235</v>
      </c>
      <c r="C22" s="273"/>
      <c r="D22" s="246"/>
      <c r="E22" s="250"/>
      <c r="F22" s="238"/>
      <c r="G22" s="239"/>
      <c r="H22" s="229"/>
      <c r="I22" s="230" t="str">
        <f t="shared" si="15"/>
        <v/>
      </c>
      <c r="J22" s="253"/>
      <c r="K22" s="240"/>
      <c r="L22" s="240"/>
      <c r="M22" s="240"/>
      <c r="N22" s="201" t="str">
        <f t="shared" si="13"/>
        <v/>
      </c>
      <c r="O22" s="282"/>
      <c r="P22" s="231">
        <f t="shared" si="2"/>
        <v>0</v>
      </c>
      <c r="Q22" s="241">
        <f t="shared" si="1"/>
        <v>0</v>
      </c>
      <c r="R22" s="242">
        <v>0</v>
      </c>
      <c r="S22" s="243">
        <v>0</v>
      </c>
      <c r="T22" s="244">
        <f t="shared" si="14"/>
        <v>0</v>
      </c>
      <c r="U22" s="245"/>
      <c r="V22" s="245"/>
      <c r="W22" s="232">
        <f t="shared" si="16"/>
        <v>0</v>
      </c>
      <c r="X22" s="233" t="str">
        <f t="shared" si="4"/>
        <v/>
      </c>
      <c r="Y22" s="234">
        <f t="shared" si="5"/>
        <v>0</v>
      </c>
      <c r="Z22" s="235">
        <f t="shared" si="6"/>
        <v>0</v>
      </c>
      <c r="AA22" s="236">
        <f t="shared" si="7"/>
        <v>0</v>
      </c>
      <c r="AB22" s="236">
        <f t="shared" si="8"/>
        <v>0</v>
      </c>
      <c r="AC22" s="237">
        <f t="shared" si="9"/>
        <v>0</v>
      </c>
      <c r="AD22" s="248"/>
      <c r="AE22" s="249"/>
      <c r="AF22" s="290"/>
      <c r="AG22" s="291">
        <f t="shared" si="10"/>
        <v>0</v>
      </c>
      <c r="AH22" s="291">
        <f t="shared" si="11"/>
        <v>0</v>
      </c>
      <c r="AI22" s="291">
        <f t="shared" si="12"/>
        <v>0</v>
      </c>
    </row>
    <row r="23" spans="2:35" s="292" customFormat="1" ht="20.25" customHeight="1" x14ac:dyDescent="0.55000000000000004">
      <c r="B23" s="155">
        <v>43236</v>
      </c>
      <c r="C23" s="273"/>
      <c r="D23" s="246"/>
      <c r="E23" s="250"/>
      <c r="F23" s="246"/>
      <c r="G23" s="239"/>
      <c r="H23" s="229"/>
      <c r="I23" s="230" t="str">
        <f t="shared" si="15"/>
        <v/>
      </c>
      <c r="J23" s="253"/>
      <c r="K23" s="240"/>
      <c r="L23" s="240"/>
      <c r="M23" s="240"/>
      <c r="N23" s="201" t="str">
        <f t="shared" si="13"/>
        <v/>
      </c>
      <c r="O23" s="282"/>
      <c r="P23" s="231">
        <f t="shared" si="2"/>
        <v>0</v>
      </c>
      <c r="Q23" s="241">
        <f t="shared" si="1"/>
        <v>0</v>
      </c>
      <c r="R23" s="242">
        <v>0</v>
      </c>
      <c r="S23" s="243">
        <v>0</v>
      </c>
      <c r="T23" s="244">
        <f t="shared" si="14"/>
        <v>0</v>
      </c>
      <c r="U23" s="245"/>
      <c r="V23" s="245"/>
      <c r="W23" s="232">
        <f t="shared" si="16"/>
        <v>0</v>
      </c>
      <c r="X23" s="233" t="str">
        <f t="shared" si="4"/>
        <v/>
      </c>
      <c r="Y23" s="234">
        <f t="shared" si="5"/>
        <v>0</v>
      </c>
      <c r="Z23" s="235">
        <f t="shared" si="6"/>
        <v>0</v>
      </c>
      <c r="AA23" s="236">
        <f t="shared" si="7"/>
        <v>0</v>
      </c>
      <c r="AB23" s="236">
        <f t="shared" si="8"/>
        <v>0</v>
      </c>
      <c r="AC23" s="237">
        <f t="shared" si="9"/>
        <v>0</v>
      </c>
      <c r="AD23" s="248"/>
      <c r="AE23" s="249"/>
      <c r="AF23" s="290"/>
      <c r="AG23" s="291">
        <f t="shared" si="10"/>
        <v>0</v>
      </c>
      <c r="AH23" s="291">
        <f t="shared" si="11"/>
        <v>0</v>
      </c>
      <c r="AI23" s="291">
        <f t="shared" si="12"/>
        <v>0</v>
      </c>
    </row>
    <row r="24" spans="2:35" s="292" customFormat="1" ht="20.25" customHeight="1" x14ac:dyDescent="0.55000000000000004">
      <c r="B24" s="155">
        <v>43237</v>
      </c>
      <c r="C24" s="273"/>
      <c r="D24" s="246"/>
      <c r="E24" s="250"/>
      <c r="F24" s="238"/>
      <c r="G24" s="239"/>
      <c r="H24" s="229"/>
      <c r="I24" s="230" t="str">
        <f t="shared" si="15"/>
        <v/>
      </c>
      <c r="J24" s="253"/>
      <c r="K24" s="240"/>
      <c r="L24" s="240"/>
      <c r="M24" s="240"/>
      <c r="N24" s="230" t="str">
        <f t="shared" ref="N24:N38" si="17">IFERROR(+M24/J24,"")</f>
        <v/>
      </c>
      <c r="O24" s="247"/>
      <c r="P24" s="231">
        <f t="shared" si="2"/>
        <v>0</v>
      </c>
      <c r="Q24" s="241">
        <f t="shared" si="1"/>
        <v>0</v>
      </c>
      <c r="R24" s="242">
        <v>0</v>
      </c>
      <c r="S24" s="243">
        <v>0</v>
      </c>
      <c r="T24" s="244">
        <f t="shared" si="14"/>
        <v>0</v>
      </c>
      <c r="U24" s="245"/>
      <c r="V24" s="245"/>
      <c r="W24" s="232">
        <f t="shared" si="16"/>
        <v>0</v>
      </c>
      <c r="X24" s="233" t="str">
        <f t="shared" si="4"/>
        <v/>
      </c>
      <c r="Y24" s="234">
        <f t="shared" si="5"/>
        <v>0</v>
      </c>
      <c r="Z24" s="235">
        <f t="shared" si="6"/>
        <v>0</v>
      </c>
      <c r="AA24" s="236">
        <f t="shared" si="7"/>
        <v>0</v>
      </c>
      <c r="AB24" s="236">
        <f t="shared" si="8"/>
        <v>0</v>
      </c>
      <c r="AC24" s="237">
        <f t="shared" si="9"/>
        <v>0</v>
      </c>
      <c r="AD24" s="248"/>
      <c r="AE24" s="249"/>
      <c r="AF24" s="290"/>
      <c r="AG24" s="291">
        <f t="shared" si="10"/>
        <v>0</v>
      </c>
      <c r="AH24" s="291">
        <f t="shared" si="11"/>
        <v>0</v>
      </c>
      <c r="AI24" s="291">
        <f t="shared" si="12"/>
        <v>0</v>
      </c>
    </row>
    <row r="25" spans="2:35" s="292" customFormat="1" ht="20.25" customHeight="1" x14ac:dyDescent="0.55000000000000004">
      <c r="B25" s="155">
        <v>43238</v>
      </c>
      <c r="C25" s="273"/>
      <c r="D25" s="246"/>
      <c r="E25" s="250"/>
      <c r="F25" s="238"/>
      <c r="G25" s="239"/>
      <c r="H25" s="229"/>
      <c r="I25" s="230" t="str">
        <f t="shared" si="15"/>
        <v/>
      </c>
      <c r="J25" s="253"/>
      <c r="K25" s="240"/>
      <c r="L25" s="240"/>
      <c r="M25" s="240"/>
      <c r="N25" s="230" t="str">
        <f t="shared" si="17"/>
        <v/>
      </c>
      <c r="O25" s="247"/>
      <c r="P25" s="231">
        <f t="shared" si="2"/>
        <v>0</v>
      </c>
      <c r="Q25" s="241">
        <f t="shared" si="1"/>
        <v>0</v>
      </c>
      <c r="R25" s="242">
        <v>0</v>
      </c>
      <c r="S25" s="243">
        <v>0</v>
      </c>
      <c r="T25" s="244">
        <f t="shared" si="14"/>
        <v>0</v>
      </c>
      <c r="U25" s="245"/>
      <c r="V25" s="245"/>
      <c r="W25" s="232">
        <f t="shared" si="16"/>
        <v>0</v>
      </c>
      <c r="X25" s="233" t="str">
        <f t="shared" si="4"/>
        <v/>
      </c>
      <c r="Y25" s="234">
        <f t="shared" si="5"/>
        <v>0</v>
      </c>
      <c r="Z25" s="235">
        <f t="shared" si="6"/>
        <v>0</v>
      </c>
      <c r="AA25" s="236">
        <f t="shared" si="7"/>
        <v>0</v>
      </c>
      <c r="AB25" s="236">
        <f t="shared" si="8"/>
        <v>0</v>
      </c>
      <c r="AC25" s="237">
        <f t="shared" si="9"/>
        <v>0</v>
      </c>
      <c r="AD25" s="248"/>
      <c r="AE25" s="249"/>
      <c r="AF25" s="290"/>
      <c r="AG25" s="291">
        <f t="shared" si="10"/>
        <v>0</v>
      </c>
      <c r="AH25" s="291">
        <f t="shared" si="11"/>
        <v>0</v>
      </c>
      <c r="AI25" s="291">
        <f t="shared" si="12"/>
        <v>0</v>
      </c>
    </row>
    <row r="26" spans="2:35" s="292" customFormat="1" ht="20.25" customHeight="1" x14ac:dyDescent="0.55000000000000004">
      <c r="B26" s="155">
        <v>43239</v>
      </c>
      <c r="C26" s="273"/>
      <c r="D26" s="246"/>
      <c r="E26" s="250"/>
      <c r="F26" s="238"/>
      <c r="G26" s="239"/>
      <c r="H26" s="229"/>
      <c r="I26" s="230" t="str">
        <f t="shared" si="15"/>
        <v/>
      </c>
      <c r="J26" s="253"/>
      <c r="K26" s="251"/>
      <c r="L26" s="240"/>
      <c r="M26" s="240"/>
      <c r="N26" s="230" t="str">
        <f t="shared" si="17"/>
        <v/>
      </c>
      <c r="O26" s="247"/>
      <c r="P26" s="231">
        <f t="shared" si="2"/>
        <v>0</v>
      </c>
      <c r="Q26" s="241">
        <f t="shared" si="1"/>
        <v>0</v>
      </c>
      <c r="R26" s="242">
        <v>0</v>
      </c>
      <c r="S26" s="243">
        <v>0</v>
      </c>
      <c r="T26" s="244">
        <f t="shared" si="14"/>
        <v>0</v>
      </c>
      <c r="U26" s="245"/>
      <c r="V26" s="245"/>
      <c r="W26" s="232">
        <f t="shared" si="16"/>
        <v>0</v>
      </c>
      <c r="X26" s="233" t="str">
        <f t="shared" si="4"/>
        <v/>
      </c>
      <c r="Y26" s="234">
        <f t="shared" si="5"/>
        <v>0</v>
      </c>
      <c r="Z26" s="235">
        <f t="shared" si="6"/>
        <v>0</v>
      </c>
      <c r="AA26" s="236">
        <f t="shared" si="7"/>
        <v>0</v>
      </c>
      <c r="AB26" s="236">
        <f t="shared" si="8"/>
        <v>0</v>
      </c>
      <c r="AC26" s="237">
        <f t="shared" si="9"/>
        <v>0</v>
      </c>
      <c r="AD26" s="248"/>
      <c r="AE26" s="249"/>
      <c r="AF26" s="290"/>
      <c r="AG26" s="291">
        <f t="shared" si="10"/>
        <v>0</v>
      </c>
      <c r="AH26" s="291">
        <f t="shared" si="11"/>
        <v>0</v>
      </c>
      <c r="AI26" s="291">
        <f t="shared" si="12"/>
        <v>0</v>
      </c>
    </row>
    <row r="27" spans="2:35" s="292" customFormat="1" ht="20.25" customHeight="1" x14ac:dyDescent="0.55000000000000004">
      <c r="B27" s="155">
        <v>43240</v>
      </c>
      <c r="C27" s="273"/>
      <c r="D27" s="246"/>
      <c r="E27" s="250"/>
      <c r="F27" s="238"/>
      <c r="G27" s="239"/>
      <c r="H27" s="229"/>
      <c r="I27" s="230" t="str">
        <f t="shared" si="15"/>
        <v/>
      </c>
      <c r="J27" s="253"/>
      <c r="K27" s="240"/>
      <c r="L27" s="240"/>
      <c r="M27" s="240"/>
      <c r="N27" s="230" t="str">
        <f t="shared" si="17"/>
        <v/>
      </c>
      <c r="O27" s="247"/>
      <c r="P27" s="231">
        <f t="shared" si="2"/>
        <v>0</v>
      </c>
      <c r="Q27" s="241">
        <f t="shared" si="1"/>
        <v>0</v>
      </c>
      <c r="R27" s="242">
        <v>0</v>
      </c>
      <c r="S27" s="243">
        <v>0</v>
      </c>
      <c r="T27" s="244">
        <f t="shared" si="14"/>
        <v>0</v>
      </c>
      <c r="U27" s="245"/>
      <c r="V27" s="245"/>
      <c r="W27" s="232">
        <f t="shared" si="16"/>
        <v>0</v>
      </c>
      <c r="X27" s="233" t="str">
        <f t="shared" si="4"/>
        <v/>
      </c>
      <c r="Y27" s="234">
        <f t="shared" si="5"/>
        <v>0</v>
      </c>
      <c r="Z27" s="235">
        <f t="shared" si="6"/>
        <v>0</v>
      </c>
      <c r="AA27" s="236">
        <f t="shared" si="7"/>
        <v>0</v>
      </c>
      <c r="AB27" s="236">
        <f t="shared" si="8"/>
        <v>0</v>
      </c>
      <c r="AC27" s="237">
        <f t="shared" si="9"/>
        <v>0</v>
      </c>
      <c r="AD27" s="248"/>
      <c r="AE27" s="249"/>
      <c r="AF27" s="290"/>
      <c r="AG27" s="291">
        <f t="shared" si="10"/>
        <v>0</v>
      </c>
      <c r="AH27" s="291">
        <f t="shared" si="11"/>
        <v>0</v>
      </c>
      <c r="AI27" s="291">
        <f t="shared" si="12"/>
        <v>0</v>
      </c>
    </row>
    <row r="28" spans="2:35" s="292" customFormat="1" ht="20.25" customHeight="1" x14ac:dyDescent="0.55000000000000004">
      <c r="B28" s="155">
        <v>43241</v>
      </c>
      <c r="C28" s="273"/>
      <c r="D28" s="246"/>
      <c r="E28" s="250"/>
      <c r="F28" s="238"/>
      <c r="G28" s="239"/>
      <c r="H28" s="229"/>
      <c r="I28" s="230" t="str">
        <f t="shared" si="15"/>
        <v/>
      </c>
      <c r="J28" s="253"/>
      <c r="K28" s="240"/>
      <c r="L28" s="240"/>
      <c r="M28" s="240"/>
      <c r="N28" s="230" t="str">
        <f t="shared" si="17"/>
        <v/>
      </c>
      <c r="O28" s="247"/>
      <c r="P28" s="231">
        <f t="shared" si="2"/>
        <v>0</v>
      </c>
      <c r="Q28" s="241">
        <f t="shared" si="1"/>
        <v>0</v>
      </c>
      <c r="R28" s="242">
        <v>0</v>
      </c>
      <c r="S28" s="243">
        <v>0</v>
      </c>
      <c r="T28" s="244">
        <f t="shared" ref="T28:T35" si="18">R28+S28</f>
        <v>0</v>
      </c>
      <c r="U28" s="245"/>
      <c r="V28" s="245"/>
      <c r="W28" s="232">
        <f t="shared" si="16"/>
        <v>0</v>
      </c>
      <c r="X28" s="233" t="str">
        <f t="shared" si="4"/>
        <v/>
      </c>
      <c r="Y28" s="234">
        <f t="shared" si="5"/>
        <v>0</v>
      </c>
      <c r="Z28" s="235">
        <f t="shared" si="6"/>
        <v>0</v>
      </c>
      <c r="AA28" s="236">
        <f t="shared" si="7"/>
        <v>0</v>
      </c>
      <c r="AB28" s="236">
        <f t="shared" si="8"/>
        <v>0</v>
      </c>
      <c r="AC28" s="237">
        <f t="shared" si="9"/>
        <v>0</v>
      </c>
      <c r="AD28" s="248"/>
      <c r="AE28" s="249"/>
      <c r="AF28" s="290"/>
      <c r="AG28" s="291">
        <f t="shared" si="10"/>
        <v>0</v>
      </c>
      <c r="AH28" s="291">
        <f t="shared" si="11"/>
        <v>0</v>
      </c>
      <c r="AI28" s="291">
        <f t="shared" si="12"/>
        <v>0</v>
      </c>
    </row>
    <row r="29" spans="2:35" s="292" customFormat="1" ht="20.25" customHeight="1" x14ac:dyDescent="0.55000000000000004">
      <c r="B29" s="155">
        <v>43242</v>
      </c>
      <c r="C29" s="273"/>
      <c r="D29" s="246"/>
      <c r="E29" s="250"/>
      <c r="F29" s="238"/>
      <c r="G29" s="239"/>
      <c r="H29" s="229"/>
      <c r="I29" s="230" t="str">
        <f t="shared" si="15"/>
        <v/>
      </c>
      <c r="J29" s="253"/>
      <c r="K29" s="240"/>
      <c r="L29" s="240"/>
      <c r="M29" s="240"/>
      <c r="N29" s="230" t="str">
        <f t="shared" si="17"/>
        <v/>
      </c>
      <c r="O29" s="247"/>
      <c r="P29" s="231">
        <f t="shared" si="2"/>
        <v>0</v>
      </c>
      <c r="Q29" s="241">
        <f t="shared" si="1"/>
        <v>0</v>
      </c>
      <c r="R29" s="242">
        <v>0</v>
      </c>
      <c r="S29" s="243">
        <v>0</v>
      </c>
      <c r="T29" s="244">
        <f t="shared" si="18"/>
        <v>0</v>
      </c>
      <c r="U29" s="245"/>
      <c r="V29" s="245"/>
      <c r="W29" s="232">
        <f t="shared" si="16"/>
        <v>0</v>
      </c>
      <c r="X29" s="233" t="str">
        <f t="shared" si="4"/>
        <v/>
      </c>
      <c r="Y29" s="234">
        <f t="shared" si="5"/>
        <v>0</v>
      </c>
      <c r="Z29" s="235">
        <f t="shared" si="6"/>
        <v>0</v>
      </c>
      <c r="AA29" s="236">
        <f t="shared" si="7"/>
        <v>0</v>
      </c>
      <c r="AB29" s="236">
        <f t="shared" si="8"/>
        <v>0</v>
      </c>
      <c r="AC29" s="237">
        <f t="shared" si="9"/>
        <v>0</v>
      </c>
      <c r="AD29" s="248"/>
      <c r="AE29" s="249"/>
      <c r="AF29" s="290"/>
      <c r="AG29" s="291">
        <f t="shared" si="10"/>
        <v>0</v>
      </c>
      <c r="AH29" s="291">
        <f t="shared" si="11"/>
        <v>0</v>
      </c>
      <c r="AI29" s="291">
        <f t="shared" si="12"/>
        <v>0</v>
      </c>
    </row>
    <row r="30" spans="2:35" s="292" customFormat="1" ht="20.25" customHeight="1" x14ac:dyDescent="0.55000000000000004">
      <c r="B30" s="155">
        <v>43243</v>
      </c>
      <c r="C30" s="273"/>
      <c r="D30" s="246"/>
      <c r="E30" s="250"/>
      <c r="F30" s="238"/>
      <c r="G30" s="239"/>
      <c r="H30" s="229"/>
      <c r="I30" s="230" t="str">
        <f t="shared" si="15"/>
        <v/>
      </c>
      <c r="J30" s="253"/>
      <c r="K30" s="240"/>
      <c r="L30" s="240"/>
      <c r="M30" s="240"/>
      <c r="N30" s="230" t="str">
        <f t="shared" si="17"/>
        <v/>
      </c>
      <c r="O30" s="247"/>
      <c r="P30" s="231">
        <f t="shared" si="2"/>
        <v>0</v>
      </c>
      <c r="Q30" s="241">
        <f t="shared" si="1"/>
        <v>0</v>
      </c>
      <c r="R30" s="242">
        <v>0</v>
      </c>
      <c r="S30" s="243">
        <v>0</v>
      </c>
      <c r="T30" s="244">
        <f t="shared" si="18"/>
        <v>0</v>
      </c>
      <c r="U30" s="245"/>
      <c r="V30" s="245"/>
      <c r="W30" s="232">
        <f t="shared" si="16"/>
        <v>0</v>
      </c>
      <c r="X30" s="233" t="str">
        <f t="shared" si="4"/>
        <v/>
      </c>
      <c r="Y30" s="234">
        <f t="shared" si="5"/>
        <v>0</v>
      </c>
      <c r="Z30" s="235">
        <f t="shared" si="6"/>
        <v>0</v>
      </c>
      <c r="AA30" s="236">
        <f t="shared" si="7"/>
        <v>0</v>
      </c>
      <c r="AB30" s="236">
        <f t="shared" si="8"/>
        <v>0</v>
      </c>
      <c r="AC30" s="237">
        <f t="shared" si="9"/>
        <v>0</v>
      </c>
      <c r="AD30" s="248"/>
      <c r="AE30" s="249"/>
      <c r="AF30" s="290"/>
      <c r="AG30" s="291">
        <f t="shared" si="10"/>
        <v>0</v>
      </c>
      <c r="AH30" s="291">
        <f t="shared" si="11"/>
        <v>0</v>
      </c>
      <c r="AI30" s="291">
        <f t="shared" si="12"/>
        <v>0</v>
      </c>
    </row>
    <row r="31" spans="2:35" s="292" customFormat="1" ht="20.25" customHeight="1" x14ac:dyDescent="0.55000000000000004">
      <c r="B31" s="155">
        <v>43244</v>
      </c>
      <c r="C31" s="273"/>
      <c r="D31" s="246"/>
      <c r="E31" s="250"/>
      <c r="F31" s="238"/>
      <c r="G31" s="239"/>
      <c r="H31" s="229"/>
      <c r="I31" s="230" t="str">
        <f t="shared" si="15"/>
        <v/>
      </c>
      <c r="J31" s="253"/>
      <c r="K31" s="240"/>
      <c r="L31" s="240"/>
      <c r="M31" s="240"/>
      <c r="N31" s="230" t="str">
        <f t="shared" si="17"/>
        <v/>
      </c>
      <c r="O31" s="247"/>
      <c r="P31" s="231">
        <f t="shared" si="2"/>
        <v>0</v>
      </c>
      <c r="Q31" s="241">
        <f>H31+P31</f>
        <v>0</v>
      </c>
      <c r="R31" s="242">
        <v>0</v>
      </c>
      <c r="S31" s="243">
        <v>0</v>
      </c>
      <c r="T31" s="244">
        <f t="shared" si="18"/>
        <v>0</v>
      </c>
      <c r="U31" s="245"/>
      <c r="V31" s="245"/>
      <c r="W31" s="232">
        <f t="shared" si="16"/>
        <v>0</v>
      </c>
      <c r="X31" s="233" t="str">
        <f>IFERROR(C31/J31,"")</f>
        <v/>
      </c>
      <c r="Y31" s="234">
        <f>+IFERROR(H31/M31,0)</f>
        <v>0</v>
      </c>
      <c r="Z31" s="235">
        <f>IFERROR(+Y31/X31,0)</f>
        <v>0</v>
      </c>
      <c r="AA31" s="236">
        <f t="shared" ref="AA31:AB35" si="19">+IFERROR(U31/AH31,0)</f>
        <v>0</v>
      </c>
      <c r="AB31" s="236">
        <f t="shared" si="19"/>
        <v>0</v>
      </c>
      <c r="AC31" s="237">
        <f>IFERROR(W31/AG31,0)</f>
        <v>0</v>
      </c>
      <c r="AD31" s="248"/>
      <c r="AE31" s="249"/>
      <c r="AF31" s="290"/>
      <c r="AG31" s="291">
        <f>(H31+T31)+(M31/1.27)</f>
        <v>0</v>
      </c>
      <c r="AH31" s="291">
        <f>(D31+R31)+(K31/1.27)</f>
        <v>0</v>
      </c>
      <c r="AI31" s="291">
        <f>(F31+S31)+(L31/1.27)</f>
        <v>0</v>
      </c>
    </row>
    <row r="32" spans="2:35" s="292" customFormat="1" ht="20.25" customHeight="1" x14ac:dyDescent="0.55000000000000004">
      <c r="B32" s="155">
        <v>43245</v>
      </c>
      <c r="C32" s="273"/>
      <c r="D32" s="246"/>
      <c r="E32" s="250"/>
      <c r="F32" s="238"/>
      <c r="G32" s="239"/>
      <c r="H32" s="229"/>
      <c r="I32" s="230" t="str">
        <f t="shared" si="15"/>
        <v/>
      </c>
      <c r="J32" s="253"/>
      <c r="K32" s="240"/>
      <c r="L32" s="240"/>
      <c r="M32" s="240"/>
      <c r="N32" s="230" t="str">
        <f t="shared" si="17"/>
        <v/>
      </c>
      <c r="O32" s="247"/>
      <c r="P32" s="231">
        <f t="shared" si="2"/>
        <v>0</v>
      </c>
      <c r="Q32" s="241">
        <f>H32+P32</f>
        <v>0</v>
      </c>
      <c r="R32" s="242">
        <v>0</v>
      </c>
      <c r="S32" s="243">
        <v>0</v>
      </c>
      <c r="T32" s="244">
        <f t="shared" si="18"/>
        <v>0</v>
      </c>
      <c r="U32" s="245"/>
      <c r="V32" s="245"/>
      <c r="W32" s="232">
        <f t="shared" si="16"/>
        <v>0</v>
      </c>
      <c r="X32" s="233" t="str">
        <f>IFERROR(C32/J32,"")</f>
        <v/>
      </c>
      <c r="Y32" s="234">
        <f>+IFERROR(H32/M32,0)</f>
        <v>0</v>
      </c>
      <c r="Z32" s="235">
        <f>IFERROR(+Y32/X32,0)</f>
        <v>0</v>
      </c>
      <c r="AA32" s="236">
        <f t="shared" si="19"/>
        <v>0</v>
      </c>
      <c r="AB32" s="236">
        <f t="shared" si="19"/>
        <v>0</v>
      </c>
      <c r="AC32" s="237">
        <f>IFERROR(W32/AG32,0)</f>
        <v>0</v>
      </c>
      <c r="AD32" s="248"/>
      <c r="AE32" s="249"/>
      <c r="AF32" s="290"/>
      <c r="AG32" s="291">
        <f>(H32+T32)+(M32/1.27)</f>
        <v>0</v>
      </c>
      <c r="AH32" s="291">
        <f>(D32+R32)+(K32/1.27)</f>
        <v>0</v>
      </c>
      <c r="AI32" s="291">
        <f>(F32+S32)+(L32/1.27)</f>
        <v>0</v>
      </c>
    </row>
    <row r="33" spans="2:35" s="292" customFormat="1" ht="20.25" customHeight="1" x14ac:dyDescent="0.55000000000000004">
      <c r="B33" s="155">
        <v>43246</v>
      </c>
      <c r="C33" s="273"/>
      <c r="D33" s="246"/>
      <c r="E33" s="250"/>
      <c r="F33" s="238"/>
      <c r="G33" s="239"/>
      <c r="H33" s="229"/>
      <c r="I33" s="230" t="str">
        <f t="shared" si="15"/>
        <v/>
      </c>
      <c r="J33" s="253"/>
      <c r="K33" s="240"/>
      <c r="L33" s="240"/>
      <c r="M33" s="240"/>
      <c r="N33" s="230" t="str">
        <f t="shared" si="17"/>
        <v/>
      </c>
      <c r="O33" s="247"/>
      <c r="P33" s="231">
        <f t="shared" si="2"/>
        <v>0</v>
      </c>
      <c r="Q33" s="241">
        <f>H33+P33</f>
        <v>0</v>
      </c>
      <c r="R33" s="242">
        <v>0</v>
      </c>
      <c r="S33" s="243">
        <v>0</v>
      </c>
      <c r="T33" s="244">
        <f t="shared" si="18"/>
        <v>0</v>
      </c>
      <c r="U33" s="245"/>
      <c r="V33" s="245"/>
      <c r="W33" s="232">
        <f t="shared" si="16"/>
        <v>0</v>
      </c>
      <c r="X33" s="233" t="str">
        <f>IFERROR(C33/J33,"")</f>
        <v/>
      </c>
      <c r="Y33" s="234">
        <f>+IFERROR(H33/M33,0)</f>
        <v>0</v>
      </c>
      <c r="Z33" s="235">
        <f>IFERROR(+Y33/X33,0)</f>
        <v>0</v>
      </c>
      <c r="AA33" s="236">
        <f t="shared" si="19"/>
        <v>0</v>
      </c>
      <c r="AB33" s="236">
        <f t="shared" si="19"/>
        <v>0</v>
      </c>
      <c r="AC33" s="237">
        <f>IFERROR(W33/AG33,0)</f>
        <v>0</v>
      </c>
      <c r="AD33" s="248"/>
      <c r="AE33" s="249"/>
      <c r="AF33" s="290"/>
      <c r="AG33" s="291">
        <f>(H33+T33)+(M33/1.27)</f>
        <v>0</v>
      </c>
      <c r="AH33" s="291">
        <f>(D33+R33)+(K33/1.27)</f>
        <v>0</v>
      </c>
      <c r="AI33" s="291">
        <f>(F33+S33)+(L33/1.27)</f>
        <v>0</v>
      </c>
    </row>
    <row r="34" spans="2:35" s="292" customFormat="1" ht="20.25" customHeight="1" x14ac:dyDescent="0.55000000000000004">
      <c r="B34" s="155">
        <v>43247</v>
      </c>
      <c r="C34" s="273"/>
      <c r="D34" s="246"/>
      <c r="E34" s="250"/>
      <c r="F34" s="238"/>
      <c r="G34" s="239"/>
      <c r="H34" s="229"/>
      <c r="I34" s="230" t="str">
        <f t="shared" si="15"/>
        <v/>
      </c>
      <c r="J34" s="253"/>
      <c r="K34" s="240"/>
      <c r="L34" s="240"/>
      <c r="M34" s="240"/>
      <c r="N34" s="230" t="str">
        <f t="shared" si="17"/>
        <v/>
      </c>
      <c r="O34" s="247"/>
      <c r="P34" s="231">
        <f t="shared" si="2"/>
        <v>0</v>
      </c>
      <c r="Q34" s="241">
        <f>H34+P34</f>
        <v>0</v>
      </c>
      <c r="R34" s="242">
        <v>0</v>
      </c>
      <c r="S34" s="243">
        <v>0</v>
      </c>
      <c r="T34" s="244">
        <f t="shared" si="18"/>
        <v>0</v>
      </c>
      <c r="U34" s="245"/>
      <c r="V34" s="245"/>
      <c r="W34" s="232">
        <f t="shared" si="16"/>
        <v>0</v>
      </c>
      <c r="X34" s="233" t="str">
        <f>IFERROR(C34/J34,"")</f>
        <v/>
      </c>
      <c r="Y34" s="234">
        <f>+IFERROR(H34/M34,0)</f>
        <v>0</v>
      </c>
      <c r="Z34" s="235">
        <f>IFERROR(+Y34/X34,0)</f>
        <v>0</v>
      </c>
      <c r="AA34" s="236">
        <f t="shared" si="19"/>
        <v>0</v>
      </c>
      <c r="AB34" s="236">
        <f t="shared" si="19"/>
        <v>0</v>
      </c>
      <c r="AC34" s="237">
        <f>IFERROR(W34/AG34,0)</f>
        <v>0</v>
      </c>
      <c r="AD34" s="248"/>
      <c r="AE34" s="249"/>
      <c r="AF34" s="290"/>
      <c r="AG34" s="291">
        <f>(H34+T34)+(M34/1.27)</f>
        <v>0</v>
      </c>
      <c r="AH34" s="291">
        <f>(D34+R34)+(K34/1.27)</f>
        <v>0</v>
      </c>
      <c r="AI34" s="291">
        <f>(F34+S34)+(L34/1.27)</f>
        <v>0</v>
      </c>
    </row>
    <row r="35" spans="2:35" s="292" customFormat="1" ht="20.25" customHeight="1" x14ac:dyDescent="0.55000000000000004">
      <c r="B35" s="155">
        <v>43248</v>
      </c>
      <c r="C35" s="273"/>
      <c r="D35" s="246"/>
      <c r="E35" s="250"/>
      <c r="F35" s="238"/>
      <c r="G35" s="239"/>
      <c r="H35" s="229"/>
      <c r="I35" s="230" t="str">
        <f t="shared" si="15"/>
        <v/>
      </c>
      <c r="J35" s="253"/>
      <c r="K35" s="240"/>
      <c r="L35" s="240"/>
      <c r="M35" s="240"/>
      <c r="N35" s="230" t="str">
        <f t="shared" si="17"/>
        <v/>
      </c>
      <c r="O35" s="247"/>
      <c r="P35" s="231">
        <f t="shared" si="2"/>
        <v>0</v>
      </c>
      <c r="Q35" s="241">
        <f>H35+P35</f>
        <v>0</v>
      </c>
      <c r="R35" s="242">
        <v>0</v>
      </c>
      <c r="S35" s="243">
        <v>0</v>
      </c>
      <c r="T35" s="244">
        <f t="shared" si="18"/>
        <v>0</v>
      </c>
      <c r="U35" s="245"/>
      <c r="V35" s="245"/>
      <c r="W35" s="232">
        <f t="shared" si="16"/>
        <v>0</v>
      </c>
      <c r="X35" s="233" t="str">
        <f>IFERROR(C35/J35,"")</f>
        <v/>
      </c>
      <c r="Y35" s="234">
        <f>+IFERROR(H35/M35,0)</f>
        <v>0</v>
      </c>
      <c r="Z35" s="235">
        <f>IFERROR(+Y35/X35,0)</f>
        <v>0</v>
      </c>
      <c r="AA35" s="236">
        <f t="shared" si="19"/>
        <v>0</v>
      </c>
      <c r="AB35" s="236">
        <f t="shared" si="19"/>
        <v>0</v>
      </c>
      <c r="AC35" s="237">
        <f>IFERROR(W35/AG35,0)</f>
        <v>0</v>
      </c>
      <c r="AD35" s="248"/>
      <c r="AE35" s="249"/>
      <c r="AF35" s="290"/>
      <c r="AG35" s="291">
        <f>(H35+T35)+(M35/1.27)</f>
        <v>0</v>
      </c>
      <c r="AH35" s="291">
        <f>(D35+R35)+(K35/1.27)</f>
        <v>0</v>
      </c>
      <c r="AI35" s="291">
        <f>(F35+S35)+(L35/1.27)</f>
        <v>0</v>
      </c>
    </row>
    <row r="36" spans="2:35" s="292" customFormat="1" ht="20.25" customHeight="1" x14ac:dyDescent="0.55000000000000004">
      <c r="B36" s="155">
        <v>43249</v>
      </c>
      <c r="C36" s="273"/>
      <c r="D36" s="246"/>
      <c r="E36" s="250"/>
      <c r="F36" s="238"/>
      <c r="G36" s="239"/>
      <c r="H36" s="229"/>
      <c r="I36" s="230" t="str">
        <f t="shared" si="15"/>
        <v/>
      </c>
      <c r="J36" s="253"/>
      <c r="K36" s="240"/>
      <c r="L36" s="240"/>
      <c r="M36" s="240"/>
      <c r="N36" s="230" t="str">
        <f t="shared" si="17"/>
        <v/>
      </c>
      <c r="O36" s="247"/>
      <c r="P36" s="231">
        <f t="shared" si="2"/>
        <v>0</v>
      </c>
      <c r="Q36" s="241">
        <f t="shared" si="1"/>
        <v>0</v>
      </c>
      <c r="R36" s="242">
        <v>0</v>
      </c>
      <c r="S36" s="243">
        <v>0</v>
      </c>
      <c r="T36" s="244">
        <f t="shared" si="14"/>
        <v>0</v>
      </c>
      <c r="U36" s="245"/>
      <c r="V36" s="245"/>
      <c r="W36" s="232">
        <f t="shared" si="16"/>
        <v>0</v>
      </c>
      <c r="X36" s="233" t="str">
        <f t="shared" si="4"/>
        <v/>
      </c>
      <c r="Y36" s="234">
        <f t="shared" si="5"/>
        <v>0</v>
      </c>
      <c r="Z36" s="235">
        <f t="shared" si="6"/>
        <v>0</v>
      </c>
      <c r="AA36" s="236">
        <f t="shared" si="7"/>
        <v>0</v>
      </c>
      <c r="AB36" s="236">
        <f t="shared" si="8"/>
        <v>0</v>
      </c>
      <c r="AC36" s="237">
        <f t="shared" si="9"/>
        <v>0</v>
      </c>
      <c r="AD36" s="248"/>
      <c r="AE36" s="249"/>
      <c r="AF36" s="290"/>
      <c r="AG36" s="291">
        <f t="shared" si="10"/>
        <v>0</v>
      </c>
      <c r="AH36" s="291">
        <f t="shared" si="11"/>
        <v>0</v>
      </c>
      <c r="AI36" s="291">
        <f t="shared" si="12"/>
        <v>0</v>
      </c>
    </row>
    <row r="37" spans="2:35" s="292" customFormat="1" ht="20.25" customHeight="1" x14ac:dyDescent="0.55000000000000004">
      <c r="B37" s="155">
        <v>43250</v>
      </c>
      <c r="C37" s="273"/>
      <c r="D37" s="246"/>
      <c r="E37" s="250"/>
      <c r="F37" s="238"/>
      <c r="G37" s="239"/>
      <c r="H37" s="229"/>
      <c r="I37" s="230" t="str">
        <f t="shared" si="15"/>
        <v/>
      </c>
      <c r="J37" s="253"/>
      <c r="K37" s="240"/>
      <c r="L37" s="240"/>
      <c r="M37" s="240"/>
      <c r="N37" s="230" t="str">
        <f t="shared" si="17"/>
        <v/>
      </c>
      <c r="O37" s="247"/>
      <c r="P37" s="231">
        <f t="shared" si="2"/>
        <v>0</v>
      </c>
      <c r="Q37" s="241">
        <f t="shared" si="1"/>
        <v>0</v>
      </c>
      <c r="R37" s="242">
        <v>0</v>
      </c>
      <c r="S37" s="243">
        <v>0</v>
      </c>
      <c r="T37" s="244">
        <f t="shared" si="14"/>
        <v>0</v>
      </c>
      <c r="U37" s="245"/>
      <c r="V37" s="245"/>
      <c r="W37" s="232">
        <f t="shared" si="16"/>
        <v>0</v>
      </c>
      <c r="X37" s="233" t="str">
        <f t="shared" si="4"/>
        <v/>
      </c>
      <c r="Y37" s="234">
        <f t="shared" si="5"/>
        <v>0</v>
      </c>
      <c r="Z37" s="235">
        <f t="shared" si="6"/>
        <v>0</v>
      </c>
      <c r="AA37" s="236">
        <f t="shared" si="7"/>
        <v>0</v>
      </c>
      <c r="AB37" s="236">
        <f t="shared" si="8"/>
        <v>0</v>
      </c>
      <c r="AC37" s="237">
        <f t="shared" si="9"/>
        <v>0</v>
      </c>
      <c r="AD37" s="248"/>
      <c r="AE37" s="249"/>
      <c r="AF37" s="290"/>
      <c r="AG37" s="291">
        <f t="shared" si="10"/>
        <v>0</v>
      </c>
      <c r="AH37" s="291">
        <f t="shared" si="11"/>
        <v>0</v>
      </c>
      <c r="AI37" s="291">
        <f t="shared" si="12"/>
        <v>0</v>
      </c>
    </row>
    <row r="38" spans="2:35" s="292" customFormat="1" ht="20.25" customHeight="1" thickBot="1" x14ac:dyDescent="0.6">
      <c r="B38" s="155">
        <v>43251</v>
      </c>
      <c r="C38" s="273"/>
      <c r="D38" s="246"/>
      <c r="E38" s="250"/>
      <c r="F38" s="238"/>
      <c r="G38" s="239"/>
      <c r="H38" s="229"/>
      <c r="I38" s="230" t="str">
        <f t="shared" si="15"/>
        <v/>
      </c>
      <c r="J38" s="253"/>
      <c r="K38" s="240"/>
      <c r="L38" s="240"/>
      <c r="M38" s="240"/>
      <c r="N38" s="230" t="str">
        <f t="shared" si="17"/>
        <v/>
      </c>
      <c r="O38" s="247"/>
      <c r="P38" s="231">
        <f t="shared" si="2"/>
        <v>0</v>
      </c>
      <c r="Q38" s="241">
        <f t="shared" si="1"/>
        <v>0</v>
      </c>
      <c r="R38" s="242">
        <v>0</v>
      </c>
      <c r="S38" s="243">
        <v>0</v>
      </c>
      <c r="T38" s="244">
        <f t="shared" si="14"/>
        <v>0</v>
      </c>
      <c r="U38" s="245"/>
      <c r="V38" s="245"/>
      <c r="W38" s="232">
        <f t="shared" si="16"/>
        <v>0</v>
      </c>
      <c r="X38" s="233" t="str">
        <f>IFERROR(C38/J38,"")</f>
        <v/>
      </c>
      <c r="Y38" s="234">
        <f t="shared" si="5"/>
        <v>0</v>
      </c>
      <c r="Z38" s="235">
        <f t="shared" si="6"/>
        <v>0</v>
      </c>
      <c r="AA38" s="236">
        <f t="shared" si="7"/>
        <v>0</v>
      </c>
      <c r="AB38" s="236">
        <f t="shared" si="8"/>
        <v>0</v>
      </c>
      <c r="AC38" s="237">
        <f t="shared" si="9"/>
        <v>0</v>
      </c>
      <c r="AD38" s="248"/>
      <c r="AE38" s="249"/>
      <c r="AF38" s="290"/>
      <c r="AG38" s="291">
        <f t="shared" si="10"/>
        <v>0</v>
      </c>
      <c r="AH38" s="291">
        <f t="shared" si="11"/>
        <v>0</v>
      </c>
      <c r="AI38" s="291">
        <f t="shared" si="12"/>
        <v>0</v>
      </c>
    </row>
    <row r="39" spans="2:35" s="176" customFormat="1" ht="21.75" customHeight="1" thickBot="1" x14ac:dyDescent="0.6">
      <c r="B39" s="157" t="s">
        <v>15</v>
      </c>
      <c r="C39" s="219">
        <f>SUM(C8:C38)</f>
        <v>0</v>
      </c>
      <c r="D39" s="158">
        <f>SUM(D8:D38)</f>
        <v>0</v>
      </c>
      <c r="E39" s="158"/>
      <c r="F39" s="158">
        <f>SUM(F8:F38)</f>
        <v>0</v>
      </c>
      <c r="G39" s="158"/>
      <c r="H39" s="168">
        <f>SUM(H8:H38)</f>
        <v>0</v>
      </c>
      <c r="I39" s="159" t="str">
        <f>IFERROR(+H39/C39,"")</f>
        <v/>
      </c>
      <c r="J39" s="219">
        <f>SUM(J8:J38)</f>
        <v>0</v>
      </c>
      <c r="K39" s="160">
        <f>SUM(K8:K38)</f>
        <v>0</v>
      </c>
      <c r="L39" s="160">
        <f>SUM(L8:L38)</f>
        <v>0</v>
      </c>
      <c r="M39" s="225">
        <f>SUM(M8:M38)</f>
        <v>0</v>
      </c>
      <c r="N39" s="161" t="str">
        <f>IFERROR(M39/J39,"")</f>
        <v/>
      </c>
      <c r="O39" s="162">
        <f t="shared" ref="O39:W39" si="20">SUM(O8:O38)</f>
        <v>0</v>
      </c>
      <c r="P39" s="163">
        <f t="shared" si="20"/>
        <v>0</v>
      </c>
      <c r="Q39" s="164">
        <f t="shared" si="20"/>
        <v>0</v>
      </c>
      <c r="R39" s="164">
        <f t="shared" si="20"/>
        <v>0</v>
      </c>
      <c r="S39" s="164">
        <f t="shared" si="20"/>
        <v>0</v>
      </c>
      <c r="T39" s="164">
        <f t="shared" si="20"/>
        <v>0</v>
      </c>
      <c r="U39" s="164">
        <f t="shared" si="20"/>
        <v>0</v>
      </c>
      <c r="V39" s="165">
        <f t="shared" si="20"/>
        <v>0</v>
      </c>
      <c r="W39" s="166">
        <f t="shared" si="20"/>
        <v>0</v>
      </c>
      <c r="X39" s="156" t="str">
        <f t="shared" si="4"/>
        <v/>
      </c>
      <c r="Y39" s="226">
        <f>+IFERROR(H39/M39,0)</f>
        <v>0</v>
      </c>
      <c r="Z39" s="60" t="str">
        <f>IFERROR(+Y39/X39,"")</f>
        <v/>
      </c>
      <c r="AA39" s="184">
        <f>+IFERROR(U39/AH39,0)</f>
        <v>0</v>
      </c>
      <c r="AB39" s="228">
        <f>+IFERROR(V39/AI39,0)</f>
        <v>0</v>
      </c>
      <c r="AC39" s="227">
        <f>IFERROR(W39/AG39,0)</f>
        <v>0</v>
      </c>
      <c r="AD39" s="202">
        <f>+SUM(AD8:AD38)</f>
        <v>0</v>
      </c>
      <c r="AE39" s="203">
        <f>+SUM(AE8:AE38)</f>
        <v>0</v>
      </c>
      <c r="AF39" s="175"/>
      <c r="AG39" s="170">
        <f>SUM(AG8:AG38)</f>
        <v>0</v>
      </c>
      <c r="AH39" s="170">
        <f>SUM(AH8:AH38)</f>
        <v>0</v>
      </c>
      <c r="AI39" s="170">
        <f>SUM(AI8:AI38)</f>
        <v>0</v>
      </c>
    </row>
    <row r="40" spans="2:35" s="176" customFormat="1" ht="18" customHeight="1" x14ac:dyDescent="0.55000000000000004">
      <c r="B40" s="204"/>
      <c r="C40" s="220"/>
      <c r="D40" s="175"/>
      <c r="E40" s="175"/>
      <c r="F40" s="175"/>
      <c r="G40" s="175"/>
      <c r="H40" s="213"/>
      <c r="I40" s="214"/>
      <c r="J40" s="215"/>
      <c r="K40" s="216"/>
      <c r="L40" s="216"/>
      <c r="M40" s="216"/>
      <c r="N40" s="214"/>
      <c r="O40" s="205"/>
      <c r="P40" s="206"/>
      <c r="Q40" s="207"/>
      <c r="R40" s="206"/>
      <c r="S40" s="206"/>
      <c r="T40" s="206"/>
      <c r="U40" s="206"/>
      <c r="V40" s="206"/>
      <c r="W40" s="175"/>
      <c r="X40" s="208"/>
      <c r="Y40" s="209"/>
      <c r="Z40" s="210"/>
      <c r="AA40" s="211"/>
      <c r="AB40" s="211"/>
      <c r="AC40" s="22"/>
      <c r="AD40" s="212"/>
      <c r="AE40" s="212"/>
      <c r="AF40" s="175"/>
      <c r="AG40" s="209"/>
      <c r="AH40" s="209"/>
      <c r="AI40" s="209"/>
    </row>
    <row r="41" spans="2:35" ht="18" customHeight="1" thickBot="1" x14ac:dyDescent="0.4">
      <c r="X41" s="12"/>
    </row>
    <row r="42" spans="2:35" ht="21" customHeight="1" x14ac:dyDescent="0.35">
      <c r="C42" s="224" t="s">
        <v>27</v>
      </c>
      <c r="D42" s="1455">
        <f>H39</f>
        <v>0</v>
      </c>
      <c r="E42" s="1456"/>
      <c r="F42" s="1486" t="s">
        <v>24</v>
      </c>
      <c r="G42" s="1487"/>
      <c r="H42" s="1488"/>
      <c r="I42" s="169">
        <f>+D39</f>
        <v>0</v>
      </c>
      <c r="J42" s="190" t="s">
        <v>7</v>
      </c>
      <c r="K42" s="177">
        <f>+AD39</f>
        <v>0</v>
      </c>
      <c r="L42" s="56"/>
      <c r="M42" s="22" t="s">
        <v>31</v>
      </c>
      <c r="N42" s="13" t="s">
        <v>32</v>
      </c>
      <c r="O42" s="7"/>
      <c r="S42" s="116"/>
      <c r="T42" s="6"/>
      <c r="U42" s="6"/>
      <c r="V42" s="6"/>
      <c r="W42" s="149" t="s">
        <v>103</v>
      </c>
      <c r="X42" s="8"/>
      <c r="AA42" s="12"/>
      <c r="AB42" s="12"/>
      <c r="AC42" s="6"/>
      <c r="AF42" s="6"/>
    </row>
    <row r="43" spans="2:35" ht="18.75" customHeight="1" x14ac:dyDescent="0.35">
      <c r="C43" s="221" t="s">
        <v>28</v>
      </c>
      <c r="D43" s="1457">
        <f>M39</f>
        <v>0</v>
      </c>
      <c r="E43" s="1458"/>
      <c r="F43" s="1481" t="s">
        <v>25</v>
      </c>
      <c r="G43" s="1482"/>
      <c r="H43" s="1483"/>
      <c r="I43" s="170">
        <f>+F39</f>
        <v>0</v>
      </c>
      <c r="J43" s="191" t="s">
        <v>8</v>
      </c>
      <c r="K43" s="178">
        <f>+AE39</f>
        <v>0</v>
      </c>
      <c r="L43" s="56"/>
      <c r="M43" s="32" t="s">
        <v>48</v>
      </c>
      <c r="N43" s="1484">
        <f>+C39</f>
        <v>0</v>
      </c>
      <c r="O43" s="1484"/>
      <c r="P43" s="31">
        <f>IFERROR(+D42/N43,0)</f>
        <v>0</v>
      </c>
      <c r="R43" s="34"/>
      <c r="S43" s="33"/>
      <c r="T43" s="33"/>
      <c r="U43" s="33"/>
      <c r="V43" s="33"/>
      <c r="W43" s="148" t="s">
        <v>104</v>
      </c>
      <c r="X43" s="1472" t="s">
        <v>14</v>
      </c>
      <c r="Y43" s="1473"/>
      <c r="Z43" s="1472" t="s">
        <v>17</v>
      </c>
      <c r="AA43" s="1474"/>
      <c r="AB43" s="1474"/>
      <c r="AC43" s="1473"/>
      <c r="AD43" s="147" t="s">
        <v>105</v>
      </c>
      <c r="AE43" s="147" t="s">
        <v>106</v>
      </c>
      <c r="AF43" s="6"/>
      <c r="AG43" s="151" t="s">
        <v>109</v>
      </c>
      <c r="AH43" s="150" t="s">
        <v>110</v>
      </c>
    </row>
    <row r="44" spans="2:35" ht="18" customHeight="1" x14ac:dyDescent="0.35">
      <c r="C44" s="221" t="s">
        <v>46</v>
      </c>
      <c r="D44" s="1457">
        <f>+AC19</f>
        <v>0</v>
      </c>
      <c r="E44" s="1458"/>
      <c r="F44" s="1481" t="s">
        <v>26</v>
      </c>
      <c r="G44" s="1482"/>
      <c r="H44" s="1483"/>
      <c r="I44" s="170">
        <f>+K39</f>
        <v>0</v>
      </c>
      <c r="J44" s="192"/>
      <c r="K44" s="179"/>
      <c r="M44" s="32" t="s">
        <v>49</v>
      </c>
      <c r="N44" s="1484">
        <f>+J39</f>
        <v>0</v>
      </c>
      <c r="O44" s="1484"/>
      <c r="P44" s="31">
        <f>IFERROR(+D43/N44,0)</f>
        <v>0</v>
      </c>
      <c r="R44" s="11"/>
      <c r="S44" s="116"/>
      <c r="T44" s="12"/>
      <c r="U44" s="12"/>
      <c r="V44" s="12"/>
      <c r="W44" s="147" t="s">
        <v>107</v>
      </c>
      <c r="X44" s="1467">
        <f>SUM(C8:C20)</f>
        <v>0</v>
      </c>
      <c r="Y44" s="1468"/>
      <c r="Z44" s="1469">
        <f>+D42</f>
        <v>0</v>
      </c>
      <c r="AA44" s="1470"/>
      <c r="AB44" s="1470"/>
      <c r="AC44" s="1471"/>
      <c r="AD44" s="167">
        <f>+IFERROR(Z44/X44,0)</f>
        <v>0</v>
      </c>
      <c r="AE44" s="147">
        <f>+IFERROR(Z44-X44,0)</f>
        <v>0</v>
      </c>
      <c r="AF44" s="6"/>
      <c r="AG44" s="171">
        <v>27.5</v>
      </c>
      <c r="AH44" s="172">
        <f>AG44-11</f>
        <v>16.5</v>
      </c>
    </row>
    <row r="45" spans="2:35" ht="18" customHeight="1" x14ac:dyDescent="0.35">
      <c r="C45" s="221" t="s">
        <v>47</v>
      </c>
      <c r="D45" s="1457">
        <f>+AC39</f>
        <v>0</v>
      </c>
      <c r="E45" s="1458"/>
      <c r="F45" s="1481" t="s">
        <v>23</v>
      </c>
      <c r="G45" s="1482"/>
      <c r="H45" s="1483"/>
      <c r="I45" s="170">
        <f>+L39</f>
        <v>0</v>
      </c>
      <c r="J45" s="192"/>
      <c r="K45" s="179"/>
      <c r="M45" s="32" t="s">
        <v>5</v>
      </c>
      <c r="N45" s="1485" t="str">
        <f>+X39</f>
        <v/>
      </c>
      <c r="O45" s="1485"/>
      <c r="P45" s="31">
        <f>IFERROR(+Y39/N45,0)</f>
        <v>0</v>
      </c>
      <c r="R45" s="11"/>
      <c r="S45" s="116"/>
      <c r="T45" s="12"/>
      <c r="U45" s="12"/>
      <c r="V45" s="12"/>
      <c r="W45" s="147" t="s">
        <v>108</v>
      </c>
      <c r="X45" s="1467">
        <f>SUM(J8:J20)</f>
        <v>0</v>
      </c>
      <c r="Y45" s="1468"/>
      <c r="Z45" s="1469">
        <f>+D43</f>
        <v>0</v>
      </c>
      <c r="AA45" s="1470"/>
      <c r="AB45" s="1470"/>
      <c r="AC45" s="1471"/>
      <c r="AD45" s="167">
        <f>+IFERROR(Z45/X45,0)</f>
        <v>0</v>
      </c>
      <c r="AE45" s="147">
        <f>+IFERROR(Z45-X45,0)</f>
        <v>0</v>
      </c>
      <c r="AF45" s="6"/>
      <c r="AG45" s="173" t="s">
        <v>111</v>
      </c>
      <c r="AH45" s="38"/>
    </row>
    <row r="46" spans="2:35" ht="18" customHeight="1" x14ac:dyDescent="0.35">
      <c r="C46" s="221" t="s">
        <v>30</v>
      </c>
      <c r="D46" s="1459">
        <f>+Y19</f>
        <v>0</v>
      </c>
      <c r="E46" s="1460"/>
      <c r="F46" s="50"/>
      <c r="G46" s="152"/>
      <c r="H46" s="51"/>
      <c r="I46" s="180"/>
      <c r="J46" s="193"/>
      <c r="K46" s="181"/>
      <c r="M46" s="32" t="s">
        <v>6</v>
      </c>
      <c r="N46" s="1476">
        <v>0.8</v>
      </c>
      <c r="O46" s="1477"/>
      <c r="P46" s="31">
        <f>IFERROR(+D45/N46,0)</f>
        <v>0</v>
      </c>
      <c r="R46" s="30"/>
      <c r="S46" s="116"/>
      <c r="T46" s="6"/>
      <c r="U46" s="6"/>
      <c r="V46" s="6"/>
      <c r="W46" s="147" t="s">
        <v>5</v>
      </c>
      <c r="X46" s="1467">
        <f>+IFERROR(X44/X45,0)</f>
        <v>0</v>
      </c>
      <c r="Y46" s="1468"/>
      <c r="Z46" s="1469">
        <f>+IFERROR(Z44/Z45,0)</f>
        <v>0</v>
      </c>
      <c r="AA46" s="1470"/>
      <c r="AB46" s="1470"/>
      <c r="AC46" s="1471"/>
      <c r="AD46" s="167">
        <f>+IFERROR(Z46/X46,0)</f>
        <v>0</v>
      </c>
      <c r="AE46" s="147">
        <f>+IFERROR(Z46-X46,0)</f>
        <v>0</v>
      </c>
      <c r="AF46" s="6"/>
      <c r="AG46" s="171" t="s">
        <v>107</v>
      </c>
      <c r="AH46" s="174">
        <f>IFERROR((C39-Z44)/AH44,"")</f>
        <v>0</v>
      </c>
    </row>
    <row r="47" spans="2:35" ht="18" customHeight="1" thickBot="1" x14ac:dyDescent="0.4">
      <c r="C47" s="222" t="s">
        <v>29</v>
      </c>
      <c r="D47" s="1453">
        <f>+Y39</f>
        <v>0</v>
      </c>
      <c r="E47" s="1454"/>
      <c r="F47" s="52"/>
      <c r="G47" s="153"/>
      <c r="H47" s="53"/>
      <c r="I47" s="182"/>
      <c r="J47" s="194"/>
      <c r="K47" s="183"/>
      <c r="L47" s="57"/>
      <c r="S47" s="7"/>
      <c r="T47" s="6"/>
      <c r="U47" s="6"/>
      <c r="V47" s="6"/>
      <c r="Z47" s="116"/>
      <c r="AA47" s="116"/>
      <c r="AB47" s="116"/>
      <c r="AC47" s="6"/>
      <c r="AE47" s="8"/>
      <c r="AF47" s="6"/>
      <c r="AG47" s="171" t="s">
        <v>108</v>
      </c>
      <c r="AH47" s="174">
        <f>IFERROR((J39-Z45)/AH44,"")</f>
        <v>0</v>
      </c>
    </row>
    <row r="48" spans="2:35" x14ac:dyDescent="0.35">
      <c r="D48" s="116"/>
      <c r="E48" s="116"/>
      <c r="I48" s="116"/>
      <c r="J48" s="195"/>
      <c r="K48" s="57"/>
    </row>
    <row r="49" spans="2:32" ht="14.4" x14ac:dyDescent="0.55000000000000004">
      <c r="I49" s="30"/>
      <c r="L49" s="24"/>
      <c r="M49" s="24"/>
      <c r="O49" s="25"/>
      <c r="R49" s="12"/>
      <c r="AC49" s="1478"/>
      <c r="AD49" s="1478"/>
    </row>
    <row r="50" spans="2:32" ht="14.4" x14ac:dyDescent="0.55000000000000004">
      <c r="I50" s="10"/>
      <c r="K50" s="24"/>
      <c r="L50" s="24"/>
      <c r="M50" s="24"/>
      <c r="O50" s="25"/>
      <c r="AC50" s="1479"/>
      <c r="AD50" s="1480"/>
      <c r="AE50" s="114"/>
      <c r="AF50" s="114"/>
    </row>
    <row r="51" spans="2:32" ht="14.4" x14ac:dyDescent="0.55000000000000004">
      <c r="B51" s="187"/>
      <c r="F51" s="28"/>
      <c r="G51" s="28"/>
      <c r="K51" s="24"/>
      <c r="L51" s="24"/>
      <c r="O51" s="25"/>
      <c r="P51" s="114"/>
      <c r="AC51" s="1479"/>
      <c r="AD51" s="1480"/>
      <c r="AE51" s="114"/>
      <c r="AF51" s="114"/>
    </row>
    <row r="52" spans="2:32" ht="14.4" x14ac:dyDescent="0.55000000000000004">
      <c r="J52" s="196"/>
      <c r="K52" s="24"/>
      <c r="L52" s="24"/>
      <c r="O52" s="25"/>
      <c r="P52" s="23"/>
      <c r="AE52" s="114"/>
    </row>
    <row r="53" spans="2:32" ht="14.4" x14ac:dyDescent="0.55000000000000004">
      <c r="K53" s="24"/>
      <c r="L53" s="58"/>
      <c r="M53" s="29"/>
      <c r="N53" s="25"/>
      <c r="O53" s="25"/>
      <c r="P53" s="23"/>
      <c r="AC53" s="115"/>
    </row>
    <row r="54" spans="2:32" ht="14.4" x14ac:dyDescent="0.55000000000000004">
      <c r="J54" s="196"/>
      <c r="K54" s="58"/>
      <c r="L54" s="29"/>
      <c r="M54" s="29"/>
      <c r="AE54" s="114"/>
    </row>
    <row r="55" spans="2:32" x14ac:dyDescent="0.35">
      <c r="M55" s="29"/>
    </row>
    <row r="56" spans="2:32" x14ac:dyDescent="0.35">
      <c r="F56" s="54"/>
      <c r="G56" s="54"/>
      <c r="K56" s="29"/>
      <c r="M56" s="29"/>
    </row>
    <row r="58" spans="2:32" x14ac:dyDescent="0.35">
      <c r="L58" s="29"/>
    </row>
    <row r="59" spans="2:32" x14ac:dyDescent="0.35">
      <c r="J59" s="196"/>
    </row>
    <row r="60" spans="2:32" x14ac:dyDescent="0.35">
      <c r="J60" s="196"/>
      <c r="L60" s="29"/>
    </row>
    <row r="61" spans="2:32" x14ac:dyDescent="0.35">
      <c r="J61" s="196"/>
    </row>
    <row r="63" spans="2:32" x14ac:dyDescent="0.35">
      <c r="K63" s="29"/>
    </row>
    <row r="64" spans="2:32" x14ac:dyDescent="0.35">
      <c r="K64" s="29"/>
    </row>
    <row r="65" spans="11:31" x14ac:dyDescent="0.35">
      <c r="K65" s="29"/>
    </row>
    <row r="66" spans="11:31" x14ac:dyDescent="0.35">
      <c r="K66" s="29"/>
    </row>
    <row r="67" spans="11:31" x14ac:dyDescent="0.35">
      <c r="K67" s="29"/>
    </row>
    <row r="70" spans="11:31" x14ac:dyDescent="0.35">
      <c r="AD70" s="12"/>
    </row>
    <row r="76" spans="11:31" x14ac:dyDescent="0.35">
      <c r="AE76" s="12"/>
    </row>
    <row r="85" spans="6:16" x14ac:dyDescent="0.35">
      <c r="F85" s="55"/>
      <c r="G85" s="55"/>
    </row>
    <row r="86" spans="6:16" x14ac:dyDescent="0.35">
      <c r="H86" s="116"/>
      <c r="I86" s="116"/>
      <c r="J86" s="197"/>
      <c r="P86" s="30"/>
    </row>
    <row r="87" spans="6:16" x14ac:dyDescent="0.35">
      <c r="H87" s="116"/>
      <c r="I87" s="116"/>
      <c r="J87" s="197"/>
    </row>
    <row r="88" spans="6:16" x14ac:dyDescent="0.35">
      <c r="I88" s="11"/>
    </row>
    <row r="89" spans="6:16" x14ac:dyDescent="0.35">
      <c r="I89" s="11"/>
    </row>
    <row r="93" spans="6:16" x14ac:dyDescent="0.35">
      <c r="H93" s="37"/>
      <c r="O93" s="56"/>
    </row>
  </sheetData>
  <mergeCells count="49">
    <mergeCell ref="B5:B7"/>
    <mergeCell ref="C5:I5"/>
    <mergeCell ref="J5:P5"/>
    <mergeCell ref="Q5:Q7"/>
    <mergeCell ref="R5:T6"/>
    <mergeCell ref="C6:C7"/>
    <mergeCell ref="D6:H6"/>
    <mergeCell ref="I6:I7"/>
    <mergeCell ref="J6:J7"/>
    <mergeCell ref="F42:H42"/>
    <mergeCell ref="AC5:AC7"/>
    <mergeCell ref="AD5:AD7"/>
    <mergeCell ref="AE5:AE7"/>
    <mergeCell ref="K6:M6"/>
    <mergeCell ref="N6:N7"/>
    <mergeCell ref="O6:P6"/>
    <mergeCell ref="X5:Z5"/>
    <mergeCell ref="W5:W7"/>
    <mergeCell ref="U5:U7"/>
    <mergeCell ref="V5:V7"/>
    <mergeCell ref="N46:O46"/>
    <mergeCell ref="AC49:AD49"/>
    <mergeCell ref="AC50:AD50"/>
    <mergeCell ref="AC51:AD51"/>
    <mergeCell ref="F43:H43"/>
    <mergeCell ref="N43:O43"/>
    <mergeCell ref="F44:H44"/>
    <mergeCell ref="N44:O44"/>
    <mergeCell ref="F45:H45"/>
    <mergeCell ref="N45:O45"/>
    <mergeCell ref="X45:Y45"/>
    <mergeCell ref="Z45:AC45"/>
    <mergeCell ref="X46:Y46"/>
    <mergeCell ref="Z46:AC46"/>
    <mergeCell ref="AH5:AH7"/>
    <mergeCell ref="AI5:AI7"/>
    <mergeCell ref="AA5:AA7"/>
    <mergeCell ref="AB5:AB7"/>
    <mergeCell ref="X44:Y44"/>
    <mergeCell ref="Z44:AC44"/>
    <mergeCell ref="X43:Y43"/>
    <mergeCell ref="Z43:AC43"/>
    <mergeCell ref="AG5:AG7"/>
    <mergeCell ref="D47:E47"/>
    <mergeCell ref="D42:E42"/>
    <mergeCell ref="D43:E43"/>
    <mergeCell ref="D44:E44"/>
    <mergeCell ref="D45:E45"/>
    <mergeCell ref="D46:E46"/>
  </mergeCells>
  <printOptions horizontalCentered="1"/>
  <pageMargins left="0" right="0" top="0.25" bottom="0.25" header="0" footer="0"/>
  <pageSetup paperSize="9" scale="47" orientation="landscape" r:id="rId1"/>
  <ignoredErrors>
    <ignoredError sqref="I39 N39 P45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20"/>
  <sheetViews>
    <sheetView workbookViewId="0">
      <selection activeCell="G21" sqref="G21"/>
    </sheetView>
  </sheetViews>
  <sheetFormatPr defaultRowHeight="14.4" x14ac:dyDescent="0.55000000000000004"/>
  <sheetData>
    <row r="20" spans="7:7" x14ac:dyDescent="0.55000000000000004">
      <c r="G20">
        <f>1274/4</f>
        <v>318.5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9:M32"/>
  <sheetViews>
    <sheetView topLeftCell="A9" workbookViewId="0">
      <selection activeCell="M22" sqref="M22"/>
    </sheetView>
  </sheetViews>
  <sheetFormatPr defaultRowHeight="14.4" x14ac:dyDescent="0.55000000000000004"/>
  <sheetData>
    <row r="19" spans="8:13" x14ac:dyDescent="0.55000000000000004">
      <c r="H19">
        <f>3+8</f>
        <v>11</v>
      </c>
    </row>
    <row r="20" spans="8:13" x14ac:dyDescent="0.55000000000000004">
      <c r="H20">
        <f>11*24</f>
        <v>264</v>
      </c>
      <c r="I20">
        <f>36+38+33+1+1+30+2+3</f>
        <v>144</v>
      </c>
    </row>
    <row r="21" spans="8:13" x14ac:dyDescent="0.55000000000000004">
      <c r="I21">
        <f>17+25+20+21+20+17+13</f>
        <v>133</v>
      </c>
    </row>
    <row r="22" spans="8:13" x14ac:dyDescent="0.55000000000000004">
      <c r="H22">
        <f>144-11</f>
        <v>133</v>
      </c>
      <c r="M22">
        <f>4+7+9+8+7+8+8+5+4</f>
        <v>60</v>
      </c>
    </row>
    <row r="23" spans="8:13" x14ac:dyDescent="0.55000000000000004">
      <c r="H23">
        <f>+H22*24</f>
        <v>3192</v>
      </c>
    </row>
    <row r="24" spans="8:13" x14ac:dyDescent="0.55000000000000004">
      <c r="H24">
        <f>+H23+H20</f>
        <v>3456</v>
      </c>
    </row>
    <row r="25" spans="8:13" x14ac:dyDescent="0.55000000000000004">
      <c r="H25">
        <f>20+15</f>
        <v>35</v>
      </c>
    </row>
    <row r="26" spans="8:13" x14ac:dyDescent="0.55000000000000004">
      <c r="H26">
        <f>+H25*24</f>
        <v>840</v>
      </c>
    </row>
    <row r="27" spans="8:13" x14ac:dyDescent="0.55000000000000004">
      <c r="H27">
        <f>10+21+6+6</f>
        <v>43</v>
      </c>
      <c r="J27">
        <f>10+21</f>
        <v>31</v>
      </c>
    </row>
    <row r="28" spans="8:13" x14ac:dyDescent="0.55000000000000004">
      <c r="H28">
        <f>+H27*24</f>
        <v>1032</v>
      </c>
      <c r="J28">
        <f>+J27*24</f>
        <v>744</v>
      </c>
    </row>
    <row r="29" spans="8:13" x14ac:dyDescent="0.55000000000000004">
      <c r="H29">
        <f>13+11</f>
        <v>24</v>
      </c>
      <c r="J29">
        <f>24+6+6</f>
        <v>36</v>
      </c>
    </row>
    <row r="30" spans="8:13" x14ac:dyDescent="0.55000000000000004">
      <c r="H30">
        <f>+H29*24</f>
        <v>576</v>
      </c>
      <c r="J30">
        <f>+J29*24</f>
        <v>864</v>
      </c>
    </row>
    <row r="31" spans="8:13" x14ac:dyDescent="0.55000000000000004">
      <c r="H31">
        <f>35+43+24</f>
        <v>102</v>
      </c>
      <c r="J31">
        <f>+J30+744+840</f>
        <v>2448</v>
      </c>
    </row>
    <row r="32" spans="8:13" x14ac:dyDescent="0.55000000000000004">
      <c r="H32">
        <f>576+840+1032</f>
        <v>2448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workbookViewId="0">
      <selection activeCell="B53" sqref="B53"/>
    </sheetView>
  </sheetViews>
  <sheetFormatPr defaultRowHeight="14.4" x14ac:dyDescent="0.55000000000000004"/>
  <sheetData>
    <row r="1" spans="1:6" x14ac:dyDescent="0.55000000000000004">
      <c r="A1">
        <v>27</v>
      </c>
      <c r="C1">
        <v>26.26</v>
      </c>
      <c r="E1" t="s">
        <v>116</v>
      </c>
      <c r="F1">
        <f>+C1+C2+C7+C8+C13+C14+C17+C18+C24+C25+C30</f>
        <v>293.39</v>
      </c>
    </row>
    <row r="2" spans="1:6" x14ac:dyDescent="0.55000000000000004">
      <c r="A2">
        <v>27</v>
      </c>
      <c r="C2">
        <v>27.58</v>
      </c>
      <c r="E2" t="s">
        <v>117</v>
      </c>
      <c r="F2">
        <f>+C3+C4+C5+C9+C10+C11+C15+C19+C20+C21+C26+C27+C31+C32</f>
        <v>386.89</v>
      </c>
    </row>
    <row r="3" spans="1:6" x14ac:dyDescent="0.55000000000000004">
      <c r="A3">
        <v>27</v>
      </c>
      <c r="C3">
        <v>27.62</v>
      </c>
      <c r="F3">
        <f>+F2+F1</f>
        <v>680.28</v>
      </c>
    </row>
    <row r="4" spans="1:6" x14ac:dyDescent="0.55000000000000004">
      <c r="A4">
        <v>27.2</v>
      </c>
      <c r="C4">
        <v>28.22</v>
      </c>
      <c r="E4" t="s">
        <v>115</v>
      </c>
      <c r="F4">
        <f>+C35-F3</f>
        <v>232.88999999999987</v>
      </c>
    </row>
    <row r="5" spans="1:6" x14ac:dyDescent="0.55000000000000004">
      <c r="A5">
        <v>25.92</v>
      </c>
      <c r="C5">
        <v>27.9</v>
      </c>
    </row>
    <row r="6" spans="1:6" x14ac:dyDescent="0.55000000000000004">
      <c r="A6">
        <v>27.89</v>
      </c>
      <c r="C6">
        <v>27.6</v>
      </c>
    </row>
    <row r="7" spans="1:6" x14ac:dyDescent="0.55000000000000004">
      <c r="A7">
        <v>29.66</v>
      </c>
      <c r="C7">
        <v>26.24</v>
      </c>
    </row>
    <row r="8" spans="1:6" x14ac:dyDescent="0.55000000000000004">
      <c r="A8">
        <v>25.89</v>
      </c>
      <c r="C8">
        <v>26.49</v>
      </c>
    </row>
    <row r="9" spans="1:6" x14ac:dyDescent="0.55000000000000004">
      <c r="A9">
        <v>27.11</v>
      </c>
      <c r="C9">
        <v>26.96</v>
      </c>
    </row>
    <row r="10" spans="1:6" x14ac:dyDescent="0.55000000000000004">
      <c r="A10">
        <v>27.34</v>
      </c>
      <c r="C10">
        <v>27.79</v>
      </c>
    </row>
    <row r="11" spans="1:6" x14ac:dyDescent="0.55000000000000004">
      <c r="A11">
        <v>26.43</v>
      </c>
      <c r="C11">
        <v>27.6</v>
      </c>
    </row>
    <row r="12" spans="1:6" x14ac:dyDescent="0.55000000000000004">
      <c r="A12">
        <v>26.15</v>
      </c>
      <c r="C12">
        <v>27.47</v>
      </c>
    </row>
    <row r="13" spans="1:6" x14ac:dyDescent="0.55000000000000004">
      <c r="A13">
        <v>27.49</v>
      </c>
      <c r="C13">
        <v>24.29</v>
      </c>
    </row>
    <row r="14" spans="1:6" x14ac:dyDescent="0.55000000000000004">
      <c r="A14">
        <v>25.89</v>
      </c>
      <c r="C14">
        <v>26.09</v>
      </c>
    </row>
    <row r="15" spans="1:6" x14ac:dyDescent="0.55000000000000004">
      <c r="A15">
        <v>28.79</v>
      </c>
      <c r="C15">
        <v>26.99</v>
      </c>
    </row>
    <row r="16" spans="1:6" x14ac:dyDescent="0.55000000000000004">
      <c r="A16">
        <v>28.74</v>
      </c>
      <c r="C16">
        <v>27.08</v>
      </c>
    </row>
    <row r="17" spans="1:3" x14ac:dyDescent="0.55000000000000004">
      <c r="A17">
        <v>26.09</v>
      </c>
      <c r="C17">
        <v>27.5</v>
      </c>
    </row>
    <row r="18" spans="1:3" x14ac:dyDescent="0.55000000000000004">
      <c r="A18">
        <v>26</v>
      </c>
      <c r="C18">
        <v>26.13</v>
      </c>
    </row>
    <row r="19" spans="1:3" x14ac:dyDescent="0.55000000000000004">
      <c r="A19">
        <v>26.95</v>
      </c>
      <c r="C19">
        <v>27.67</v>
      </c>
    </row>
    <row r="20" spans="1:3" x14ac:dyDescent="0.55000000000000004">
      <c r="A20">
        <v>26.81</v>
      </c>
      <c r="C20">
        <v>26.94</v>
      </c>
    </row>
    <row r="21" spans="1:3" x14ac:dyDescent="0.55000000000000004">
      <c r="A21">
        <v>26.61</v>
      </c>
      <c r="C21">
        <v>28.21</v>
      </c>
    </row>
    <row r="22" spans="1:3" x14ac:dyDescent="0.55000000000000004">
      <c r="A22">
        <v>26.39</v>
      </c>
      <c r="C22">
        <v>18.91</v>
      </c>
    </row>
    <row r="23" spans="1:3" x14ac:dyDescent="0.55000000000000004">
      <c r="A23">
        <v>25.97</v>
      </c>
      <c r="C23">
        <v>24.43</v>
      </c>
    </row>
    <row r="24" spans="1:3" x14ac:dyDescent="0.55000000000000004">
      <c r="A24">
        <v>28.2</v>
      </c>
      <c r="C24">
        <v>28.31</v>
      </c>
    </row>
    <row r="25" spans="1:3" x14ac:dyDescent="0.55000000000000004">
      <c r="A25">
        <v>24.83</v>
      </c>
      <c r="C25">
        <v>27.98</v>
      </c>
    </row>
    <row r="26" spans="1:3" x14ac:dyDescent="0.55000000000000004">
      <c r="A26">
        <v>23.91</v>
      </c>
      <c r="C26">
        <v>27.9</v>
      </c>
    </row>
    <row r="27" spans="1:3" x14ac:dyDescent="0.55000000000000004">
      <c r="A27">
        <v>23.5</v>
      </c>
      <c r="C27">
        <v>27.88</v>
      </c>
    </row>
    <row r="28" spans="1:3" x14ac:dyDescent="0.55000000000000004">
      <c r="A28">
        <v>23.92</v>
      </c>
      <c r="C28">
        <v>25.42</v>
      </c>
    </row>
    <row r="29" spans="1:3" x14ac:dyDescent="0.55000000000000004">
      <c r="A29">
        <v>25.33</v>
      </c>
      <c r="C29">
        <v>26.36</v>
      </c>
    </row>
    <row r="30" spans="1:3" x14ac:dyDescent="0.55000000000000004">
      <c r="A30">
        <v>28.02</v>
      </c>
      <c r="C30">
        <v>26.52</v>
      </c>
    </row>
    <row r="31" spans="1:3" x14ac:dyDescent="0.55000000000000004">
      <c r="A31">
        <v>25.67</v>
      </c>
      <c r="C31">
        <v>27.67</v>
      </c>
    </row>
    <row r="32" spans="1:3" x14ac:dyDescent="0.55000000000000004">
      <c r="A32">
        <v>25.33</v>
      </c>
      <c r="C32">
        <v>27.54</v>
      </c>
    </row>
    <row r="33" spans="1:3" x14ac:dyDescent="0.55000000000000004">
      <c r="A33">
        <v>25.07</v>
      </c>
      <c r="C33">
        <f>45.78-16.41</f>
        <v>29.37</v>
      </c>
    </row>
    <row r="34" spans="1:3" x14ac:dyDescent="0.55000000000000004">
      <c r="A34">
        <v>27</v>
      </c>
      <c r="C34">
        <v>26.25</v>
      </c>
    </row>
    <row r="35" spans="1:3" x14ac:dyDescent="0.55000000000000004">
      <c r="A35">
        <v>27</v>
      </c>
      <c r="C35">
        <f>+SUM(C1:C34)</f>
        <v>913.16999999999985</v>
      </c>
    </row>
    <row r="36" spans="1:3" x14ac:dyDescent="0.55000000000000004">
      <c r="A36">
        <v>27</v>
      </c>
    </row>
    <row r="37" spans="1:3" x14ac:dyDescent="0.55000000000000004">
      <c r="A37">
        <v>27</v>
      </c>
    </row>
    <row r="38" spans="1:3" x14ac:dyDescent="0.55000000000000004">
      <c r="A38">
        <v>27</v>
      </c>
    </row>
    <row r="39" spans="1:3" x14ac:dyDescent="0.55000000000000004">
      <c r="A39">
        <v>27</v>
      </c>
    </row>
    <row r="40" spans="1:3" x14ac:dyDescent="0.55000000000000004">
      <c r="A40">
        <v>28.09</v>
      </c>
    </row>
    <row r="41" spans="1:3" x14ac:dyDescent="0.55000000000000004">
      <c r="A41">
        <v>27.66</v>
      </c>
    </row>
    <row r="42" spans="1:3" x14ac:dyDescent="0.55000000000000004">
      <c r="A42">
        <v>27.74</v>
      </c>
    </row>
    <row r="43" spans="1:3" x14ac:dyDescent="0.55000000000000004">
      <c r="A43">
        <v>27</v>
      </c>
    </row>
    <row r="44" spans="1:3" x14ac:dyDescent="0.55000000000000004">
      <c r="A44">
        <v>26.44</v>
      </c>
    </row>
    <row r="45" spans="1:3" x14ac:dyDescent="0.55000000000000004">
      <c r="A45">
        <v>27.84</v>
      </c>
    </row>
    <row r="46" spans="1:3" x14ac:dyDescent="0.55000000000000004">
      <c r="A46">
        <v>27</v>
      </c>
    </row>
    <row r="47" spans="1:3" x14ac:dyDescent="0.55000000000000004">
      <c r="A47">
        <v>28.15</v>
      </c>
    </row>
    <row r="48" spans="1:3" x14ac:dyDescent="0.55000000000000004">
      <c r="A48">
        <v>24.78</v>
      </c>
    </row>
    <row r="49" spans="1:2" x14ac:dyDescent="0.55000000000000004">
      <c r="A49">
        <v>26.36</v>
      </c>
    </row>
    <row r="50" spans="1:2" x14ac:dyDescent="0.55000000000000004">
      <c r="A50">
        <v>28.38</v>
      </c>
    </row>
    <row r="51" spans="1:2" x14ac:dyDescent="0.55000000000000004">
      <c r="A51">
        <v>27.26</v>
      </c>
    </row>
    <row r="52" spans="1:2" x14ac:dyDescent="0.55000000000000004">
      <c r="A52">
        <f>+SUM(A1:A51)</f>
        <v>1362.8</v>
      </c>
      <c r="B52">
        <f>+A52+C35</f>
        <v>2275.9699999999998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U65"/>
  <sheetViews>
    <sheetView zoomScale="55" zoomScaleNormal="55" workbookViewId="0">
      <pane xSplit="2" ySplit="7" topLeftCell="L17" activePane="bottomRight" state="frozen"/>
      <selection pane="topRight" activeCell="C1" sqref="C1"/>
      <selection pane="bottomLeft" activeCell="A8" sqref="A8"/>
      <selection pane="bottomRight" activeCell="O28" sqref="O28"/>
    </sheetView>
  </sheetViews>
  <sheetFormatPr defaultColWidth="21.26171875" defaultRowHeight="17.7" x14ac:dyDescent="0.55000000000000004"/>
  <cols>
    <col min="1" max="1" width="7.26171875" style="404" customWidth="1"/>
    <col min="2" max="2" width="21.578125" style="404" bestFit="1" customWidth="1"/>
    <col min="3" max="3" width="26" style="218" bestFit="1" customWidth="1"/>
    <col min="4" max="4" width="20.68359375" style="404" bestFit="1" customWidth="1"/>
    <col min="5" max="5" width="9.41796875" style="410" customWidth="1"/>
    <col min="6" max="6" width="12" style="404" customWidth="1"/>
    <col min="7" max="7" width="20.68359375" style="218" bestFit="1" customWidth="1"/>
    <col min="8" max="8" width="11.41796875" style="479" bestFit="1" customWidth="1"/>
    <col min="9" max="9" width="15.26171875" style="218" bestFit="1" customWidth="1"/>
    <col min="10" max="10" width="20.15625" style="195" customWidth="1"/>
    <col min="11" max="11" width="15.578125" style="404" hidden="1" customWidth="1"/>
    <col min="12" max="12" width="20.26171875" style="404" customWidth="1"/>
    <col min="13" max="13" width="23" style="195" bestFit="1" customWidth="1"/>
    <col min="14" max="14" width="18.83984375" style="218" customWidth="1"/>
    <col min="15" max="15" width="18.578125" style="218" customWidth="1"/>
    <col min="16" max="16" width="22.68359375" style="218" customWidth="1"/>
    <col min="17" max="17" width="11.15625" style="404" hidden="1" customWidth="1"/>
    <col min="18" max="19" width="0" style="404" hidden="1" customWidth="1"/>
    <col min="20" max="20" width="0" style="195" hidden="1" customWidth="1"/>
    <col min="21" max="22" width="0" style="404" hidden="1" customWidth="1"/>
    <col min="23" max="23" width="1" style="410" hidden="1" customWidth="1"/>
    <col min="24" max="24" width="18.41796875" style="410" customWidth="1"/>
    <col min="25" max="25" width="17.83984375" style="410" customWidth="1"/>
    <col min="26" max="26" width="18.41796875" style="410" customWidth="1"/>
    <col min="27" max="27" width="20.83984375" style="404" customWidth="1"/>
    <col min="28" max="28" width="10.578125" style="404" bestFit="1" customWidth="1"/>
    <col min="29" max="29" width="17.41796875" style="404" customWidth="1"/>
    <col min="30" max="30" width="2.15625" style="404" hidden="1" customWidth="1"/>
    <col min="31" max="31" width="15.15625" style="404" bestFit="1" customWidth="1"/>
    <col min="32" max="32" width="14.83984375" style="404" bestFit="1" customWidth="1"/>
    <col min="33" max="33" width="15.15625" style="218" bestFit="1" customWidth="1"/>
    <col min="34" max="34" width="11.83984375" style="404" customWidth="1"/>
    <col min="35" max="35" width="23.15625" style="404" customWidth="1"/>
    <col min="36" max="36" width="16.26171875" style="195" hidden="1" customWidth="1"/>
    <col min="37" max="37" width="21.26171875" style="195"/>
    <col min="38" max="38" width="23.15625" style="404" hidden="1" customWidth="1"/>
    <col min="39" max="45" width="21.41796875" style="404" hidden="1" customWidth="1"/>
    <col min="46" max="46" width="0" style="404" hidden="1" customWidth="1"/>
    <col min="47" max="47" width="21.41796875" style="408" hidden="1" customWidth="1"/>
    <col min="48" max="48" width="21.41796875" style="404" bestFit="1" customWidth="1"/>
    <col min="49" max="16384" width="21.26171875" style="404"/>
  </cols>
  <sheetData>
    <row r="2" spans="2:47" s="405" customFormat="1" x14ac:dyDescent="0.55000000000000004">
      <c r="B2" s="315" t="s">
        <v>33</v>
      </c>
      <c r="C2" s="217"/>
      <c r="E2" s="407"/>
      <c r="G2" s="217"/>
      <c r="H2" s="478"/>
      <c r="I2" s="217"/>
      <c r="J2" s="406"/>
      <c r="M2" s="406"/>
      <c r="N2" s="217"/>
      <c r="O2" s="217"/>
      <c r="P2" s="217"/>
      <c r="T2" s="406"/>
      <c r="W2" s="407"/>
      <c r="X2" s="407"/>
      <c r="Y2" s="407"/>
      <c r="Z2" s="407"/>
      <c r="AG2" s="408" t="s">
        <v>133</v>
      </c>
      <c r="AJ2" s="406"/>
      <c r="AK2" s="406"/>
      <c r="AU2" s="408"/>
    </row>
    <row r="3" spans="2:47" s="405" customFormat="1" x14ac:dyDescent="0.55000000000000004">
      <c r="B3" s="315" t="s">
        <v>134</v>
      </c>
      <c r="C3" s="217"/>
      <c r="E3" s="407"/>
      <c r="G3" s="217"/>
      <c r="H3" s="478"/>
      <c r="I3" s="217"/>
      <c r="J3" s="406"/>
      <c r="M3" s="406"/>
      <c r="N3" s="406"/>
      <c r="O3" s="406"/>
      <c r="P3" s="406"/>
      <c r="Q3" s="409"/>
      <c r="R3" s="409"/>
      <c r="T3" s="406"/>
      <c r="W3" s="407"/>
      <c r="X3" s="407"/>
      <c r="Y3" s="407"/>
      <c r="Z3" s="407"/>
      <c r="AG3" s="217"/>
      <c r="AJ3" s="406"/>
      <c r="AK3" s="406"/>
      <c r="AU3" s="408"/>
    </row>
    <row r="4" spans="2:47" ht="18" thickBot="1" x14ac:dyDescent="0.6">
      <c r="B4" s="454" t="s">
        <v>122</v>
      </c>
      <c r="AL4" s="404" t="s">
        <v>0</v>
      </c>
    </row>
    <row r="5" spans="2:47" s="339" customFormat="1" ht="30" customHeight="1" x14ac:dyDescent="0.55000000000000004">
      <c r="B5" s="1537" t="s">
        <v>1</v>
      </c>
      <c r="C5" s="1553" t="s">
        <v>119</v>
      </c>
      <c r="D5" s="1554"/>
      <c r="E5" s="1554"/>
      <c r="F5" s="1554"/>
      <c r="G5" s="1554"/>
      <c r="H5" s="1554"/>
      <c r="I5" s="1554"/>
      <c r="J5" s="1554"/>
      <c r="K5" s="1555"/>
      <c r="L5" s="458"/>
      <c r="M5" s="1556" t="s">
        <v>123</v>
      </c>
      <c r="N5" s="1557"/>
      <c r="O5" s="1557"/>
      <c r="P5" s="1557"/>
      <c r="Q5" s="1557"/>
      <c r="R5" s="1557"/>
      <c r="S5" s="1558"/>
      <c r="T5" s="1559" t="s">
        <v>2</v>
      </c>
      <c r="U5" s="1537" t="s">
        <v>3</v>
      </c>
      <c r="V5" s="1534"/>
      <c r="W5" s="1538"/>
      <c r="X5" s="470"/>
      <c r="Y5" s="1537" t="s">
        <v>94</v>
      </c>
      <c r="Z5" s="1531" t="s">
        <v>95</v>
      </c>
      <c r="AA5" s="1534" t="s">
        <v>4</v>
      </c>
      <c r="AB5" s="1537" t="s">
        <v>5</v>
      </c>
      <c r="AC5" s="1534"/>
      <c r="AD5" s="1538"/>
      <c r="AE5" s="1531" t="s">
        <v>99</v>
      </c>
      <c r="AF5" s="1538" t="s">
        <v>100</v>
      </c>
      <c r="AG5" s="1544" t="s">
        <v>6</v>
      </c>
      <c r="AH5" s="1534" t="s">
        <v>7</v>
      </c>
      <c r="AI5" s="1547" t="s">
        <v>8</v>
      </c>
      <c r="AJ5" s="1531" t="s">
        <v>22</v>
      </c>
      <c r="AK5" s="453"/>
      <c r="AL5" s="1412" t="s">
        <v>2</v>
      </c>
      <c r="AM5" s="1404" t="s">
        <v>97</v>
      </c>
      <c r="AN5" s="1404" t="s">
        <v>98</v>
      </c>
    </row>
    <row r="6" spans="2:47" s="337" customFormat="1" x14ac:dyDescent="0.55000000000000004">
      <c r="B6" s="1551"/>
      <c r="C6" s="1562" t="s">
        <v>14</v>
      </c>
      <c r="D6" s="1564" t="s">
        <v>113</v>
      </c>
      <c r="E6" s="1564"/>
      <c r="F6" s="1564"/>
      <c r="G6" s="1564"/>
      <c r="H6" s="1564"/>
      <c r="I6" s="1564"/>
      <c r="J6" s="1564"/>
      <c r="K6" s="1565" t="s">
        <v>21</v>
      </c>
      <c r="L6" s="463"/>
      <c r="M6" s="1566" t="s">
        <v>14</v>
      </c>
      <c r="N6" s="1564" t="s">
        <v>17</v>
      </c>
      <c r="O6" s="1564"/>
      <c r="P6" s="1564"/>
      <c r="Q6" s="1564" t="s">
        <v>21</v>
      </c>
      <c r="R6" s="1564" t="s">
        <v>17</v>
      </c>
      <c r="S6" s="1571"/>
      <c r="T6" s="1560"/>
      <c r="U6" s="1539"/>
      <c r="V6" s="1540"/>
      <c r="W6" s="1541"/>
      <c r="X6" s="471"/>
      <c r="Y6" s="1551"/>
      <c r="Z6" s="1532"/>
      <c r="AA6" s="1535"/>
      <c r="AB6" s="1539"/>
      <c r="AC6" s="1540"/>
      <c r="AD6" s="1541"/>
      <c r="AE6" s="1532"/>
      <c r="AF6" s="1542"/>
      <c r="AG6" s="1545"/>
      <c r="AH6" s="1535"/>
      <c r="AI6" s="1548"/>
      <c r="AJ6" s="1532"/>
      <c r="AK6" s="338"/>
      <c r="AL6" s="1412"/>
      <c r="AM6" s="1405"/>
      <c r="AN6" s="1405"/>
      <c r="AU6" s="339"/>
    </row>
    <row r="7" spans="2:47" s="337" customFormat="1" ht="84.9" thickBot="1" x14ac:dyDescent="0.6">
      <c r="B7" s="1552"/>
      <c r="C7" s="1563"/>
      <c r="D7" s="474" t="s">
        <v>9</v>
      </c>
      <c r="E7" s="1529" t="s">
        <v>112</v>
      </c>
      <c r="F7" s="1530"/>
      <c r="G7" s="340" t="s">
        <v>10</v>
      </c>
      <c r="H7" s="1529" t="s">
        <v>112</v>
      </c>
      <c r="I7" s="1530"/>
      <c r="J7" s="341" t="s">
        <v>15</v>
      </c>
      <c r="K7" s="1529"/>
      <c r="L7" s="464" t="s">
        <v>128</v>
      </c>
      <c r="M7" s="1567"/>
      <c r="N7" s="474" t="s">
        <v>9</v>
      </c>
      <c r="O7" s="340" t="s">
        <v>10</v>
      </c>
      <c r="P7" s="340" t="s">
        <v>15</v>
      </c>
      <c r="Q7" s="1570"/>
      <c r="R7" s="342" t="s">
        <v>12</v>
      </c>
      <c r="S7" s="343" t="s">
        <v>13</v>
      </c>
      <c r="T7" s="1561"/>
      <c r="U7" s="344" t="s">
        <v>9</v>
      </c>
      <c r="V7" s="345" t="s">
        <v>10</v>
      </c>
      <c r="W7" s="346" t="s">
        <v>11</v>
      </c>
      <c r="X7" s="340" t="s">
        <v>128</v>
      </c>
      <c r="Y7" s="1552"/>
      <c r="Z7" s="1533"/>
      <c r="AA7" s="1536"/>
      <c r="AB7" s="473" t="s">
        <v>14</v>
      </c>
      <c r="AC7" s="474" t="s">
        <v>18</v>
      </c>
      <c r="AD7" s="472" t="s">
        <v>16</v>
      </c>
      <c r="AE7" s="1533"/>
      <c r="AF7" s="1543"/>
      <c r="AG7" s="1546"/>
      <c r="AH7" s="1536"/>
      <c r="AI7" s="1549"/>
      <c r="AJ7" s="1533"/>
      <c r="AK7" s="338"/>
      <c r="AL7" s="1412"/>
      <c r="AM7" s="1406"/>
      <c r="AN7" s="1406"/>
      <c r="AU7" s="339"/>
    </row>
    <row r="8" spans="2:47" s="411" customFormat="1" ht="30" customHeight="1" x14ac:dyDescent="0.55000000000000004">
      <c r="B8" s="326">
        <v>44652</v>
      </c>
      <c r="C8" s="635"/>
      <c r="D8" s="448"/>
      <c r="E8" s="486"/>
      <c r="F8" s="446" t="s">
        <v>118</v>
      </c>
      <c r="G8" s="448"/>
      <c r="H8" s="480"/>
      <c r="I8" s="446" t="s">
        <v>118</v>
      </c>
      <c r="J8" s="449">
        <f>+D8+G8</f>
        <v>0</v>
      </c>
      <c r="K8" s="347" t="str">
        <f t="shared" ref="K8:K35" si="0">IFERROR(+J8/C8,"")</f>
        <v/>
      </c>
      <c r="L8" s="465">
        <f>J8-C8</f>
        <v>0</v>
      </c>
      <c r="M8" s="638"/>
      <c r="N8" s="327"/>
      <c r="O8" s="327"/>
      <c r="P8" s="328">
        <f>+O8+N8</f>
        <v>0</v>
      </c>
      <c r="Q8" s="347" t="str">
        <f t="shared" ref="Q8:Q36" si="1">IFERROR(+P8/M8,"")</f>
        <v/>
      </c>
      <c r="R8" s="329">
        <f>+'[1]Daily All PIT'!$O$8</f>
        <v>76</v>
      </c>
      <c r="S8" s="348">
        <f>+P8/1.27</f>
        <v>0</v>
      </c>
      <c r="T8" s="349">
        <f t="shared" ref="T8:T21" si="2">J8+S8</f>
        <v>0</v>
      </c>
      <c r="U8" s="330" t="e">
        <f>+'PIT GAR 42'!R8+#REF!</f>
        <v>#REF!</v>
      </c>
      <c r="V8" s="330" t="e">
        <f>+'PIT GAR 42'!S8+#REF!</f>
        <v>#REF!</v>
      </c>
      <c r="W8" s="462" t="e">
        <f>U8+V8</f>
        <v>#REF!</v>
      </c>
      <c r="X8" s="467">
        <f>P8-M8</f>
        <v>0</v>
      </c>
      <c r="Y8" s="469"/>
      <c r="Z8" s="469"/>
      <c r="AA8" s="331">
        <f>+Y8+Z8</f>
        <v>0</v>
      </c>
      <c r="AB8" s="332">
        <f t="shared" ref="AB8:AB36" si="3">+IFERROR(C8/M8,0)</f>
        <v>0</v>
      </c>
      <c r="AC8" s="333">
        <f t="shared" ref="AC8:AC36" si="4">+IFERROR(J8/P8,0)</f>
        <v>0</v>
      </c>
      <c r="AD8" s="334" t="str">
        <f>IFERROR(+AC8/AB8,"")</f>
        <v/>
      </c>
      <c r="AE8" s="450" t="e">
        <f>+Y8/(D8+(N8/1.27))</f>
        <v>#DIV/0!</v>
      </c>
      <c r="AF8" s="452" t="e">
        <f>+Z8/(G8+(O8/1.27))</f>
        <v>#DIV/0!</v>
      </c>
      <c r="AG8" s="335" t="e">
        <f t="shared" ref="AG8:AG32" si="5">+AA8/(J8+(P8/1.27))</f>
        <v>#DIV/0!</v>
      </c>
      <c r="AH8" s="336"/>
      <c r="AI8" s="451"/>
      <c r="AJ8" s="412">
        <v>124</v>
      </c>
      <c r="AK8" s="413"/>
      <c r="AL8" s="414">
        <f>+AM8+AN8</f>
        <v>0</v>
      </c>
      <c r="AM8" s="414">
        <f t="shared" ref="AM8:AM32" si="6">+AO8+D8</f>
        <v>0</v>
      </c>
      <c r="AN8" s="414">
        <f t="shared" ref="AN8:AN32" si="7">+AP8+G8</f>
        <v>0</v>
      </c>
      <c r="AO8" s="411">
        <f t="shared" ref="AO8:AO32" si="8">+N8/1.27</f>
        <v>0</v>
      </c>
      <c r="AP8" s="411">
        <f t="shared" ref="AP8:AP32" si="9">+O8/1.27</f>
        <v>0</v>
      </c>
      <c r="AQ8" s="411">
        <f>+AP8+AO8</f>
        <v>0</v>
      </c>
      <c r="AR8" s="208">
        <f>+AQ8-S8</f>
        <v>0</v>
      </c>
      <c r="AS8" s="415">
        <f t="shared" ref="AS8:AS32" si="10">+AQ8+J8</f>
        <v>0</v>
      </c>
      <c r="AU8" s="380"/>
    </row>
    <row r="9" spans="2:47" s="176" customFormat="1" ht="30" customHeight="1" x14ac:dyDescent="0.55000000000000004">
      <c r="B9" s="583">
        <v>44653</v>
      </c>
      <c r="C9" s="634"/>
      <c r="D9" s="585"/>
      <c r="E9" s="608"/>
      <c r="F9" s="586" t="s">
        <v>118</v>
      </c>
      <c r="G9" s="585"/>
      <c r="H9" s="587"/>
      <c r="I9" s="586" t="s">
        <v>118</v>
      </c>
      <c r="J9" s="587">
        <f>+D9+G9</f>
        <v>0</v>
      </c>
      <c r="K9" s="588" t="str">
        <f t="shared" si="0"/>
        <v/>
      </c>
      <c r="L9" s="589">
        <f t="shared" ref="L9:L38" si="11">J9-C9</f>
        <v>0</v>
      </c>
      <c r="M9" s="638"/>
      <c r="N9" s="590"/>
      <c r="O9" s="590"/>
      <c r="P9" s="591">
        <f>+O9+N9</f>
        <v>0</v>
      </c>
      <c r="Q9" s="588" t="str">
        <f t="shared" si="1"/>
        <v/>
      </c>
      <c r="R9" s="592">
        <f>+'[1]Daily All PIT'!O9</f>
        <v>34</v>
      </c>
      <c r="S9" s="593">
        <f t="shared" ref="S9:S36" si="12">+P9/1.27</f>
        <v>0</v>
      </c>
      <c r="T9" s="594">
        <f t="shared" si="2"/>
        <v>0</v>
      </c>
      <c r="U9" s="595" t="e">
        <f>+'PIT GAR 42'!R9+#REF!</f>
        <v>#REF!</v>
      </c>
      <c r="V9" s="595" t="e">
        <f>+'PIT GAR 42'!S9+#REF!</f>
        <v>#REF!</v>
      </c>
      <c r="W9" s="596" t="e">
        <f>U9+V9</f>
        <v>#REF!</v>
      </c>
      <c r="X9" s="597">
        <f t="shared" ref="X9:X38" si="13">P9-M9</f>
        <v>0</v>
      </c>
      <c r="Y9" s="609"/>
      <c r="Z9" s="609"/>
      <c r="AA9" s="598">
        <f>+Y9+Z9</f>
        <v>0</v>
      </c>
      <c r="AB9" s="599">
        <f t="shared" si="3"/>
        <v>0</v>
      </c>
      <c r="AC9" s="600">
        <f t="shared" si="4"/>
        <v>0</v>
      </c>
      <c r="AD9" s="601" t="str">
        <f>IFERROR(+AC9/AB9,"")</f>
        <v/>
      </c>
      <c r="AE9" s="450" t="e">
        <f t="shared" ref="AE9:AE36" si="14">+Y9/(D9+(N9/1.27))</f>
        <v>#DIV/0!</v>
      </c>
      <c r="AF9" s="452" t="e">
        <f>+Z9/(G9+(O9/1.27))</f>
        <v>#DIV/0!</v>
      </c>
      <c r="AG9" s="450" t="e">
        <f t="shared" si="5"/>
        <v>#DIV/0!</v>
      </c>
      <c r="AH9" s="602"/>
      <c r="AI9" s="603"/>
      <c r="AJ9" s="604">
        <v>517</v>
      </c>
      <c r="AK9" s="175"/>
      <c r="AL9" s="605">
        <f t="shared" ref="AL9:AL38" si="15">+AM9+AN9</f>
        <v>0</v>
      </c>
      <c r="AM9" s="605">
        <f t="shared" si="6"/>
        <v>0</v>
      </c>
      <c r="AN9" s="605">
        <f t="shared" si="7"/>
        <v>0</v>
      </c>
      <c r="AO9" s="176">
        <f t="shared" si="8"/>
        <v>0</v>
      </c>
      <c r="AP9" s="176">
        <f t="shared" si="9"/>
        <v>0</v>
      </c>
      <c r="AQ9" s="176">
        <f t="shared" ref="AQ9:AQ38" si="16">+AP9+AO9</f>
        <v>0</v>
      </c>
      <c r="AR9" s="209">
        <f t="shared" ref="AR9:AR31" si="17">+AQ9-S9</f>
        <v>0</v>
      </c>
      <c r="AS9" s="606">
        <f t="shared" si="10"/>
        <v>0</v>
      </c>
      <c r="AU9" s="607"/>
    </row>
    <row r="10" spans="2:47" s="176" customFormat="1" ht="30" customHeight="1" x14ac:dyDescent="0.55000000000000004">
      <c r="B10" s="583">
        <v>44654</v>
      </c>
      <c r="C10" s="634"/>
      <c r="D10" s="585"/>
      <c r="E10" s="608"/>
      <c r="F10" s="586" t="s">
        <v>118</v>
      </c>
      <c r="G10" s="585"/>
      <c r="H10" s="587"/>
      <c r="I10" s="586" t="s">
        <v>118</v>
      </c>
      <c r="J10" s="587">
        <f t="shared" ref="J10:J38" si="18">+D10+G10</f>
        <v>0</v>
      </c>
      <c r="K10" s="588" t="str">
        <f t="shared" si="0"/>
        <v/>
      </c>
      <c r="L10" s="589">
        <f t="shared" si="11"/>
        <v>0</v>
      </c>
      <c r="M10" s="638"/>
      <c r="N10" s="590"/>
      <c r="O10" s="590"/>
      <c r="P10" s="591">
        <f t="shared" ref="P10:P37" si="19">+O10+N10</f>
        <v>0</v>
      </c>
      <c r="Q10" s="588" t="str">
        <f t="shared" si="1"/>
        <v/>
      </c>
      <c r="R10" s="592">
        <f>+'[1]Daily All PIT'!O10</f>
        <v>85</v>
      </c>
      <c r="S10" s="593">
        <f t="shared" si="12"/>
        <v>0</v>
      </c>
      <c r="T10" s="594">
        <f t="shared" si="2"/>
        <v>0</v>
      </c>
      <c r="U10" s="595" t="e">
        <f>+'PIT GAR 42'!R10+#REF!</f>
        <v>#REF!</v>
      </c>
      <c r="V10" s="595" t="e">
        <f>+'PIT GAR 42'!S10+#REF!</f>
        <v>#REF!</v>
      </c>
      <c r="W10" s="596" t="e">
        <f t="shared" ref="W10:W31" si="20">U10+V10</f>
        <v>#REF!</v>
      </c>
      <c r="X10" s="597">
        <f t="shared" si="13"/>
        <v>0</v>
      </c>
      <c r="Y10" s="609"/>
      <c r="Z10" s="609"/>
      <c r="AA10" s="598">
        <f t="shared" ref="AA10:AA38" si="21">+Y10+Z10</f>
        <v>0</v>
      </c>
      <c r="AB10" s="599">
        <f t="shared" si="3"/>
        <v>0</v>
      </c>
      <c r="AC10" s="600">
        <f t="shared" si="4"/>
        <v>0</v>
      </c>
      <c r="AD10" s="601" t="str">
        <f t="shared" ref="AD10:AD36" si="22">IFERROR(+AC10/AB10,"")</f>
        <v/>
      </c>
      <c r="AE10" s="450" t="e">
        <f t="shared" si="14"/>
        <v>#DIV/0!</v>
      </c>
      <c r="AF10" s="452" t="e">
        <f t="shared" ref="AF10:AF36" si="23">+Z10/(G10+(O10/1.27))</f>
        <v>#DIV/0!</v>
      </c>
      <c r="AG10" s="450" t="e">
        <f t="shared" si="5"/>
        <v>#DIV/0!</v>
      </c>
      <c r="AH10" s="602"/>
      <c r="AI10" s="603"/>
      <c r="AJ10" s="604">
        <v>1531</v>
      </c>
      <c r="AK10" s="175"/>
      <c r="AL10" s="605">
        <f t="shared" si="15"/>
        <v>0</v>
      </c>
      <c r="AM10" s="605">
        <f t="shared" si="6"/>
        <v>0</v>
      </c>
      <c r="AN10" s="605">
        <f t="shared" si="7"/>
        <v>0</v>
      </c>
      <c r="AO10" s="176">
        <f t="shared" si="8"/>
        <v>0</v>
      </c>
      <c r="AP10" s="176">
        <f t="shared" si="9"/>
        <v>0</v>
      </c>
      <c r="AQ10" s="176">
        <f t="shared" si="16"/>
        <v>0</v>
      </c>
      <c r="AR10" s="209">
        <f t="shared" si="17"/>
        <v>0</v>
      </c>
      <c r="AS10" s="606">
        <f t="shared" si="10"/>
        <v>0</v>
      </c>
      <c r="AU10" s="607"/>
    </row>
    <row r="11" spans="2:47" s="411" customFormat="1" ht="30" customHeight="1" x14ac:dyDescent="0.55000000000000004">
      <c r="B11" s="326">
        <v>44655</v>
      </c>
      <c r="C11" s="634"/>
      <c r="D11" s="611"/>
      <c r="E11" s="632"/>
      <c r="F11" s="612" t="s">
        <v>118</v>
      </c>
      <c r="G11" s="611"/>
      <c r="H11" s="449"/>
      <c r="I11" s="612" t="s">
        <v>118</v>
      </c>
      <c r="J11" s="449">
        <f t="shared" si="18"/>
        <v>0</v>
      </c>
      <c r="K11" s="613" t="str">
        <f t="shared" si="0"/>
        <v/>
      </c>
      <c r="L11" s="614">
        <f t="shared" si="11"/>
        <v>0</v>
      </c>
      <c r="M11" s="638"/>
      <c r="N11" s="615"/>
      <c r="O11" s="615"/>
      <c r="P11" s="616">
        <f t="shared" si="19"/>
        <v>0</v>
      </c>
      <c r="Q11" s="613" t="str">
        <f t="shared" si="1"/>
        <v/>
      </c>
      <c r="R11" s="617">
        <f>+'[1]Daily All PIT'!O11</f>
        <v>77</v>
      </c>
      <c r="S11" s="618">
        <f t="shared" si="12"/>
        <v>0</v>
      </c>
      <c r="T11" s="619">
        <f t="shared" si="2"/>
        <v>0</v>
      </c>
      <c r="U11" s="620" t="e">
        <f>+'PIT GAR 42'!R11+#REF!</f>
        <v>#REF!</v>
      </c>
      <c r="V11" s="620" t="e">
        <f>+'PIT GAR 42'!S11+#REF!</f>
        <v>#REF!</v>
      </c>
      <c r="W11" s="621" t="e">
        <f t="shared" si="20"/>
        <v>#REF!</v>
      </c>
      <c r="X11" s="622">
        <f t="shared" si="13"/>
        <v>0</v>
      </c>
      <c r="Y11" s="469"/>
      <c r="Z11" s="469"/>
      <c r="AA11" s="623">
        <f t="shared" si="21"/>
        <v>0</v>
      </c>
      <c r="AB11" s="624">
        <f t="shared" si="3"/>
        <v>0</v>
      </c>
      <c r="AC11" s="625">
        <f t="shared" si="4"/>
        <v>0</v>
      </c>
      <c r="AD11" s="626" t="str">
        <f t="shared" si="22"/>
        <v/>
      </c>
      <c r="AE11" s="627" t="e">
        <f t="shared" si="14"/>
        <v>#DIV/0!</v>
      </c>
      <c r="AF11" s="628" t="e">
        <f t="shared" si="23"/>
        <v>#DIV/0!</v>
      </c>
      <c r="AG11" s="627" t="e">
        <f t="shared" si="5"/>
        <v>#DIV/0!</v>
      </c>
      <c r="AH11" s="629"/>
      <c r="AI11" s="630"/>
      <c r="AJ11" s="631">
        <v>257</v>
      </c>
      <c r="AK11" s="413"/>
      <c r="AL11" s="414">
        <f t="shared" si="15"/>
        <v>0</v>
      </c>
      <c r="AM11" s="414">
        <f t="shared" si="6"/>
        <v>0</v>
      </c>
      <c r="AN11" s="414">
        <f t="shared" si="7"/>
        <v>0</v>
      </c>
      <c r="AO11" s="411">
        <f t="shared" si="8"/>
        <v>0</v>
      </c>
      <c r="AP11" s="411">
        <f t="shared" si="9"/>
        <v>0</v>
      </c>
      <c r="AQ11" s="411">
        <f t="shared" si="16"/>
        <v>0</v>
      </c>
      <c r="AR11" s="208">
        <f t="shared" si="17"/>
        <v>0</v>
      </c>
      <c r="AS11" s="415">
        <f t="shared" si="10"/>
        <v>0</v>
      </c>
      <c r="AU11" s="380"/>
    </row>
    <row r="12" spans="2:47" s="411" customFormat="1" ht="30" customHeight="1" x14ac:dyDescent="0.55000000000000004">
      <c r="B12" s="326">
        <v>44656</v>
      </c>
      <c r="C12" s="634"/>
      <c r="D12" s="611"/>
      <c r="E12" s="632"/>
      <c r="F12" s="612" t="s">
        <v>118</v>
      </c>
      <c r="G12" s="633"/>
      <c r="H12" s="449"/>
      <c r="I12" s="612" t="s">
        <v>118</v>
      </c>
      <c r="J12" s="449">
        <f t="shared" si="18"/>
        <v>0</v>
      </c>
      <c r="K12" s="613" t="str">
        <f t="shared" si="0"/>
        <v/>
      </c>
      <c r="L12" s="614">
        <f t="shared" si="11"/>
        <v>0</v>
      </c>
      <c r="M12" s="638"/>
      <c r="N12" s="615"/>
      <c r="O12" s="615"/>
      <c r="P12" s="616">
        <f t="shared" si="19"/>
        <v>0</v>
      </c>
      <c r="Q12" s="613" t="str">
        <f t="shared" si="1"/>
        <v/>
      </c>
      <c r="R12" s="617">
        <f>+'[1]Daily All PIT'!O12</f>
        <v>35</v>
      </c>
      <c r="S12" s="618">
        <f t="shared" si="12"/>
        <v>0</v>
      </c>
      <c r="T12" s="619">
        <f t="shared" si="2"/>
        <v>0</v>
      </c>
      <c r="U12" s="620" t="e">
        <f>+'PIT GAR 42'!R12+#REF!</f>
        <v>#REF!</v>
      </c>
      <c r="V12" s="620" t="e">
        <f>+'PIT GAR 42'!S12+#REF!</f>
        <v>#REF!</v>
      </c>
      <c r="W12" s="621" t="e">
        <f t="shared" si="20"/>
        <v>#REF!</v>
      </c>
      <c r="X12" s="622">
        <f t="shared" si="13"/>
        <v>0</v>
      </c>
      <c r="Y12" s="469"/>
      <c r="Z12" s="469"/>
      <c r="AA12" s="623">
        <f t="shared" si="21"/>
        <v>0</v>
      </c>
      <c r="AB12" s="624">
        <f t="shared" si="3"/>
        <v>0</v>
      </c>
      <c r="AC12" s="625">
        <f t="shared" si="4"/>
        <v>0</v>
      </c>
      <c r="AD12" s="626" t="str">
        <f t="shared" si="22"/>
        <v/>
      </c>
      <c r="AE12" s="627" t="e">
        <f t="shared" si="14"/>
        <v>#DIV/0!</v>
      </c>
      <c r="AF12" s="628" t="e">
        <f t="shared" si="23"/>
        <v>#DIV/0!</v>
      </c>
      <c r="AG12" s="627" t="e">
        <f t="shared" si="5"/>
        <v>#DIV/0!</v>
      </c>
      <c r="AH12" s="629"/>
      <c r="AI12" s="630"/>
      <c r="AJ12" s="631">
        <v>877</v>
      </c>
      <c r="AK12" s="413"/>
      <c r="AL12" s="414">
        <f t="shared" si="15"/>
        <v>0</v>
      </c>
      <c r="AM12" s="414">
        <f t="shared" si="6"/>
        <v>0</v>
      </c>
      <c r="AN12" s="414">
        <f t="shared" si="7"/>
        <v>0</v>
      </c>
      <c r="AO12" s="411">
        <f t="shared" si="8"/>
        <v>0</v>
      </c>
      <c r="AP12" s="411">
        <f t="shared" si="9"/>
        <v>0</v>
      </c>
      <c r="AQ12" s="411">
        <f t="shared" si="16"/>
        <v>0</v>
      </c>
      <c r="AR12" s="208">
        <f t="shared" si="17"/>
        <v>0</v>
      </c>
      <c r="AS12" s="415">
        <f t="shared" si="10"/>
        <v>0</v>
      </c>
      <c r="AU12" s="380"/>
    </row>
    <row r="13" spans="2:47" s="411" customFormat="1" ht="30" customHeight="1" x14ac:dyDescent="0.55000000000000004">
      <c r="B13" s="326">
        <v>44657</v>
      </c>
      <c r="C13" s="634"/>
      <c r="D13" s="611"/>
      <c r="E13" s="632"/>
      <c r="F13" s="612" t="s">
        <v>118</v>
      </c>
      <c r="G13" s="611"/>
      <c r="H13" s="449"/>
      <c r="I13" s="612" t="s">
        <v>118</v>
      </c>
      <c r="J13" s="449">
        <f t="shared" si="18"/>
        <v>0</v>
      </c>
      <c r="K13" s="613" t="str">
        <f t="shared" si="0"/>
        <v/>
      </c>
      <c r="L13" s="614">
        <f t="shared" si="11"/>
        <v>0</v>
      </c>
      <c r="M13" s="638"/>
      <c r="N13" s="615"/>
      <c r="O13" s="615"/>
      <c r="P13" s="616">
        <f t="shared" si="19"/>
        <v>0</v>
      </c>
      <c r="Q13" s="613" t="str">
        <f t="shared" si="1"/>
        <v/>
      </c>
      <c r="R13" s="617">
        <f>+'[1]Daily All PIT'!O13</f>
        <v>83</v>
      </c>
      <c r="S13" s="618">
        <f t="shared" si="12"/>
        <v>0</v>
      </c>
      <c r="T13" s="619">
        <f t="shared" si="2"/>
        <v>0</v>
      </c>
      <c r="U13" s="620" t="e">
        <f>+'PIT GAR 42'!R13+#REF!</f>
        <v>#REF!</v>
      </c>
      <c r="V13" s="620" t="e">
        <f>+'PIT GAR 42'!S13+#REF!</f>
        <v>#REF!</v>
      </c>
      <c r="W13" s="621" t="e">
        <f t="shared" si="20"/>
        <v>#REF!</v>
      </c>
      <c r="X13" s="622">
        <f t="shared" si="13"/>
        <v>0</v>
      </c>
      <c r="Y13" s="469"/>
      <c r="Z13" s="469"/>
      <c r="AA13" s="623">
        <f t="shared" si="21"/>
        <v>0</v>
      </c>
      <c r="AB13" s="624">
        <f t="shared" si="3"/>
        <v>0</v>
      </c>
      <c r="AC13" s="625">
        <f t="shared" si="4"/>
        <v>0</v>
      </c>
      <c r="AD13" s="626" t="str">
        <f t="shared" si="22"/>
        <v/>
      </c>
      <c r="AE13" s="627" t="e">
        <f t="shared" si="14"/>
        <v>#DIV/0!</v>
      </c>
      <c r="AF13" s="628" t="e">
        <f t="shared" si="23"/>
        <v>#DIV/0!</v>
      </c>
      <c r="AG13" s="627" t="e">
        <f t="shared" si="5"/>
        <v>#DIV/0!</v>
      </c>
      <c r="AH13" s="629"/>
      <c r="AI13" s="630"/>
      <c r="AJ13" s="631">
        <v>883</v>
      </c>
      <c r="AK13" s="413"/>
      <c r="AL13" s="414">
        <f t="shared" si="15"/>
        <v>0</v>
      </c>
      <c r="AM13" s="414">
        <f t="shared" si="6"/>
        <v>0</v>
      </c>
      <c r="AN13" s="414">
        <f t="shared" si="7"/>
        <v>0</v>
      </c>
      <c r="AO13" s="411">
        <f t="shared" si="8"/>
        <v>0</v>
      </c>
      <c r="AP13" s="411">
        <f t="shared" si="9"/>
        <v>0</v>
      </c>
      <c r="AQ13" s="411">
        <f t="shared" si="16"/>
        <v>0</v>
      </c>
      <c r="AR13" s="208">
        <f t="shared" si="17"/>
        <v>0</v>
      </c>
      <c r="AS13" s="415">
        <f t="shared" si="10"/>
        <v>0</v>
      </c>
      <c r="AU13" s="380"/>
    </row>
    <row r="14" spans="2:47" s="411" customFormat="1" ht="30" customHeight="1" x14ac:dyDescent="0.55000000000000004">
      <c r="B14" s="326">
        <v>44658</v>
      </c>
      <c r="C14" s="641"/>
      <c r="D14" s="611"/>
      <c r="E14" s="632"/>
      <c r="F14" s="612" t="s">
        <v>118</v>
      </c>
      <c r="G14" s="611"/>
      <c r="H14" s="449"/>
      <c r="I14" s="612" t="s">
        <v>118</v>
      </c>
      <c r="J14" s="449">
        <f t="shared" si="18"/>
        <v>0</v>
      </c>
      <c r="K14" s="613" t="str">
        <f t="shared" si="0"/>
        <v/>
      </c>
      <c r="L14" s="614">
        <f t="shared" si="11"/>
        <v>0</v>
      </c>
      <c r="M14" s="642"/>
      <c r="N14" s="615"/>
      <c r="O14" s="615"/>
      <c r="P14" s="616">
        <f t="shared" si="19"/>
        <v>0</v>
      </c>
      <c r="Q14" s="613" t="str">
        <f t="shared" si="1"/>
        <v/>
      </c>
      <c r="R14" s="617">
        <f>+'[1]Daily All PIT'!O14</f>
        <v>40</v>
      </c>
      <c r="S14" s="618">
        <f t="shared" si="12"/>
        <v>0</v>
      </c>
      <c r="T14" s="619">
        <f t="shared" si="2"/>
        <v>0</v>
      </c>
      <c r="U14" s="620" t="e">
        <f>+'PIT GAR 42'!R14+#REF!</f>
        <v>#REF!</v>
      </c>
      <c r="V14" s="620" t="e">
        <f>+'PIT GAR 42'!S14+#REF!</f>
        <v>#REF!</v>
      </c>
      <c r="W14" s="621" t="e">
        <f t="shared" si="20"/>
        <v>#REF!</v>
      </c>
      <c r="X14" s="622">
        <f t="shared" si="13"/>
        <v>0</v>
      </c>
      <c r="Y14" s="469"/>
      <c r="Z14" s="469"/>
      <c r="AA14" s="623">
        <f t="shared" si="21"/>
        <v>0</v>
      </c>
      <c r="AB14" s="624">
        <f t="shared" si="3"/>
        <v>0</v>
      </c>
      <c r="AC14" s="625">
        <f t="shared" si="4"/>
        <v>0</v>
      </c>
      <c r="AD14" s="626" t="str">
        <f t="shared" si="22"/>
        <v/>
      </c>
      <c r="AE14" s="627" t="e">
        <f t="shared" si="14"/>
        <v>#DIV/0!</v>
      </c>
      <c r="AF14" s="628" t="e">
        <f t="shared" si="23"/>
        <v>#DIV/0!</v>
      </c>
      <c r="AG14" s="627" t="e">
        <f t="shared" si="5"/>
        <v>#DIV/0!</v>
      </c>
      <c r="AH14" s="629"/>
      <c r="AI14" s="630"/>
      <c r="AJ14" s="631">
        <v>593</v>
      </c>
      <c r="AK14" s="640"/>
      <c r="AL14" s="414">
        <f t="shared" si="15"/>
        <v>0</v>
      </c>
      <c r="AM14" s="414">
        <f t="shared" si="6"/>
        <v>0</v>
      </c>
      <c r="AN14" s="414">
        <f t="shared" si="7"/>
        <v>0</v>
      </c>
      <c r="AO14" s="411">
        <f t="shared" si="8"/>
        <v>0</v>
      </c>
      <c r="AP14" s="411">
        <f t="shared" si="9"/>
        <v>0</v>
      </c>
      <c r="AQ14" s="411">
        <f t="shared" si="16"/>
        <v>0</v>
      </c>
      <c r="AR14" s="208">
        <f t="shared" si="17"/>
        <v>0</v>
      </c>
      <c r="AS14" s="415">
        <f t="shared" si="10"/>
        <v>0</v>
      </c>
      <c r="AU14" s="380"/>
    </row>
    <row r="15" spans="2:47" s="411" customFormat="1" ht="30" customHeight="1" x14ac:dyDescent="0.55000000000000004">
      <c r="B15" s="326">
        <v>44659</v>
      </c>
      <c r="C15" s="643"/>
      <c r="D15" s="611"/>
      <c r="E15" s="632"/>
      <c r="F15" s="612" t="s">
        <v>118</v>
      </c>
      <c r="G15" s="611"/>
      <c r="H15" s="449"/>
      <c r="I15" s="612" t="s">
        <v>118</v>
      </c>
      <c r="J15" s="449">
        <f t="shared" si="18"/>
        <v>0</v>
      </c>
      <c r="K15" s="613" t="str">
        <f t="shared" si="0"/>
        <v/>
      </c>
      <c r="L15" s="614">
        <f t="shared" si="11"/>
        <v>0</v>
      </c>
      <c r="M15" s="642"/>
      <c r="N15" s="615"/>
      <c r="O15" s="615"/>
      <c r="P15" s="616">
        <f t="shared" si="19"/>
        <v>0</v>
      </c>
      <c r="Q15" s="613" t="str">
        <f t="shared" si="1"/>
        <v/>
      </c>
      <c r="R15" s="617">
        <f>+'[1]Daily All PIT'!O15</f>
        <v>66</v>
      </c>
      <c r="S15" s="618">
        <f t="shared" si="12"/>
        <v>0</v>
      </c>
      <c r="T15" s="619">
        <f t="shared" si="2"/>
        <v>0</v>
      </c>
      <c r="U15" s="620" t="e">
        <f>+'PIT GAR 42'!R15+#REF!</f>
        <v>#REF!</v>
      </c>
      <c r="V15" s="620" t="e">
        <f>+'PIT GAR 42'!S15+#REF!</f>
        <v>#REF!</v>
      </c>
      <c r="W15" s="621" t="e">
        <f t="shared" si="20"/>
        <v>#REF!</v>
      </c>
      <c r="X15" s="622">
        <f t="shared" si="13"/>
        <v>0</v>
      </c>
      <c r="Y15" s="469"/>
      <c r="Z15" s="469"/>
      <c r="AA15" s="623">
        <f t="shared" si="21"/>
        <v>0</v>
      </c>
      <c r="AB15" s="624">
        <f t="shared" si="3"/>
        <v>0</v>
      </c>
      <c r="AC15" s="625">
        <f t="shared" si="4"/>
        <v>0</v>
      </c>
      <c r="AD15" s="626" t="str">
        <f t="shared" si="22"/>
        <v/>
      </c>
      <c r="AE15" s="627" t="e">
        <f t="shared" si="14"/>
        <v>#DIV/0!</v>
      </c>
      <c r="AF15" s="628" t="e">
        <f t="shared" si="23"/>
        <v>#DIV/0!</v>
      </c>
      <c r="AG15" s="627" t="e">
        <f t="shared" si="5"/>
        <v>#DIV/0!</v>
      </c>
      <c r="AH15" s="629"/>
      <c r="AI15" s="630"/>
      <c r="AJ15" s="631">
        <v>848</v>
      </c>
      <c r="AK15" s="640"/>
      <c r="AL15" s="414">
        <f t="shared" si="15"/>
        <v>0</v>
      </c>
      <c r="AM15" s="414">
        <f t="shared" si="6"/>
        <v>0</v>
      </c>
      <c r="AN15" s="414">
        <f t="shared" si="7"/>
        <v>0</v>
      </c>
      <c r="AO15" s="411">
        <f t="shared" si="8"/>
        <v>0</v>
      </c>
      <c r="AP15" s="411">
        <f t="shared" si="9"/>
        <v>0</v>
      </c>
      <c r="AQ15" s="411">
        <f t="shared" si="16"/>
        <v>0</v>
      </c>
      <c r="AR15" s="208">
        <f t="shared" si="17"/>
        <v>0</v>
      </c>
      <c r="AS15" s="415">
        <f t="shared" si="10"/>
        <v>0</v>
      </c>
      <c r="AU15" s="380"/>
    </row>
    <row r="16" spans="2:47" s="411" customFormat="1" ht="30" customHeight="1" x14ac:dyDescent="0.55000000000000004">
      <c r="B16" s="326">
        <v>44660</v>
      </c>
      <c r="C16" s="641"/>
      <c r="D16" s="611"/>
      <c r="E16" s="632"/>
      <c r="F16" s="612" t="s">
        <v>118</v>
      </c>
      <c r="G16" s="611"/>
      <c r="H16" s="449"/>
      <c r="I16" s="612" t="s">
        <v>118</v>
      </c>
      <c r="J16" s="449">
        <f t="shared" si="18"/>
        <v>0</v>
      </c>
      <c r="K16" s="613" t="str">
        <f t="shared" si="0"/>
        <v/>
      </c>
      <c r="L16" s="614">
        <f t="shared" si="11"/>
        <v>0</v>
      </c>
      <c r="M16" s="642"/>
      <c r="N16" s="615"/>
      <c r="O16" s="615"/>
      <c r="P16" s="616">
        <f t="shared" si="19"/>
        <v>0</v>
      </c>
      <c r="Q16" s="613" t="str">
        <f t="shared" si="1"/>
        <v/>
      </c>
      <c r="R16" s="617">
        <f>+'[1]Daily All PIT'!O16</f>
        <v>0</v>
      </c>
      <c r="S16" s="618">
        <f t="shared" si="12"/>
        <v>0</v>
      </c>
      <c r="T16" s="619">
        <f t="shared" si="2"/>
        <v>0</v>
      </c>
      <c r="U16" s="620" t="e">
        <f>+'PIT GAR 42'!R16+#REF!</f>
        <v>#REF!</v>
      </c>
      <c r="V16" s="620" t="e">
        <f>+'PIT GAR 42'!S16+#REF!</f>
        <v>#REF!</v>
      </c>
      <c r="W16" s="621" t="e">
        <f t="shared" si="20"/>
        <v>#REF!</v>
      </c>
      <c r="X16" s="622">
        <f t="shared" si="13"/>
        <v>0</v>
      </c>
      <c r="Y16" s="469"/>
      <c r="Z16" s="469"/>
      <c r="AA16" s="623">
        <f t="shared" si="21"/>
        <v>0</v>
      </c>
      <c r="AB16" s="624">
        <f t="shared" si="3"/>
        <v>0</v>
      </c>
      <c r="AC16" s="625">
        <f t="shared" si="4"/>
        <v>0</v>
      </c>
      <c r="AD16" s="626" t="str">
        <f t="shared" si="22"/>
        <v/>
      </c>
      <c r="AE16" s="627" t="e">
        <f t="shared" si="14"/>
        <v>#DIV/0!</v>
      </c>
      <c r="AF16" s="628" t="e">
        <f t="shared" si="23"/>
        <v>#DIV/0!</v>
      </c>
      <c r="AG16" s="627" t="e">
        <f t="shared" si="5"/>
        <v>#DIV/0!</v>
      </c>
      <c r="AH16" s="629"/>
      <c r="AI16" s="630"/>
      <c r="AJ16" s="631">
        <v>321</v>
      </c>
      <c r="AK16" s="640"/>
      <c r="AL16" s="414">
        <f t="shared" si="15"/>
        <v>0</v>
      </c>
      <c r="AM16" s="414">
        <f t="shared" si="6"/>
        <v>0</v>
      </c>
      <c r="AN16" s="414">
        <f t="shared" si="7"/>
        <v>0</v>
      </c>
      <c r="AO16" s="411">
        <f t="shared" si="8"/>
        <v>0</v>
      </c>
      <c r="AP16" s="411">
        <f t="shared" si="9"/>
        <v>0</v>
      </c>
      <c r="AQ16" s="411">
        <f t="shared" si="16"/>
        <v>0</v>
      </c>
      <c r="AR16" s="208">
        <f t="shared" si="17"/>
        <v>0</v>
      </c>
      <c r="AS16" s="415">
        <f t="shared" si="10"/>
        <v>0</v>
      </c>
      <c r="AU16" s="380"/>
    </row>
    <row r="17" spans="2:47" s="411" customFormat="1" ht="30" customHeight="1" x14ac:dyDescent="0.55000000000000004">
      <c r="B17" s="326">
        <v>44661</v>
      </c>
      <c r="C17" s="641"/>
      <c r="D17" s="611"/>
      <c r="E17" s="632"/>
      <c r="F17" s="612" t="s">
        <v>118</v>
      </c>
      <c r="G17" s="611"/>
      <c r="H17" s="449"/>
      <c r="I17" s="612" t="s">
        <v>118</v>
      </c>
      <c r="J17" s="449">
        <f t="shared" si="18"/>
        <v>0</v>
      </c>
      <c r="K17" s="613" t="str">
        <f t="shared" si="0"/>
        <v/>
      </c>
      <c r="L17" s="614">
        <f t="shared" si="11"/>
        <v>0</v>
      </c>
      <c r="M17" s="642"/>
      <c r="N17" s="615"/>
      <c r="O17" s="615"/>
      <c r="P17" s="616">
        <f t="shared" si="19"/>
        <v>0</v>
      </c>
      <c r="Q17" s="613" t="str">
        <f t="shared" si="1"/>
        <v/>
      </c>
      <c r="R17" s="617">
        <f>+'[1]Daily All PIT'!O17</f>
        <v>61</v>
      </c>
      <c r="S17" s="618">
        <f t="shared" si="12"/>
        <v>0</v>
      </c>
      <c r="T17" s="619">
        <f t="shared" si="2"/>
        <v>0</v>
      </c>
      <c r="U17" s="620" t="e">
        <f>+'PIT GAR 42'!R17+#REF!</f>
        <v>#REF!</v>
      </c>
      <c r="V17" s="620" t="e">
        <f>+'PIT GAR 42'!S17+#REF!</f>
        <v>#REF!</v>
      </c>
      <c r="W17" s="621" t="e">
        <f t="shared" si="20"/>
        <v>#REF!</v>
      </c>
      <c r="X17" s="622">
        <f t="shared" si="13"/>
        <v>0</v>
      </c>
      <c r="Y17" s="469"/>
      <c r="Z17" s="469"/>
      <c r="AA17" s="623">
        <f t="shared" si="21"/>
        <v>0</v>
      </c>
      <c r="AB17" s="624">
        <f t="shared" si="3"/>
        <v>0</v>
      </c>
      <c r="AC17" s="625">
        <f t="shared" si="4"/>
        <v>0</v>
      </c>
      <c r="AD17" s="626" t="str">
        <f t="shared" si="22"/>
        <v/>
      </c>
      <c r="AE17" s="627" t="e">
        <f t="shared" si="14"/>
        <v>#DIV/0!</v>
      </c>
      <c r="AF17" s="628" t="e">
        <f t="shared" si="23"/>
        <v>#DIV/0!</v>
      </c>
      <c r="AG17" s="627" t="e">
        <f t="shared" si="5"/>
        <v>#DIV/0!</v>
      </c>
      <c r="AH17" s="629"/>
      <c r="AI17" s="630"/>
      <c r="AJ17" s="631">
        <v>447</v>
      </c>
      <c r="AK17" s="413"/>
      <c r="AL17" s="414">
        <f t="shared" si="15"/>
        <v>0</v>
      </c>
      <c r="AM17" s="414">
        <f t="shared" si="6"/>
        <v>0</v>
      </c>
      <c r="AN17" s="414">
        <f t="shared" si="7"/>
        <v>0</v>
      </c>
      <c r="AO17" s="411">
        <f t="shared" si="8"/>
        <v>0</v>
      </c>
      <c r="AP17" s="411">
        <f t="shared" si="9"/>
        <v>0</v>
      </c>
      <c r="AQ17" s="411">
        <f t="shared" si="16"/>
        <v>0</v>
      </c>
      <c r="AR17" s="208">
        <f t="shared" si="17"/>
        <v>0</v>
      </c>
      <c r="AS17" s="415">
        <f t="shared" si="10"/>
        <v>0</v>
      </c>
      <c r="AU17" s="380"/>
    </row>
    <row r="18" spans="2:47" s="411" customFormat="1" ht="30" customHeight="1" x14ac:dyDescent="0.55000000000000004">
      <c r="B18" s="326">
        <v>44662</v>
      </c>
      <c r="C18" s="641"/>
      <c r="D18" s="611"/>
      <c r="E18" s="632"/>
      <c r="F18" s="612" t="s">
        <v>118</v>
      </c>
      <c r="G18" s="611"/>
      <c r="H18" s="449"/>
      <c r="I18" s="612" t="s">
        <v>118</v>
      </c>
      <c r="J18" s="449">
        <f>+D18+G18</f>
        <v>0</v>
      </c>
      <c r="K18" s="613" t="str">
        <f t="shared" si="0"/>
        <v/>
      </c>
      <c r="L18" s="614">
        <f t="shared" si="11"/>
        <v>0</v>
      </c>
      <c r="M18" s="642"/>
      <c r="N18" s="615"/>
      <c r="O18" s="615"/>
      <c r="P18" s="616">
        <f t="shared" si="19"/>
        <v>0</v>
      </c>
      <c r="Q18" s="613" t="str">
        <f t="shared" si="1"/>
        <v/>
      </c>
      <c r="R18" s="617">
        <f>+'[1]Daily All PIT'!O18</f>
        <v>34</v>
      </c>
      <c r="S18" s="618">
        <f t="shared" si="12"/>
        <v>0</v>
      </c>
      <c r="T18" s="619">
        <f t="shared" si="2"/>
        <v>0</v>
      </c>
      <c r="U18" s="620" t="e">
        <f>+'PIT GAR 42'!R18+#REF!</f>
        <v>#REF!</v>
      </c>
      <c r="V18" s="620" t="e">
        <f>+'PIT GAR 42'!S18+#REF!</f>
        <v>#REF!</v>
      </c>
      <c r="W18" s="621" t="e">
        <f t="shared" si="20"/>
        <v>#REF!</v>
      </c>
      <c r="X18" s="622">
        <f t="shared" si="13"/>
        <v>0</v>
      </c>
      <c r="Y18" s="469"/>
      <c r="Z18" s="469"/>
      <c r="AA18" s="623">
        <f t="shared" si="21"/>
        <v>0</v>
      </c>
      <c r="AB18" s="624">
        <f t="shared" si="3"/>
        <v>0</v>
      </c>
      <c r="AC18" s="625">
        <f t="shared" si="4"/>
        <v>0</v>
      </c>
      <c r="AD18" s="626" t="str">
        <f t="shared" si="22"/>
        <v/>
      </c>
      <c r="AE18" s="627" t="e">
        <f t="shared" si="14"/>
        <v>#DIV/0!</v>
      </c>
      <c r="AF18" s="628" t="e">
        <f t="shared" si="23"/>
        <v>#DIV/0!</v>
      </c>
      <c r="AG18" s="627" t="e">
        <f t="shared" si="5"/>
        <v>#DIV/0!</v>
      </c>
      <c r="AH18" s="629"/>
      <c r="AI18" s="630"/>
      <c r="AJ18" s="631">
        <v>1012</v>
      </c>
      <c r="AK18" s="413"/>
      <c r="AL18" s="414">
        <f t="shared" si="15"/>
        <v>0</v>
      </c>
      <c r="AM18" s="414">
        <f t="shared" si="6"/>
        <v>0</v>
      </c>
      <c r="AN18" s="414">
        <f t="shared" si="7"/>
        <v>0</v>
      </c>
      <c r="AO18" s="411">
        <f t="shared" si="8"/>
        <v>0</v>
      </c>
      <c r="AP18" s="411">
        <f t="shared" si="9"/>
        <v>0</v>
      </c>
      <c r="AQ18" s="411">
        <f t="shared" si="16"/>
        <v>0</v>
      </c>
      <c r="AR18" s="208">
        <f t="shared" si="17"/>
        <v>0</v>
      </c>
      <c r="AS18" s="415">
        <f t="shared" si="10"/>
        <v>0</v>
      </c>
      <c r="AU18" s="380">
        <v>20.100000000000001</v>
      </c>
    </row>
    <row r="19" spans="2:47" s="411" customFormat="1" ht="30" customHeight="1" x14ac:dyDescent="0.55000000000000004">
      <c r="B19" s="326">
        <v>44663</v>
      </c>
      <c r="C19" s="641"/>
      <c r="D19" s="611"/>
      <c r="E19" s="449"/>
      <c r="F19" s="612" t="s">
        <v>118</v>
      </c>
      <c r="G19" s="611"/>
      <c r="H19" s="449"/>
      <c r="I19" s="612" t="s">
        <v>118</v>
      </c>
      <c r="J19" s="449">
        <f t="shared" si="18"/>
        <v>0</v>
      </c>
      <c r="K19" s="613" t="str">
        <f t="shared" si="0"/>
        <v/>
      </c>
      <c r="L19" s="614">
        <f t="shared" si="11"/>
        <v>0</v>
      </c>
      <c r="M19" s="642"/>
      <c r="N19" s="615"/>
      <c r="O19" s="615"/>
      <c r="P19" s="616">
        <f t="shared" si="19"/>
        <v>0</v>
      </c>
      <c r="Q19" s="613" t="str">
        <f t="shared" si="1"/>
        <v/>
      </c>
      <c r="R19" s="617">
        <f>+'[1]Daily All PIT'!O19</f>
        <v>63</v>
      </c>
      <c r="S19" s="618">
        <f t="shared" si="12"/>
        <v>0</v>
      </c>
      <c r="T19" s="619">
        <f t="shared" si="2"/>
        <v>0</v>
      </c>
      <c r="U19" s="620" t="e">
        <f>+'PIT GAR 42'!R19+#REF!</f>
        <v>#REF!</v>
      </c>
      <c r="V19" s="620" t="e">
        <f>+'PIT GAR 42'!S19+#REF!</f>
        <v>#REF!</v>
      </c>
      <c r="W19" s="621" t="e">
        <f t="shared" si="20"/>
        <v>#REF!</v>
      </c>
      <c r="X19" s="622">
        <f t="shared" si="13"/>
        <v>0</v>
      </c>
      <c r="Y19" s="469"/>
      <c r="Z19" s="469"/>
      <c r="AA19" s="623">
        <f t="shared" si="21"/>
        <v>0</v>
      </c>
      <c r="AB19" s="624">
        <f t="shared" si="3"/>
        <v>0</v>
      </c>
      <c r="AC19" s="625">
        <f t="shared" si="4"/>
        <v>0</v>
      </c>
      <c r="AD19" s="626" t="str">
        <f t="shared" si="22"/>
        <v/>
      </c>
      <c r="AE19" s="627" t="e">
        <f t="shared" si="14"/>
        <v>#DIV/0!</v>
      </c>
      <c r="AF19" s="628" t="e">
        <f t="shared" si="23"/>
        <v>#DIV/0!</v>
      </c>
      <c r="AG19" s="627" t="e">
        <f t="shared" si="5"/>
        <v>#DIV/0!</v>
      </c>
      <c r="AH19" s="629"/>
      <c r="AI19" s="630"/>
      <c r="AJ19" s="631">
        <v>446</v>
      </c>
      <c r="AK19" s="413"/>
      <c r="AL19" s="414">
        <f t="shared" si="15"/>
        <v>0</v>
      </c>
      <c r="AM19" s="414">
        <f t="shared" si="6"/>
        <v>0</v>
      </c>
      <c r="AN19" s="414">
        <f t="shared" si="7"/>
        <v>0</v>
      </c>
      <c r="AO19" s="411">
        <f t="shared" si="8"/>
        <v>0</v>
      </c>
      <c r="AP19" s="411">
        <f t="shared" si="9"/>
        <v>0</v>
      </c>
      <c r="AQ19" s="411">
        <f t="shared" si="16"/>
        <v>0</v>
      </c>
      <c r="AR19" s="208">
        <f t="shared" si="17"/>
        <v>0</v>
      </c>
      <c r="AS19" s="415">
        <f t="shared" si="10"/>
        <v>0</v>
      </c>
      <c r="AU19" s="380">
        <v>19.760000000000002</v>
      </c>
    </row>
    <row r="20" spans="2:47" s="411" customFormat="1" ht="30" customHeight="1" x14ac:dyDescent="0.55000000000000004">
      <c r="B20" s="326">
        <v>44664</v>
      </c>
      <c r="C20" s="641"/>
      <c r="D20" s="610"/>
      <c r="E20" s="449"/>
      <c r="F20" s="612" t="s">
        <v>118</v>
      </c>
      <c r="G20" s="610"/>
      <c r="H20" s="449"/>
      <c r="I20" s="612" t="s">
        <v>118</v>
      </c>
      <c r="J20" s="449">
        <f t="shared" si="18"/>
        <v>0</v>
      </c>
      <c r="K20" s="613" t="str">
        <f t="shared" si="0"/>
        <v/>
      </c>
      <c r="L20" s="614">
        <f t="shared" si="11"/>
        <v>0</v>
      </c>
      <c r="M20" s="642"/>
      <c r="N20" s="615"/>
      <c r="O20" s="615"/>
      <c r="P20" s="616">
        <f t="shared" si="19"/>
        <v>0</v>
      </c>
      <c r="Q20" s="613" t="str">
        <f t="shared" si="1"/>
        <v/>
      </c>
      <c r="R20" s="617">
        <f>+'[1]Daily All PIT'!O20</f>
        <v>80</v>
      </c>
      <c r="S20" s="618">
        <f t="shared" si="12"/>
        <v>0</v>
      </c>
      <c r="T20" s="619">
        <f t="shared" si="2"/>
        <v>0</v>
      </c>
      <c r="U20" s="620" t="e">
        <f>+'PIT GAR 42'!R20+#REF!</f>
        <v>#REF!</v>
      </c>
      <c r="V20" s="620" t="e">
        <f>+'PIT GAR 42'!S20+#REF!</f>
        <v>#REF!</v>
      </c>
      <c r="W20" s="621" t="e">
        <f t="shared" si="20"/>
        <v>#REF!</v>
      </c>
      <c r="X20" s="622">
        <f t="shared" si="13"/>
        <v>0</v>
      </c>
      <c r="Y20" s="469"/>
      <c r="Z20" s="469"/>
      <c r="AA20" s="623">
        <f t="shared" si="21"/>
        <v>0</v>
      </c>
      <c r="AB20" s="624">
        <f t="shared" si="3"/>
        <v>0</v>
      </c>
      <c r="AC20" s="625">
        <f t="shared" si="4"/>
        <v>0</v>
      </c>
      <c r="AD20" s="626" t="str">
        <f t="shared" si="22"/>
        <v/>
      </c>
      <c r="AE20" s="627" t="e">
        <f t="shared" si="14"/>
        <v>#DIV/0!</v>
      </c>
      <c r="AF20" s="628" t="e">
        <f t="shared" si="23"/>
        <v>#DIV/0!</v>
      </c>
      <c r="AG20" s="627" t="e">
        <f t="shared" si="5"/>
        <v>#DIV/0!</v>
      </c>
      <c r="AH20" s="629"/>
      <c r="AI20" s="630"/>
      <c r="AJ20" s="631">
        <v>20</v>
      </c>
      <c r="AK20" s="413"/>
      <c r="AL20" s="414">
        <f t="shared" si="15"/>
        <v>0</v>
      </c>
      <c r="AM20" s="414">
        <f t="shared" si="6"/>
        <v>0</v>
      </c>
      <c r="AN20" s="414">
        <f t="shared" si="7"/>
        <v>0</v>
      </c>
      <c r="AO20" s="411">
        <f t="shared" si="8"/>
        <v>0</v>
      </c>
      <c r="AP20" s="411">
        <f t="shared" si="9"/>
        <v>0</v>
      </c>
      <c r="AQ20" s="411">
        <f t="shared" si="16"/>
        <v>0</v>
      </c>
      <c r="AR20" s="208">
        <f t="shared" si="17"/>
        <v>0</v>
      </c>
      <c r="AS20" s="415">
        <f t="shared" si="10"/>
        <v>0</v>
      </c>
      <c r="AU20" s="380">
        <v>20.059999999999999</v>
      </c>
    </row>
    <row r="21" spans="2:47" s="176" customFormat="1" ht="30" customHeight="1" x14ac:dyDescent="0.55000000000000004">
      <c r="B21" s="583">
        <v>44665</v>
      </c>
      <c r="C21" s="634"/>
      <c r="D21" s="584"/>
      <c r="E21" s="608"/>
      <c r="F21" s="586" t="s">
        <v>118</v>
      </c>
      <c r="G21" s="584"/>
      <c r="H21" s="587"/>
      <c r="I21" s="586" t="s">
        <v>118</v>
      </c>
      <c r="J21" s="587">
        <f t="shared" si="18"/>
        <v>0</v>
      </c>
      <c r="K21" s="588" t="str">
        <f t="shared" si="0"/>
        <v/>
      </c>
      <c r="L21" s="589">
        <f t="shared" si="11"/>
        <v>0</v>
      </c>
      <c r="M21" s="638"/>
      <c r="N21" s="590"/>
      <c r="O21" s="590"/>
      <c r="P21" s="591">
        <f t="shared" si="19"/>
        <v>0</v>
      </c>
      <c r="Q21" s="588" t="str">
        <f t="shared" si="1"/>
        <v/>
      </c>
      <c r="R21" s="592">
        <f>+'[1]Daily All PIT'!O21</f>
        <v>61</v>
      </c>
      <c r="S21" s="593">
        <f t="shared" si="12"/>
        <v>0</v>
      </c>
      <c r="T21" s="594">
        <f t="shared" si="2"/>
        <v>0</v>
      </c>
      <c r="U21" s="595" t="e">
        <f>+'PIT GAR 42'!R21+#REF!</f>
        <v>#REF!</v>
      </c>
      <c r="V21" s="595" t="e">
        <f>+'PIT GAR 42'!S21+#REF!</f>
        <v>#REF!</v>
      </c>
      <c r="W21" s="596" t="e">
        <f t="shared" si="20"/>
        <v>#REF!</v>
      </c>
      <c r="X21" s="597">
        <f t="shared" si="13"/>
        <v>0</v>
      </c>
      <c r="Y21" s="609"/>
      <c r="Z21" s="609"/>
      <c r="AA21" s="598">
        <f t="shared" si="21"/>
        <v>0</v>
      </c>
      <c r="AB21" s="599">
        <f t="shared" si="3"/>
        <v>0</v>
      </c>
      <c r="AC21" s="600">
        <f t="shared" si="4"/>
        <v>0</v>
      </c>
      <c r="AD21" s="601" t="str">
        <f t="shared" si="22"/>
        <v/>
      </c>
      <c r="AE21" s="450" t="e">
        <f t="shared" si="14"/>
        <v>#DIV/0!</v>
      </c>
      <c r="AF21" s="452" t="e">
        <f t="shared" si="23"/>
        <v>#DIV/0!</v>
      </c>
      <c r="AG21" s="450" t="e">
        <f t="shared" si="5"/>
        <v>#DIV/0!</v>
      </c>
      <c r="AH21" s="602"/>
      <c r="AI21" s="603"/>
      <c r="AJ21" s="604">
        <v>0</v>
      </c>
      <c r="AK21" s="175"/>
      <c r="AL21" s="605">
        <f t="shared" si="15"/>
        <v>0</v>
      </c>
      <c r="AM21" s="605">
        <f t="shared" si="6"/>
        <v>0</v>
      </c>
      <c r="AN21" s="605">
        <f t="shared" si="7"/>
        <v>0</v>
      </c>
      <c r="AO21" s="176">
        <f t="shared" si="8"/>
        <v>0</v>
      </c>
      <c r="AP21" s="176">
        <f t="shared" si="9"/>
        <v>0</v>
      </c>
      <c r="AQ21" s="176">
        <f t="shared" si="16"/>
        <v>0</v>
      </c>
      <c r="AR21" s="209">
        <f t="shared" si="17"/>
        <v>0</v>
      </c>
      <c r="AS21" s="606">
        <f t="shared" si="10"/>
        <v>0</v>
      </c>
      <c r="AU21" s="607">
        <v>20.97</v>
      </c>
    </row>
    <row r="22" spans="2:47" s="411" customFormat="1" ht="30" customHeight="1" x14ac:dyDescent="0.55000000000000004">
      <c r="B22" s="326">
        <v>44666</v>
      </c>
      <c r="C22" s="643"/>
      <c r="D22" s="610"/>
      <c r="E22" s="632"/>
      <c r="F22" s="612" t="s">
        <v>118</v>
      </c>
      <c r="G22" s="610"/>
      <c r="H22" s="449"/>
      <c r="I22" s="612" t="s">
        <v>118</v>
      </c>
      <c r="J22" s="449">
        <f t="shared" si="18"/>
        <v>0</v>
      </c>
      <c r="K22" s="613" t="str">
        <f t="shared" si="0"/>
        <v/>
      </c>
      <c r="L22" s="614">
        <f t="shared" si="11"/>
        <v>0</v>
      </c>
      <c r="M22" s="642"/>
      <c r="N22" s="615"/>
      <c r="O22" s="615"/>
      <c r="P22" s="616">
        <f t="shared" si="19"/>
        <v>0</v>
      </c>
      <c r="Q22" s="613" t="str">
        <f t="shared" si="1"/>
        <v/>
      </c>
      <c r="R22" s="617">
        <v>112</v>
      </c>
      <c r="S22" s="618">
        <v>2015.5196850393702</v>
      </c>
      <c r="T22" s="619">
        <v>40751.51968503937</v>
      </c>
      <c r="U22" s="620">
        <v>0</v>
      </c>
      <c r="V22" s="620">
        <v>0</v>
      </c>
      <c r="W22" s="621">
        <v>0</v>
      </c>
      <c r="X22" s="622">
        <f t="shared" si="13"/>
        <v>0</v>
      </c>
      <c r="Y22" s="469"/>
      <c r="Z22" s="469"/>
      <c r="AA22" s="623">
        <f t="shared" si="21"/>
        <v>0</v>
      </c>
      <c r="AB22" s="624">
        <f t="shared" si="3"/>
        <v>0</v>
      </c>
      <c r="AC22" s="625">
        <f t="shared" si="4"/>
        <v>0</v>
      </c>
      <c r="AD22" s="626" t="str">
        <f t="shared" si="22"/>
        <v/>
      </c>
      <c r="AE22" s="627" t="e">
        <f t="shared" si="14"/>
        <v>#DIV/0!</v>
      </c>
      <c r="AF22" s="628" t="e">
        <f t="shared" si="23"/>
        <v>#DIV/0!</v>
      </c>
      <c r="AG22" s="627" t="e">
        <f t="shared" si="5"/>
        <v>#DIV/0!</v>
      </c>
      <c r="AH22" s="629"/>
      <c r="AI22" s="630"/>
      <c r="AJ22" s="631">
        <v>871</v>
      </c>
      <c r="AK22" s="413"/>
      <c r="AL22" s="414">
        <f t="shared" si="15"/>
        <v>0</v>
      </c>
      <c r="AM22" s="414">
        <f t="shared" si="6"/>
        <v>0</v>
      </c>
      <c r="AN22" s="414">
        <f t="shared" si="7"/>
        <v>0</v>
      </c>
      <c r="AO22" s="411">
        <f t="shared" si="8"/>
        <v>0</v>
      </c>
      <c r="AP22" s="411">
        <f t="shared" si="9"/>
        <v>0</v>
      </c>
      <c r="AQ22" s="411">
        <f t="shared" si="16"/>
        <v>0</v>
      </c>
      <c r="AR22" s="208">
        <f t="shared" si="17"/>
        <v>-2015.5196850393702</v>
      </c>
      <c r="AS22" s="415">
        <f t="shared" si="10"/>
        <v>0</v>
      </c>
      <c r="AU22" s="380">
        <v>19.559999999999999</v>
      </c>
    </row>
    <row r="23" spans="2:47" s="176" customFormat="1" ht="30" customHeight="1" x14ac:dyDescent="0.55000000000000004">
      <c r="B23" s="496">
        <v>44667</v>
      </c>
      <c r="C23" s="636"/>
      <c r="D23" s="497"/>
      <c r="E23" s="535"/>
      <c r="F23" s="498" t="s">
        <v>118</v>
      </c>
      <c r="G23" s="497">
        <v>0</v>
      </c>
      <c r="H23" s="499"/>
      <c r="I23" s="498" t="s">
        <v>118</v>
      </c>
      <c r="J23" s="499">
        <f t="shared" si="18"/>
        <v>0</v>
      </c>
      <c r="K23" s="500" t="str">
        <f t="shared" si="0"/>
        <v/>
      </c>
      <c r="L23" s="536">
        <f t="shared" si="11"/>
        <v>0</v>
      </c>
      <c r="M23" s="639"/>
      <c r="N23" s="538"/>
      <c r="O23" s="538"/>
      <c r="P23" s="501">
        <f t="shared" si="19"/>
        <v>0</v>
      </c>
      <c r="Q23" s="500" t="str">
        <f t="shared" si="1"/>
        <v/>
      </c>
      <c r="R23" s="502">
        <v>128</v>
      </c>
      <c r="S23" s="503">
        <v>2405.6377952755902</v>
      </c>
      <c r="T23" s="504">
        <v>42821.637795275587</v>
      </c>
      <c r="U23" s="505">
        <v>0</v>
      </c>
      <c r="V23" s="505">
        <v>0</v>
      </c>
      <c r="W23" s="539">
        <v>0</v>
      </c>
      <c r="X23" s="540">
        <f t="shared" si="13"/>
        <v>0</v>
      </c>
      <c r="Y23" s="541"/>
      <c r="Z23" s="541"/>
      <c r="AA23" s="507">
        <f t="shared" si="21"/>
        <v>0</v>
      </c>
      <c r="AB23" s="508">
        <f t="shared" si="3"/>
        <v>0</v>
      </c>
      <c r="AC23" s="509">
        <f t="shared" si="4"/>
        <v>0</v>
      </c>
      <c r="AD23" s="510" t="str">
        <f t="shared" si="22"/>
        <v/>
      </c>
      <c r="AE23" s="511" t="e">
        <f t="shared" si="14"/>
        <v>#DIV/0!</v>
      </c>
      <c r="AF23" s="512" t="e">
        <f t="shared" si="23"/>
        <v>#DIV/0!</v>
      </c>
      <c r="AG23" s="511" t="e">
        <f t="shared" si="5"/>
        <v>#DIV/0!</v>
      </c>
      <c r="AH23" s="513"/>
      <c r="AI23" s="514"/>
      <c r="AJ23" s="604">
        <f>+'[2]Daily All PIT'!$AF$23</f>
        <v>366</v>
      </c>
      <c r="AK23" s="175"/>
      <c r="AL23" s="605">
        <f t="shared" si="15"/>
        <v>0</v>
      </c>
      <c r="AM23" s="605">
        <f t="shared" si="6"/>
        <v>0</v>
      </c>
      <c r="AN23" s="605">
        <f t="shared" si="7"/>
        <v>0</v>
      </c>
      <c r="AO23" s="176">
        <f t="shared" si="8"/>
        <v>0</v>
      </c>
      <c r="AP23" s="176">
        <f t="shared" si="9"/>
        <v>0</v>
      </c>
      <c r="AQ23" s="176">
        <f t="shared" si="16"/>
        <v>0</v>
      </c>
      <c r="AR23" s="209">
        <f t="shared" si="17"/>
        <v>-2405.6377952755902</v>
      </c>
      <c r="AS23" s="606">
        <f t="shared" si="10"/>
        <v>0</v>
      </c>
      <c r="AU23" s="607">
        <v>22.16</v>
      </c>
    </row>
    <row r="24" spans="2:47" s="411" customFormat="1" ht="30" customHeight="1" x14ac:dyDescent="0.55000000000000004">
      <c r="B24" s="496">
        <v>44668</v>
      </c>
      <c r="C24" s="636"/>
      <c r="D24" s="497">
        <v>0</v>
      </c>
      <c r="E24" s="535">
        <v>0</v>
      </c>
      <c r="F24" s="498" t="s">
        <v>118</v>
      </c>
      <c r="G24" s="497">
        <v>0</v>
      </c>
      <c r="H24" s="499">
        <v>0</v>
      </c>
      <c r="I24" s="498" t="s">
        <v>118</v>
      </c>
      <c r="J24" s="499">
        <f t="shared" si="18"/>
        <v>0</v>
      </c>
      <c r="K24" s="500" t="str">
        <f t="shared" si="0"/>
        <v/>
      </c>
      <c r="L24" s="536">
        <f t="shared" si="11"/>
        <v>0</v>
      </c>
      <c r="M24" s="639"/>
      <c r="N24" s="538">
        <v>0</v>
      </c>
      <c r="O24" s="538">
        <v>0</v>
      </c>
      <c r="P24" s="501">
        <f t="shared" si="19"/>
        <v>0</v>
      </c>
      <c r="Q24" s="500" t="str">
        <f t="shared" si="1"/>
        <v/>
      </c>
      <c r="R24" s="502">
        <v>64</v>
      </c>
      <c r="S24" s="503">
        <v>1188.748031496063</v>
      </c>
      <c r="T24" s="504">
        <v>41940.748031496063</v>
      </c>
      <c r="U24" s="505">
        <v>0</v>
      </c>
      <c r="V24" s="505">
        <v>0</v>
      </c>
      <c r="W24" s="539">
        <v>0</v>
      </c>
      <c r="X24" s="540">
        <f t="shared" si="13"/>
        <v>0</v>
      </c>
      <c r="Y24" s="541">
        <v>0</v>
      </c>
      <c r="Z24" s="541">
        <v>0</v>
      </c>
      <c r="AA24" s="507">
        <f t="shared" si="21"/>
        <v>0</v>
      </c>
      <c r="AB24" s="508">
        <f t="shared" si="3"/>
        <v>0</v>
      </c>
      <c r="AC24" s="509">
        <f t="shared" si="4"/>
        <v>0</v>
      </c>
      <c r="AD24" s="510" t="str">
        <f t="shared" si="22"/>
        <v/>
      </c>
      <c r="AE24" s="511" t="e">
        <f t="shared" si="14"/>
        <v>#DIV/0!</v>
      </c>
      <c r="AF24" s="512" t="e">
        <f t="shared" si="23"/>
        <v>#DIV/0!</v>
      </c>
      <c r="AG24" s="511" t="e">
        <f t="shared" si="5"/>
        <v>#DIV/0!</v>
      </c>
      <c r="AH24" s="513"/>
      <c r="AI24" s="514"/>
      <c r="AJ24" s="631">
        <v>900</v>
      </c>
      <c r="AK24" s="413"/>
      <c r="AL24" s="414">
        <f t="shared" si="15"/>
        <v>0</v>
      </c>
      <c r="AM24" s="414">
        <f t="shared" si="6"/>
        <v>0</v>
      </c>
      <c r="AN24" s="414">
        <f t="shared" si="7"/>
        <v>0</v>
      </c>
      <c r="AO24" s="411">
        <f t="shared" si="8"/>
        <v>0</v>
      </c>
      <c r="AP24" s="411">
        <f t="shared" si="9"/>
        <v>0</v>
      </c>
      <c r="AQ24" s="411">
        <f t="shared" si="16"/>
        <v>0</v>
      </c>
      <c r="AR24" s="208">
        <f t="shared" si="17"/>
        <v>-1188.748031496063</v>
      </c>
      <c r="AS24" s="415">
        <f t="shared" si="10"/>
        <v>0</v>
      </c>
      <c r="AU24" s="380">
        <v>21.71</v>
      </c>
    </row>
    <row r="25" spans="2:47" s="411" customFormat="1" ht="30" customHeight="1" x14ac:dyDescent="0.55000000000000004">
      <c r="B25" s="496">
        <v>44669</v>
      </c>
      <c r="C25" s="636"/>
      <c r="D25" s="497">
        <v>0</v>
      </c>
      <c r="E25" s="535">
        <v>0</v>
      </c>
      <c r="F25" s="498" t="s">
        <v>118</v>
      </c>
      <c r="G25" s="497">
        <v>0</v>
      </c>
      <c r="H25" s="499">
        <v>0</v>
      </c>
      <c r="I25" s="498" t="s">
        <v>118</v>
      </c>
      <c r="J25" s="499">
        <f t="shared" si="18"/>
        <v>0</v>
      </c>
      <c r="K25" s="500" t="str">
        <f t="shared" si="0"/>
        <v/>
      </c>
      <c r="L25" s="536">
        <f>J25-C25</f>
        <v>0</v>
      </c>
      <c r="M25" s="639"/>
      <c r="N25" s="538">
        <v>0</v>
      </c>
      <c r="O25" s="538">
        <v>0</v>
      </c>
      <c r="P25" s="501">
        <f t="shared" si="19"/>
        <v>0</v>
      </c>
      <c r="Q25" s="500" t="str">
        <f t="shared" si="1"/>
        <v/>
      </c>
      <c r="R25" s="502">
        <v>80</v>
      </c>
      <c r="S25" s="503">
        <v>1452.7165354330709</v>
      </c>
      <c r="T25" s="504">
        <v>32940.716535433072</v>
      </c>
      <c r="U25" s="505">
        <v>0</v>
      </c>
      <c r="V25" s="505">
        <v>0</v>
      </c>
      <c r="W25" s="539">
        <v>0</v>
      </c>
      <c r="X25" s="540">
        <f t="shared" si="13"/>
        <v>0</v>
      </c>
      <c r="Y25" s="541">
        <v>0</v>
      </c>
      <c r="Z25" s="541">
        <v>0</v>
      </c>
      <c r="AA25" s="507">
        <f t="shared" si="21"/>
        <v>0</v>
      </c>
      <c r="AB25" s="508">
        <f t="shared" si="3"/>
        <v>0</v>
      </c>
      <c r="AC25" s="509">
        <f t="shared" si="4"/>
        <v>0</v>
      </c>
      <c r="AD25" s="510" t="str">
        <f t="shared" si="22"/>
        <v/>
      </c>
      <c r="AE25" s="511" t="e">
        <f t="shared" si="14"/>
        <v>#DIV/0!</v>
      </c>
      <c r="AF25" s="512" t="e">
        <f t="shared" si="23"/>
        <v>#DIV/0!</v>
      </c>
      <c r="AG25" s="511" t="e">
        <f t="shared" si="5"/>
        <v>#DIV/0!</v>
      </c>
      <c r="AH25" s="513"/>
      <c r="AI25" s="514"/>
      <c r="AJ25" s="631">
        <v>275</v>
      </c>
      <c r="AK25" s="413"/>
      <c r="AL25" s="414">
        <f t="shared" si="15"/>
        <v>0</v>
      </c>
      <c r="AM25" s="414">
        <f t="shared" si="6"/>
        <v>0</v>
      </c>
      <c r="AN25" s="414">
        <f t="shared" si="7"/>
        <v>0</v>
      </c>
      <c r="AO25" s="411">
        <f t="shared" si="8"/>
        <v>0</v>
      </c>
      <c r="AP25" s="411">
        <f t="shared" si="9"/>
        <v>0</v>
      </c>
      <c r="AQ25" s="411">
        <f t="shared" si="16"/>
        <v>0</v>
      </c>
      <c r="AR25" s="208">
        <f t="shared" si="17"/>
        <v>-1452.7165354330709</v>
      </c>
      <c r="AS25" s="415">
        <f t="shared" si="10"/>
        <v>0</v>
      </c>
      <c r="AU25" s="380">
        <v>22.24</v>
      </c>
    </row>
    <row r="26" spans="2:47" s="411" customFormat="1" ht="30" customHeight="1" x14ac:dyDescent="0.55000000000000004">
      <c r="B26" s="496">
        <v>44670</v>
      </c>
      <c r="C26" s="636"/>
      <c r="D26" s="497">
        <v>0</v>
      </c>
      <c r="E26" s="535">
        <v>0</v>
      </c>
      <c r="F26" s="498" t="s">
        <v>118</v>
      </c>
      <c r="G26" s="497">
        <v>0</v>
      </c>
      <c r="H26" s="499">
        <v>0</v>
      </c>
      <c r="I26" s="498" t="s">
        <v>118</v>
      </c>
      <c r="J26" s="499">
        <f t="shared" si="18"/>
        <v>0</v>
      </c>
      <c r="K26" s="500" t="str">
        <f t="shared" si="0"/>
        <v/>
      </c>
      <c r="L26" s="536">
        <f t="shared" si="11"/>
        <v>0</v>
      </c>
      <c r="M26" s="639"/>
      <c r="N26" s="538">
        <v>0</v>
      </c>
      <c r="O26" s="538">
        <v>0</v>
      </c>
      <c r="P26" s="501">
        <f t="shared" si="19"/>
        <v>0</v>
      </c>
      <c r="Q26" s="500" t="str">
        <f t="shared" si="1"/>
        <v/>
      </c>
      <c r="R26" s="502">
        <f>+'[1]Daily All PIT'!O26</f>
        <v>80</v>
      </c>
      <c r="S26" s="503">
        <f t="shared" si="12"/>
        <v>0</v>
      </c>
      <c r="T26" s="504">
        <f t="shared" ref="T26:T31" si="24">J26+S26</f>
        <v>0</v>
      </c>
      <c r="U26" s="505" t="e">
        <f>+'PIT GAR 42'!R26+#REF!</f>
        <v>#REF!</v>
      </c>
      <c r="V26" s="505" t="e">
        <f>+'PIT GAR 42'!S26+#REF!</f>
        <v>#REF!</v>
      </c>
      <c r="W26" s="539" t="e">
        <f t="shared" si="20"/>
        <v>#REF!</v>
      </c>
      <c r="X26" s="540">
        <f t="shared" si="13"/>
        <v>0</v>
      </c>
      <c r="Y26" s="541">
        <v>0</v>
      </c>
      <c r="Z26" s="541">
        <v>0</v>
      </c>
      <c r="AA26" s="507">
        <f t="shared" si="21"/>
        <v>0</v>
      </c>
      <c r="AB26" s="508">
        <f t="shared" si="3"/>
        <v>0</v>
      </c>
      <c r="AC26" s="509">
        <f t="shared" si="4"/>
        <v>0</v>
      </c>
      <c r="AD26" s="510" t="str">
        <f t="shared" si="22"/>
        <v/>
      </c>
      <c r="AE26" s="511" t="e">
        <f t="shared" si="14"/>
        <v>#DIV/0!</v>
      </c>
      <c r="AF26" s="512" t="e">
        <f t="shared" si="23"/>
        <v>#DIV/0!</v>
      </c>
      <c r="AG26" s="511" t="e">
        <f t="shared" si="5"/>
        <v>#DIV/0!</v>
      </c>
      <c r="AH26" s="513"/>
      <c r="AI26" s="513"/>
      <c r="AJ26" s="631"/>
      <c r="AK26" s="413"/>
      <c r="AL26" s="414">
        <f t="shared" si="15"/>
        <v>0</v>
      </c>
      <c r="AM26" s="414">
        <f t="shared" si="6"/>
        <v>0</v>
      </c>
      <c r="AN26" s="414">
        <f t="shared" si="7"/>
        <v>0</v>
      </c>
      <c r="AO26" s="411">
        <f t="shared" si="8"/>
        <v>0</v>
      </c>
      <c r="AP26" s="411">
        <f t="shared" si="9"/>
        <v>0</v>
      </c>
      <c r="AQ26" s="411">
        <f t="shared" si="16"/>
        <v>0</v>
      </c>
      <c r="AR26" s="208">
        <f t="shared" si="17"/>
        <v>0</v>
      </c>
      <c r="AS26" s="415">
        <f t="shared" si="10"/>
        <v>0</v>
      </c>
      <c r="AU26" s="380">
        <v>21.9</v>
      </c>
    </row>
    <row r="27" spans="2:47" s="380" customFormat="1" ht="30" customHeight="1" x14ac:dyDescent="0.55000000000000004">
      <c r="B27" s="496">
        <v>44671</v>
      </c>
      <c r="C27" s="636"/>
      <c r="D27" s="497"/>
      <c r="E27" s="535"/>
      <c r="F27" s="498" t="s">
        <v>118</v>
      </c>
      <c r="G27" s="497"/>
      <c r="H27" s="499"/>
      <c r="I27" s="498" t="s">
        <v>118</v>
      </c>
      <c r="J27" s="499">
        <f t="shared" si="18"/>
        <v>0</v>
      </c>
      <c r="K27" s="500" t="str">
        <f t="shared" si="0"/>
        <v/>
      </c>
      <c r="L27" s="536">
        <f t="shared" si="11"/>
        <v>0</v>
      </c>
      <c r="M27" s="639"/>
      <c r="N27" s="538">
        <v>0</v>
      </c>
      <c r="O27" s="538">
        <v>0</v>
      </c>
      <c r="P27" s="501">
        <f t="shared" si="19"/>
        <v>0</v>
      </c>
      <c r="Q27" s="500" t="str">
        <f t="shared" si="1"/>
        <v/>
      </c>
      <c r="R27" s="502">
        <f>+'[1]Daily All PIT'!O27</f>
        <v>87</v>
      </c>
      <c r="S27" s="503">
        <f t="shared" si="12"/>
        <v>0</v>
      </c>
      <c r="T27" s="504">
        <f t="shared" si="24"/>
        <v>0</v>
      </c>
      <c r="U27" s="505" t="e">
        <f>+'PIT GAR 42'!R27+#REF!</f>
        <v>#REF!</v>
      </c>
      <c r="V27" s="505" t="e">
        <f>+'PIT GAR 42'!S27+#REF!</f>
        <v>#REF!</v>
      </c>
      <c r="W27" s="539" t="e">
        <f t="shared" si="20"/>
        <v>#REF!</v>
      </c>
      <c r="X27" s="540">
        <f t="shared" si="13"/>
        <v>0</v>
      </c>
      <c r="Y27" s="541"/>
      <c r="Z27" s="541"/>
      <c r="AA27" s="507">
        <f t="shared" si="21"/>
        <v>0</v>
      </c>
      <c r="AB27" s="508">
        <f t="shared" si="3"/>
        <v>0</v>
      </c>
      <c r="AC27" s="509">
        <f t="shared" si="4"/>
        <v>0</v>
      </c>
      <c r="AD27" s="510" t="str">
        <f t="shared" si="22"/>
        <v/>
      </c>
      <c r="AE27" s="511" t="e">
        <f t="shared" si="14"/>
        <v>#DIV/0!</v>
      </c>
      <c r="AF27" s="512" t="e">
        <f t="shared" si="23"/>
        <v>#DIV/0!</v>
      </c>
      <c r="AG27" s="511" t="e">
        <f t="shared" si="5"/>
        <v>#DIV/0!</v>
      </c>
      <c r="AH27" s="513"/>
      <c r="AI27" s="514"/>
      <c r="AJ27" s="631"/>
      <c r="AK27" s="644"/>
      <c r="AL27" s="645">
        <f t="shared" si="15"/>
        <v>0</v>
      </c>
      <c r="AM27" s="645">
        <f t="shared" si="6"/>
        <v>0</v>
      </c>
      <c r="AN27" s="645">
        <f t="shared" si="7"/>
        <v>0</v>
      </c>
      <c r="AO27" s="380">
        <f t="shared" si="8"/>
        <v>0</v>
      </c>
      <c r="AP27" s="380">
        <f t="shared" si="9"/>
        <v>0</v>
      </c>
      <c r="AQ27" s="380">
        <f t="shared" si="16"/>
        <v>0</v>
      </c>
      <c r="AR27" s="646">
        <f t="shared" si="17"/>
        <v>0</v>
      </c>
      <c r="AS27" s="647">
        <f t="shared" si="10"/>
        <v>0</v>
      </c>
      <c r="AU27" s="380">
        <f>34.75-13.11</f>
        <v>21.64</v>
      </c>
    </row>
    <row r="28" spans="2:47" s="366" customFormat="1" ht="30" customHeight="1" x14ac:dyDescent="0.55000000000000004">
      <c r="B28" s="496">
        <v>44672</v>
      </c>
      <c r="C28" s="636"/>
      <c r="D28" s="542"/>
      <c r="E28" s="543"/>
      <c r="F28" s="544" t="s">
        <v>118</v>
      </c>
      <c r="G28" s="542"/>
      <c r="H28" s="545"/>
      <c r="I28" s="544" t="s">
        <v>118</v>
      </c>
      <c r="J28" s="499">
        <f t="shared" si="18"/>
        <v>0</v>
      </c>
      <c r="K28" s="546" t="str">
        <f t="shared" si="0"/>
        <v/>
      </c>
      <c r="L28" s="547">
        <f t="shared" si="11"/>
        <v>0</v>
      </c>
      <c r="M28" s="639"/>
      <c r="N28" s="548">
        <v>0</v>
      </c>
      <c r="O28" s="548">
        <v>0</v>
      </c>
      <c r="P28" s="549">
        <f t="shared" si="19"/>
        <v>0</v>
      </c>
      <c r="Q28" s="546" t="str">
        <f t="shared" si="1"/>
        <v/>
      </c>
      <c r="R28" s="550">
        <f>+'[1]Daily All PIT'!O28</f>
        <v>99</v>
      </c>
      <c r="S28" s="551">
        <f t="shared" si="12"/>
        <v>0</v>
      </c>
      <c r="T28" s="552">
        <f t="shared" si="24"/>
        <v>0</v>
      </c>
      <c r="U28" s="553" t="e">
        <f>+'PIT GAR 42'!R28+#REF!</f>
        <v>#REF!</v>
      </c>
      <c r="V28" s="553" t="e">
        <f>+'PIT GAR 42'!S28+#REF!</f>
        <v>#REF!</v>
      </c>
      <c r="W28" s="554" t="e">
        <f t="shared" si="20"/>
        <v>#REF!</v>
      </c>
      <c r="X28" s="555">
        <f t="shared" si="13"/>
        <v>0</v>
      </c>
      <c r="Y28" s="541"/>
      <c r="Z28" s="541"/>
      <c r="AA28" s="556">
        <f t="shared" si="21"/>
        <v>0</v>
      </c>
      <c r="AB28" s="557">
        <f t="shared" si="3"/>
        <v>0</v>
      </c>
      <c r="AC28" s="558">
        <f t="shared" si="4"/>
        <v>0</v>
      </c>
      <c r="AD28" s="559" t="str">
        <f t="shared" si="22"/>
        <v/>
      </c>
      <c r="AE28" s="560" t="e">
        <f t="shared" si="14"/>
        <v>#DIV/0!</v>
      </c>
      <c r="AF28" s="561" t="e">
        <f t="shared" si="23"/>
        <v>#DIV/0!</v>
      </c>
      <c r="AG28" s="560" t="e">
        <f t="shared" si="5"/>
        <v>#DIV/0!</v>
      </c>
      <c r="AH28" s="562"/>
      <c r="AI28" s="563"/>
      <c r="AJ28" s="648"/>
      <c r="AK28" s="365"/>
      <c r="AL28" s="649">
        <f t="shared" si="15"/>
        <v>0</v>
      </c>
      <c r="AM28" s="649">
        <f t="shared" si="6"/>
        <v>0</v>
      </c>
      <c r="AN28" s="649">
        <f t="shared" si="7"/>
        <v>0</v>
      </c>
      <c r="AO28" s="366">
        <f t="shared" si="8"/>
        <v>0</v>
      </c>
      <c r="AP28" s="366">
        <f t="shared" si="9"/>
        <v>0</v>
      </c>
      <c r="AQ28" s="366">
        <f t="shared" si="16"/>
        <v>0</v>
      </c>
      <c r="AR28" s="416">
        <f t="shared" si="17"/>
        <v>0</v>
      </c>
      <c r="AS28" s="417">
        <f t="shared" si="10"/>
        <v>0</v>
      </c>
      <c r="AU28" s="366">
        <v>21</v>
      </c>
    </row>
    <row r="29" spans="2:47" s="521" customFormat="1" ht="30" customHeight="1" x14ac:dyDescent="0.55000000000000004">
      <c r="B29" s="496">
        <v>44673</v>
      </c>
      <c r="C29" s="637"/>
      <c r="D29" s="564"/>
      <c r="E29" s="543"/>
      <c r="F29" s="498" t="s">
        <v>118</v>
      </c>
      <c r="G29" s="565"/>
      <c r="H29" s="499"/>
      <c r="I29" s="498" t="s">
        <v>118</v>
      </c>
      <c r="J29" s="499">
        <f t="shared" si="18"/>
        <v>0</v>
      </c>
      <c r="K29" s="500" t="str">
        <f t="shared" si="0"/>
        <v/>
      </c>
      <c r="L29" s="536">
        <f t="shared" si="11"/>
        <v>0</v>
      </c>
      <c r="M29" s="639"/>
      <c r="N29" s="538">
        <v>0</v>
      </c>
      <c r="O29" s="538">
        <v>0</v>
      </c>
      <c r="P29" s="549">
        <f t="shared" si="19"/>
        <v>0</v>
      </c>
      <c r="Q29" s="500" t="str">
        <f t="shared" si="1"/>
        <v/>
      </c>
      <c r="R29" s="502">
        <f>+'[1]Daily All PIT'!O29</f>
        <v>73</v>
      </c>
      <c r="S29" s="503">
        <f t="shared" si="12"/>
        <v>0</v>
      </c>
      <c r="T29" s="504">
        <f t="shared" si="24"/>
        <v>0</v>
      </c>
      <c r="U29" s="505" t="e">
        <f>+'PIT GAR 42'!R29+#REF!</f>
        <v>#REF!</v>
      </c>
      <c r="V29" s="505" t="e">
        <f>+'PIT GAR 42'!S29+#REF!</f>
        <v>#REF!</v>
      </c>
      <c r="W29" s="539" t="e">
        <f t="shared" si="20"/>
        <v>#REF!</v>
      </c>
      <c r="X29" s="540">
        <f t="shared" si="13"/>
        <v>0</v>
      </c>
      <c r="Y29" s="541"/>
      <c r="Z29" s="541"/>
      <c r="AA29" s="507">
        <f t="shared" si="21"/>
        <v>0</v>
      </c>
      <c r="AB29" s="508">
        <f t="shared" si="3"/>
        <v>0</v>
      </c>
      <c r="AC29" s="509">
        <f t="shared" si="4"/>
        <v>0</v>
      </c>
      <c r="AD29" s="510" t="str">
        <f t="shared" si="22"/>
        <v/>
      </c>
      <c r="AE29" s="511" t="e">
        <f t="shared" si="14"/>
        <v>#DIV/0!</v>
      </c>
      <c r="AF29" s="512" t="e">
        <f t="shared" si="23"/>
        <v>#DIV/0!</v>
      </c>
      <c r="AG29" s="511" t="e">
        <f t="shared" si="5"/>
        <v>#DIV/0!</v>
      </c>
      <c r="AH29" s="566"/>
      <c r="AI29" s="567"/>
      <c r="AJ29" s="515"/>
      <c r="AK29" s="523"/>
      <c r="AL29" s="524">
        <f t="shared" si="15"/>
        <v>0</v>
      </c>
      <c r="AM29" s="524">
        <f t="shared" si="6"/>
        <v>0</v>
      </c>
      <c r="AN29" s="524">
        <f t="shared" si="7"/>
        <v>0</v>
      </c>
      <c r="AO29" s="521">
        <f t="shared" si="8"/>
        <v>0</v>
      </c>
      <c r="AP29" s="521">
        <f t="shared" si="9"/>
        <v>0</v>
      </c>
      <c r="AQ29" s="521">
        <f t="shared" si="16"/>
        <v>0</v>
      </c>
      <c r="AR29" s="525">
        <f t="shared" si="17"/>
        <v>0</v>
      </c>
      <c r="AS29" s="526">
        <f t="shared" si="10"/>
        <v>0</v>
      </c>
      <c r="AU29" s="521">
        <v>19.649999999999999</v>
      </c>
    </row>
    <row r="30" spans="2:47" s="521" customFormat="1" ht="30" customHeight="1" x14ac:dyDescent="0.55000000000000004">
      <c r="B30" s="496">
        <v>44674</v>
      </c>
      <c r="C30" s="636"/>
      <c r="D30" s="564"/>
      <c r="E30" s="568"/>
      <c r="F30" s="498" t="s">
        <v>118</v>
      </c>
      <c r="G30" s="565"/>
      <c r="H30" s="499"/>
      <c r="I30" s="498" t="s">
        <v>118</v>
      </c>
      <c r="J30" s="499">
        <f t="shared" si="18"/>
        <v>0</v>
      </c>
      <c r="K30" s="500" t="str">
        <f t="shared" si="0"/>
        <v/>
      </c>
      <c r="L30" s="536">
        <f t="shared" si="11"/>
        <v>0</v>
      </c>
      <c r="M30" s="639"/>
      <c r="N30" s="538">
        <v>0</v>
      </c>
      <c r="O30" s="538">
        <v>0</v>
      </c>
      <c r="P30" s="501">
        <f t="shared" si="19"/>
        <v>0</v>
      </c>
      <c r="Q30" s="500" t="str">
        <f t="shared" si="1"/>
        <v/>
      </c>
      <c r="R30" s="502">
        <f>+'[1]Daily All PIT'!O30</f>
        <v>14</v>
      </c>
      <c r="S30" s="503">
        <f t="shared" si="12"/>
        <v>0</v>
      </c>
      <c r="T30" s="504">
        <f t="shared" si="24"/>
        <v>0</v>
      </c>
      <c r="U30" s="505" t="e">
        <f>+'PIT GAR 42'!R30+#REF!</f>
        <v>#REF!</v>
      </c>
      <c r="V30" s="505" t="e">
        <f>+'PIT GAR 42'!S30+#REF!</f>
        <v>#REF!</v>
      </c>
      <c r="W30" s="539" t="e">
        <f t="shared" si="20"/>
        <v>#REF!</v>
      </c>
      <c r="X30" s="540">
        <f t="shared" si="13"/>
        <v>0</v>
      </c>
      <c r="Y30" s="541"/>
      <c r="Z30" s="541"/>
      <c r="AA30" s="507">
        <f t="shared" si="21"/>
        <v>0</v>
      </c>
      <c r="AB30" s="508">
        <f t="shared" si="3"/>
        <v>0</v>
      </c>
      <c r="AC30" s="509">
        <f t="shared" si="4"/>
        <v>0</v>
      </c>
      <c r="AD30" s="510" t="str">
        <f t="shared" si="22"/>
        <v/>
      </c>
      <c r="AE30" s="569" t="e">
        <f>+Y30/(D30+(N30/1.27))</f>
        <v>#DIV/0!</v>
      </c>
      <c r="AF30" s="512" t="e">
        <f t="shared" si="23"/>
        <v>#DIV/0!</v>
      </c>
      <c r="AG30" s="511" t="e">
        <f t="shared" si="5"/>
        <v>#DIV/0!</v>
      </c>
      <c r="AH30" s="570"/>
      <c r="AI30" s="571"/>
      <c r="AJ30" s="515"/>
      <c r="AK30" s="523"/>
      <c r="AL30" s="524">
        <f t="shared" si="15"/>
        <v>0</v>
      </c>
      <c r="AM30" s="524">
        <f t="shared" si="6"/>
        <v>0</v>
      </c>
      <c r="AN30" s="524">
        <f t="shared" si="7"/>
        <v>0</v>
      </c>
      <c r="AO30" s="521">
        <f t="shared" si="8"/>
        <v>0</v>
      </c>
      <c r="AP30" s="521">
        <f t="shared" si="9"/>
        <v>0</v>
      </c>
      <c r="AQ30" s="521">
        <f t="shared" si="16"/>
        <v>0</v>
      </c>
      <c r="AR30" s="525">
        <f t="shared" si="17"/>
        <v>0</v>
      </c>
      <c r="AS30" s="526">
        <f t="shared" si="10"/>
        <v>0</v>
      </c>
      <c r="AU30" s="521">
        <v>20.07</v>
      </c>
    </row>
    <row r="31" spans="2:47" s="521" customFormat="1" ht="30" customHeight="1" x14ac:dyDescent="0.55000000000000004">
      <c r="B31" s="496">
        <v>44675</v>
      </c>
      <c r="C31" s="636"/>
      <c r="D31" s="564"/>
      <c r="E31" s="535"/>
      <c r="F31" s="498" t="s">
        <v>118</v>
      </c>
      <c r="G31" s="565"/>
      <c r="H31" s="499"/>
      <c r="I31" s="498" t="s">
        <v>118</v>
      </c>
      <c r="J31" s="499">
        <f t="shared" si="18"/>
        <v>0</v>
      </c>
      <c r="K31" s="500" t="str">
        <f t="shared" si="0"/>
        <v/>
      </c>
      <c r="L31" s="536">
        <f t="shared" si="11"/>
        <v>0</v>
      </c>
      <c r="M31" s="639"/>
      <c r="N31" s="538">
        <v>0</v>
      </c>
      <c r="O31" s="538">
        <v>0</v>
      </c>
      <c r="P31" s="501">
        <f t="shared" si="19"/>
        <v>0</v>
      </c>
      <c r="Q31" s="500" t="str">
        <f t="shared" si="1"/>
        <v/>
      </c>
      <c r="R31" s="502">
        <f>+'[1]Daily All PIT'!O31</f>
        <v>55</v>
      </c>
      <c r="S31" s="503">
        <f t="shared" si="12"/>
        <v>0</v>
      </c>
      <c r="T31" s="504">
        <f t="shared" si="24"/>
        <v>0</v>
      </c>
      <c r="U31" s="505" t="e">
        <f>+'PIT GAR 42'!R31+#REF!</f>
        <v>#REF!</v>
      </c>
      <c r="V31" s="505" t="e">
        <f>+'PIT GAR 42'!S31+#REF!</f>
        <v>#REF!</v>
      </c>
      <c r="W31" s="539" t="e">
        <f t="shared" si="20"/>
        <v>#REF!</v>
      </c>
      <c r="X31" s="540">
        <f t="shared" si="13"/>
        <v>0</v>
      </c>
      <c r="Y31" s="541"/>
      <c r="Z31" s="541"/>
      <c r="AA31" s="507">
        <f t="shared" si="21"/>
        <v>0</v>
      </c>
      <c r="AB31" s="508">
        <f t="shared" si="3"/>
        <v>0</v>
      </c>
      <c r="AC31" s="509">
        <f t="shared" si="4"/>
        <v>0</v>
      </c>
      <c r="AD31" s="510" t="str">
        <f t="shared" si="22"/>
        <v/>
      </c>
      <c r="AE31" s="511" t="e">
        <f t="shared" si="14"/>
        <v>#DIV/0!</v>
      </c>
      <c r="AF31" s="512" t="e">
        <f t="shared" si="23"/>
        <v>#DIV/0!</v>
      </c>
      <c r="AG31" s="511" t="e">
        <f t="shared" si="5"/>
        <v>#DIV/0!</v>
      </c>
      <c r="AH31" s="570"/>
      <c r="AI31" s="571"/>
      <c r="AJ31" s="515"/>
      <c r="AK31" s="523"/>
      <c r="AL31" s="524">
        <f t="shared" si="15"/>
        <v>0</v>
      </c>
      <c r="AM31" s="524">
        <f t="shared" si="6"/>
        <v>0</v>
      </c>
      <c r="AN31" s="524">
        <f t="shared" si="7"/>
        <v>0</v>
      </c>
      <c r="AO31" s="521">
        <f t="shared" si="8"/>
        <v>0</v>
      </c>
      <c r="AP31" s="521">
        <f t="shared" si="9"/>
        <v>0</v>
      </c>
      <c r="AQ31" s="521">
        <f t="shared" si="16"/>
        <v>0</v>
      </c>
      <c r="AR31" s="525">
        <f t="shared" si="17"/>
        <v>0</v>
      </c>
      <c r="AS31" s="526">
        <f t="shared" si="10"/>
        <v>0</v>
      </c>
      <c r="AU31" s="521">
        <v>20.65</v>
      </c>
    </row>
    <row r="32" spans="2:47" s="518" customFormat="1" ht="30" customHeight="1" x14ac:dyDescent="0.55000000000000004">
      <c r="B32" s="496">
        <v>44676</v>
      </c>
      <c r="C32" s="636"/>
      <c r="D32" s="564"/>
      <c r="E32" s="535"/>
      <c r="F32" s="498" t="s">
        <v>118</v>
      </c>
      <c r="G32" s="565"/>
      <c r="H32" s="499"/>
      <c r="I32" s="498" t="s">
        <v>118</v>
      </c>
      <c r="J32" s="499">
        <f t="shared" si="18"/>
        <v>0</v>
      </c>
      <c r="K32" s="500" t="str">
        <f t="shared" si="0"/>
        <v/>
      </c>
      <c r="L32" s="536">
        <f t="shared" si="11"/>
        <v>0</v>
      </c>
      <c r="M32" s="639"/>
      <c r="N32" s="538">
        <v>0</v>
      </c>
      <c r="O32" s="538">
        <v>0</v>
      </c>
      <c r="P32" s="501">
        <f t="shared" si="19"/>
        <v>0</v>
      </c>
      <c r="Q32" s="500" t="str">
        <f t="shared" si="1"/>
        <v/>
      </c>
      <c r="R32" s="502"/>
      <c r="S32" s="503"/>
      <c r="T32" s="504"/>
      <c r="U32" s="505"/>
      <c r="V32" s="505"/>
      <c r="W32" s="539"/>
      <c r="X32" s="540">
        <f t="shared" si="13"/>
        <v>0</v>
      </c>
      <c r="Y32" s="541"/>
      <c r="Z32" s="541"/>
      <c r="AA32" s="507">
        <f t="shared" si="21"/>
        <v>0</v>
      </c>
      <c r="AB32" s="508">
        <f t="shared" si="3"/>
        <v>0</v>
      </c>
      <c r="AC32" s="509">
        <f t="shared" si="4"/>
        <v>0</v>
      </c>
      <c r="AD32" s="510" t="str">
        <f t="shared" si="22"/>
        <v/>
      </c>
      <c r="AE32" s="511" t="e">
        <f t="shared" si="14"/>
        <v>#DIV/0!</v>
      </c>
      <c r="AF32" s="512" t="e">
        <f t="shared" si="23"/>
        <v>#DIV/0!</v>
      </c>
      <c r="AG32" s="511" t="e">
        <f t="shared" si="5"/>
        <v>#DIV/0!</v>
      </c>
      <c r="AH32" s="566"/>
      <c r="AI32" s="567"/>
      <c r="AJ32" s="572"/>
      <c r="AK32" s="516"/>
      <c r="AL32" s="517">
        <f t="shared" si="15"/>
        <v>0</v>
      </c>
      <c r="AM32" s="517">
        <f t="shared" si="6"/>
        <v>0</v>
      </c>
      <c r="AN32" s="517">
        <f t="shared" si="7"/>
        <v>0</v>
      </c>
      <c r="AO32" s="518">
        <f t="shared" si="8"/>
        <v>0</v>
      </c>
      <c r="AP32" s="518">
        <f t="shared" si="9"/>
        <v>0</v>
      </c>
      <c r="AQ32" s="518">
        <f t="shared" si="16"/>
        <v>0</v>
      </c>
      <c r="AR32" s="519"/>
      <c r="AS32" s="520">
        <f t="shared" si="10"/>
        <v>0</v>
      </c>
      <c r="AU32" s="521"/>
    </row>
    <row r="33" spans="2:47" s="518" customFormat="1" ht="30" customHeight="1" x14ac:dyDescent="0.55000000000000004">
      <c r="B33" s="496">
        <v>44677</v>
      </c>
      <c r="C33" s="636"/>
      <c r="D33" s="497"/>
      <c r="E33" s="535"/>
      <c r="F33" s="498" t="s">
        <v>118</v>
      </c>
      <c r="G33" s="497"/>
      <c r="H33" s="522"/>
      <c r="I33" s="498" t="s">
        <v>118</v>
      </c>
      <c r="J33" s="499">
        <f t="shared" si="18"/>
        <v>0</v>
      </c>
      <c r="K33" s="500" t="str">
        <f t="shared" si="0"/>
        <v/>
      </c>
      <c r="L33" s="536">
        <f t="shared" si="11"/>
        <v>0</v>
      </c>
      <c r="M33" s="639"/>
      <c r="N33" s="538">
        <v>0</v>
      </c>
      <c r="O33" s="538">
        <v>0</v>
      </c>
      <c r="P33" s="501">
        <f t="shared" si="19"/>
        <v>0</v>
      </c>
      <c r="Q33" s="500" t="str">
        <f t="shared" si="1"/>
        <v/>
      </c>
      <c r="R33" s="502">
        <f>+'[1]Daily All PIT'!O33</f>
        <v>125</v>
      </c>
      <c r="S33" s="503">
        <f t="shared" si="12"/>
        <v>0</v>
      </c>
      <c r="T33" s="504">
        <f>J33+S33</f>
        <v>0</v>
      </c>
      <c r="U33" s="505" t="e">
        <f>+'PIT GAR 42'!R33+#REF!</f>
        <v>#REF!</v>
      </c>
      <c r="V33" s="505" t="e">
        <f>+'PIT GAR 42'!S33+#REF!</f>
        <v>#REF!</v>
      </c>
      <c r="W33" s="539" t="e">
        <f>U33+V33</f>
        <v>#REF!</v>
      </c>
      <c r="X33" s="540">
        <f t="shared" si="13"/>
        <v>0</v>
      </c>
      <c r="Y33" s="541"/>
      <c r="Z33" s="541"/>
      <c r="AA33" s="507">
        <f>+Y33+Z33</f>
        <v>0</v>
      </c>
      <c r="AB33" s="508">
        <f>+IFERROR(C33/M33,0)</f>
        <v>0</v>
      </c>
      <c r="AC33" s="509">
        <f>+IFERROR(J33/P33,0)</f>
        <v>0</v>
      </c>
      <c r="AD33" s="510" t="str">
        <f>IFERROR(+AC33/AB33,"")</f>
        <v/>
      </c>
      <c r="AE33" s="511" t="e">
        <f>+Y33/(D33+(N33/1.27))</f>
        <v>#DIV/0!</v>
      </c>
      <c r="AF33" s="512" t="e">
        <f>+Z33/(G33+(O33/1.27))</f>
        <v>#DIV/0!</v>
      </c>
      <c r="AG33" s="511" t="e">
        <f>+AA33/(J33+(P33/1.27))</f>
        <v>#DIV/0!</v>
      </c>
      <c r="AH33" s="570"/>
      <c r="AI33" s="571"/>
      <c r="AJ33" s="572"/>
      <c r="AK33" s="516"/>
      <c r="AL33" s="517">
        <f t="shared" si="15"/>
        <v>0</v>
      </c>
      <c r="AM33" s="517">
        <f t="shared" ref="AM33:AM38" si="25">+AO33+D33</f>
        <v>0</v>
      </c>
      <c r="AN33" s="517">
        <f t="shared" ref="AN33:AN38" si="26">+AP33+G33</f>
        <v>0</v>
      </c>
      <c r="AO33" s="518">
        <f t="shared" ref="AO33:AP38" si="27">+N33/1.27</f>
        <v>0</v>
      </c>
      <c r="AP33" s="518">
        <f t="shared" si="27"/>
        <v>0</v>
      </c>
      <c r="AQ33" s="518">
        <f t="shared" si="16"/>
        <v>0</v>
      </c>
      <c r="AR33" s="519">
        <f>+AQ33-S33</f>
        <v>0</v>
      </c>
      <c r="AS33" s="520">
        <f t="shared" ref="AS33:AS39" si="28">+AQ33+J33</f>
        <v>0</v>
      </c>
      <c r="AU33" s="521">
        <v>21.9</v>
      </c>
    </row>
    <row r="34" spans="2:47" s="518" customFormat="1" ht="30" customHeight="1" x14ac:dyDescent="0.55000000000000004">
      <c r="B34" s="496">
        <v>44678</v>
      </c>
      <c r="C34" s="636"/>
      <c r="D34" s="564"/>
      <c r="E34" s="535"/>
      <c r="F34" s="498" t="s">
        <v>118</v>
      </c>
      <c r="G34" s="497"/>
      <c r="H34" s="499"/>
      <c r="I34" s="498" t="s">
        <v>118</v>
      </c>
      <c r="J34" s="499">
        <f t="shared" si="18"/>
        <v>0</v>
      </c>
      <c r="K34" s="573" t="str">
        <f t="shared" si="0"/>
        <v/>
      </c>
      <c r="L34" s="536">
        <f t="shared" si="11"/>
        <v>0</v>
      </c>
      <c r="M34" s="639"/>
      <c r="N34" s="538">
        <v>0</v>
      </c>
      <c r="O34" s="538">
        <v>0</v>
      </c>
      <c r="P34" s="501">
        <f t="shared" si="19"/>
        <v>0</v>
      </c>
      <c r="Q34" s="500" t="str">
        <f t="shared" si="1"/>
        <v/>
      </c>
      <c r="R34" s="502">
        <f>+'[1]Daily All PIT'!O34</f>
        <v>63</v>
      </c>
      <c r="S34" s="503">
        <f t="shared" si="12"/>
        <v>0</v>
      </c>
      <c r="T34" s="504">
        <f>J34+S34</f>
        <v>0</v>
      </c>
      <c r="U34" s="505" t="e">
        <f>+'PIT GAR 42'!R34+#REF!</f>
        <v>#REF!</v>
      </c>
      <c r="V34" s="505" t="e">
        <f>+'PIT GAR 42'!S34+#REF!</f>
        <v>#REF!</v>
      </c>
      <c r="W34" s="506" t="e">
        <f>U34+V34</f>
        <v>#REF!</v>
      </c>
      <c r="X34" s="540">
        <f t="shared" si="13"/>
        <v>0</v>
      </c>
      <c r="Y34" s="541"/>
      <c r="Z34" s="541"/>
      <c r="AA34" s="507">
        <f t="shared" si="21"/>
        <v>0</v>
      </c>
      <c r="AB34" s="508">
        <f t="shared" si="3"/>
        <v>0</v>
      </c>
      <c r="AC34" s="509">
        <f t="shared" si="4"/>
        <v>0</v>
      </c>
      <c r="AD34" s="510" t="str">
        <f t="shared" si="22"/>
        <v/>
      </c>
      <c r="AE34" s="511" t="e">
        <f t="shared" si="14"/>
        <v>#DIV/0!</v>
      </c>
      <c r="AF34" s="512" t="e">
        <f t="shared" si="23"/>
        <v>#DIV/0!</v>
      </c>
      <c r="AG34" s="511" t="e">
        <f t="shared" ref="AG34:AG39" si="29">+AA34/(J34+(P34/1.27))</f>
        <v>#DIV/0!</v>
      </c>
      <c r="AH34" s="513"/>
      <c r="AI34" s="514"/>
      <c r="AJ34" s="572"/>
      <c r="AK34" s="516"/>
      <c r="AL34" s="517">
        <f t="shared" si="15"/>
        <v>0</v>
      </c>
      <c r="AM34" s="517">
        <f t="shared" si="25"/>
        <v>0</v>
      </c>
      <c r="AN34" s="517">
        <f t="shared" si="26"/>
        <v>0</v>
      </c>
      <c r="AO34" s="518">
        <f t="shared" si="27"/>
        <v>0</v>
      </c>
      <c r="AP34" s="518">
        <f t="shared" si="27"/>
        <v>0</v>
      </c>
      <c r="AQ34" s="518">
        <f t="shared" si="16"/>
        <v>0</v>
      </c>
      <c r="AR34" s="519">
        <f>+AQ34-S34</f>
        <v>0</v>
      </c>
      <c r="AS34" s="520">
        <f t="shared" si="28"/>
        <v>0</v>
      </c>
      <c r="AU34" s="521">
        <v>20.98</v>
      </c>
    </row>
    <row r="35" spans="2:47" s="518" customFormat="1" ht="30" customHeight="1" x14ac:dyDescent="0.55000000000000004">
      <c r="B35" s="496">
        <v>44679</v>
      </c>
      <c r="C35" s="636"/>
      <c r="D35" s="564"/>
      <c r="E35" s="535"/>
      <c r="F35" s="498" t="s">
        <v>118</v>
      </c>
      <c r="G35" s="565"/>
      <c r="H35" s="499"/>
      <c r="I35" s="498" t="s">
        <v>118</v>
      </c>
      <c r="J35" s="499">
        <f t="shared" si="18"/>
        <v>0</v>
      </c>
      <c r="K35" s="573" t="str">
        <f t="shared" si="0"/>
        <v/>
      </c>
      <c r="L35" s="536">
        <f t="shared" si="11"/>
        <v>0</v>
      </c>
      <c r="M35" s="639"/>
      <c r="N35" s="538">
        <v>0</v>
      </c>
      <c r="O35" s="538">
        <v>0</v>
      </c>
      <c r="P35" s="501">
        <f t="shared" si="19"/>
        <v>0</v>
      </c>
      <c r="Q35" s="500" t="str">
        <f t="shared" si="1"/>
        <v/>
      </c>
      <c r="R35" s="502">
        <f>+'[1]Daily All PIT'!O35</f>
        <v>35</v>
      </c>
      <c r="S35" s="503">
        <f t="shared" si="12"/>
        <v>0</v>
      </c>
      <c r="T35" s="504">
        <f>J35+S35</f>
        <v>0</v>
      </c>
      <c r="U35" s="505" t="e">
        <f>+'PIT GAR 42'!R35+#REF!</f>
        <v>#REF!</v>
      </c>
      <c r="V35" s="505" t="e">
        <f>+'PIT GAR 42'!S35+#REF!</f>
        <v>#REF!</v>
      </c>
      <c r="W35" s="506" t="e">
        <f>U35+V35</f>
        <v>#REF!</v>
      </c>
      <c r="X35" s="540">
        <f t="shared" si="13"/>
        <v>0</v>
      </c>
      <c r="Y35" s="541"/>
      <c r="Z35" s="541"/>
      <c r="AA35" s="507">
        <f t="shared" si="21"/>
        <v>0</v>
      </c>
      <c r="AB35" s="508">
        <f t="shared" si="3"/>
        <v>0</v>
      </c>
      <c r="AC35" s="509">
        <f t="shared" si="4"/>
        <v>0</v>
      </c>
      <c r="AD35" s="510" t="str">
        <f t="shared" si="22"/>
        <v/>
      </c>
      <c r="AE35" s="511" t="e">
        <f t="shared" si="14"/>
        <v>#DIV/0!</v>
      </c>
      <c r="AF35" s="512" t="e">
        <f t="shared" si="23"/>
        <v>#DIV/0!</v>
      </c>
      <c r="AG35" s="511" t="e">
        <f t="shared" si="29"/>
        <v>#DIV/0!</v>
      </c>
      <c r="AH35" s="513"/>
      <c r="AI35" s="514"/>
      <c r="AJ35" s="572"/>
      <c r="AK35" s="516"/>
      <c r="AL35" s="517">
        <f t="shared" si="15"/>
        <v>0</v>
      </c>
      <c r="AM35" s="517">
        <f t="shared" si="25"/>
        <v>0</v>
      </c>
      <c r="AN35" s="517">
        <f t="shared" si="26"/>
        <v>0</v>
      </c>
      <c r="AO35" s="518">
        <f t="shared" si="27"/>
        <v>0</v>
      </c>
      <c r="AP35" s="518">
        <f t="shared" si="27"/>
        <v>0</v>
      </c>
      <c r="AQ35" s="518">
        <f t="shared" si="16"/>
        <v>0</v>
      </c>
      <c r="AR35" s="519">
        <f>+AQ35-S35</f>
        <v>0</v>
      </c>
      <c r="AS35" s="520">
        <f t="shared" si="28"/>
        <v>0</v>
      </c>
      <c r="AU35" s="521">
        <v>21.08</v>
      </c>
    </row>
    <row r="36" spans="2:47" s="518" customFormat="1" ht="30" customHeight="1" x14ac:dyDescent="0.55000000000000004">
      <c r="B36" s="496">
        <v>44680</v>
      </c>
      <c r="C36" s="637"/>
      <c r="D36" s="564"/>
      <c r="E36" s="535"/>
      <c r="F36" s="498" t="s">
        <v>118</v>
      </c>
      <c r="G36" s="565"/>
      <c r="H36" s="499"/>
      <c r="I36" s="498" t="s">
        <v>118</v>
      </c>
      <c r="J36" s="499">
        <f t="shared" si="18"/>
        <v>0</v>
      </c>
      <c r="K36" s="573"/>
      <c r="L36" s="536">
        <f t="shared" si="11"/>
        <v>0</v>
      </c>
      <c r="M36" s="639"/>
      <c r="N36" s="538">
        <v>0</v>
      </c>
      <c r="O36" s="538">
        <v>0</v>
      </c>
      <c r="P36" s="501">
        <f t="shared" si="19"/>
        <v>0</v>
      </c>
      <c r="Q36" s="500" t="str">
        <f t="shared" si="1"/>
        <v/>
      </c>
      <c r="R36" s="502"/>
      <c r="S36" s="503">
        <f t="shared" si="12"/>
        <v>0</v>
      </c>
      <c r="T36" s="504">
        <f>J36+S36</f>
        <v>0</v>
      </c>
      <c r="U36" s="505"/>
      <c r="V36" s="505"/>
      <c r="W36" s="506"/>
      <c r="X36" s="575">
        <f t="shared" si="13"/>
        <v>0</v>
      </c>
      <c r="Y36" s="541"/>
      <c r="Z36" s="541"/>
      <c r="AA36" s="507">
        <f t="shared" si="21"/>
        <v>0</v>
      </c>
      <c r="AB36" s="508">
        <f t="shared" si="3"/>
        <v>0</v>
      </c>
      <c r="AC36" s="509">
        <f t="shared" si="4"/>
        <v>0</v>
      </c>
      <c r="AD36" s="510" t="str">
        <f t="shared" si="22"/>
        <v/>
      </c>
      <c r="AE36" s="511" t="e">
        <f t="shared" si="14"/>
        <v>#DIV/0!</v>
      </c>
      <c r="AF36" s="512" t="e">
        <f t="shared" si="23"/>
        <v>#DIV/0!</v>
      </c>
      <c r="AG36" s="511" t="e">
        <f t="shared" si="29"/>
        <v>#DIV/0!</v>
      </c>
      <c r="AH36" s="513"/>
      <c r="AI36" s="514"/>
      <c r="AJ36" s="572"/>
      <c r="AK36" s="516"/>
      <c r="AL36" s="517">
        <f t="shared" si="15"/>
        <v>0</v>
      </c>
      <c r="AM36" s="517">
        <f t="shared" si="25"/>
        <v>0</v>
      </c>
      <c r="AN36" s="517">
        <f t="shared" si="26"/>
        <v>0</v>
      </c>
      <c r="AO36" s="518">
        <f t="shared" si="27"/>
        <v>0</v>
      </c>
      <c r="AP36" s="518">
        <f t="shared" si="27"/>
        <v>0</v>
      </c>
      <c r="AQ36" s="518">
        <f t="shared" si="16"/>
        <v>0</v>
      </c>
      <c r="AR36" s="519">
        <f>+AQ36-S36</f>
        <v>0</v>
      </c>
      <c r="AS36" s="520">
        <f t="shared" si="28"/>
        <v>0</v>
      </c>
      <c r="AU36" s="521"/>
    </row>
    <row r="37" spans="2:47" s="518" customFormat="1" ht="30" customHeight="1" x14ac:dyDescent="0.55000000000000004">
      <c r="B37" s="496">
        <v>44681</v>
      </c>
      <c r="C37" s="636"/>
      <c r="D37" s="576"/>
      <c r="E37" s="577"/>
      <c r="F37" s="498" t="s">
        <v>118</v>
      </c>
      <c r="G37" s="576"/>
      <c r="H37" s="499"/>
      <c r="I37" s="498" t="s">
        <v>118</v>
      </c>
      <c r="J37" s="499">
        <f t="shared" si="18"/>
        <v>0</v>
      </c>
      <c r="K37" s="578"/>
      <c r="L37" s="579">
        <f t="shared" si="11"/>
        <v>0</v>
      </c>
      <c r="M37" s="639"/>
      <c r="N37" s="538">
        <v>0</v>
      </c>
      <c r="O37" s="538">
        <v>0</v>
      </c>
      <c r="P37" s="501">
        <f t="shared" si="19"/>
        <v>0</v>
      </c>
      <c r="Q37" s="530"/>
      <c r="R37" s="527"/>
      <c r="S37" s="531"/>
      <c r="T37" s="532"/>
      <c r="U37" s="533"/>
      <c r="V37" s="533"/>
      <c r="W37" s="534"/>
      <c r="X37" s="575">
        <f t="shared" si="13"/>
        <v>0</v>
      </c>
      <c r="Y37" s="541"/>
      <c r="Z37" s="541"/>
      <c r="AA37" s="507">
        <f t="shared" si="21"/>
        <v>0</v>
      </c>
      <c r="AB37" s="508">
        <f>+IFERROR(C37/M37,0)</f>
        <v>0</v>
      </c>
      <c r="AC37" s="509">
        <f>+IFERROR(J37/P37,0)</f>
        <v>0</v>
      </c>
      <c r="AD37" s="510" t="str">
        <f>IFERROR(+AC37/AB37,"")</f>
        <v/>
      </c>
      <c r="AE37" s="511" t="e">
        <f>+Y37/(D37+(N37/1.27))</f>
        <v>#DIV/0!</v>
      </c>
      <c r="AF37" s="512" t="e">
        <f>+Z37/(G37+(O37/1.27))</f>
        <v>#DIV/0!</v>
      </c>
      <c r="AG37" s="511" t="e">
        <f t="shared" si="29"/>
        <v>#DIV/0!</v>
      </c>
      <c r="AH37" s="528"/>
      <c r="AI37" s="529"/>
      <c r="AJ37" s="572"/>
      <c r="AK37" s="516"/>
      <c r="AL37" s="517">
        <f t="shared" si="15"/>
        <v>0</v>
      </c>
      <c r="AM37" s="517">
        <f t="shared" si="25"/>
        <v>0</v>
      </c>
      <c r="AN37" s="517">
        <f t="shared" si="26"/>
        <v>0</v>
      </c>
      <c r="AO37" s="518">
        <f t="shared" si="27"/>
        <v>0</v>
      </c>
      <c r="AP37" s="518">
        <f t="shared" si="27"/>
        <v>0</v>
      </c>
      <c r="AQ37" s="518">
        <f t="shared" si="16"/>
        <v>0</v>
      </c>
      <c r="AR37" s="519"/>
      <c r="AS37" s="520">
        <f t="shared" si="28"/>
        <v>0</v>
      </c>
      <c r="AU37" s="521"/>
    </row>
    <row r="38" spans="2:47" s="518" customFormat="1" ht="30" customHeight="1" thickBot="1" x14ac:dyDescent="0.6">
      <c r="B38" s="496">
        <v>44682</v>
      </c>
      <c r="C38" s="574"/>
      <c r="D38" s="576"/>
      <c r="E38" s="577"/>
      <c r="F38" s="498" t="s">
        <v>118</v>
      </c>
      <c r="G38" s="580"/>
      <c r="H38" s="581"/>
      <c r="I38" s="498" t="s">
        <v>118</v>
      </c>
      <c r="J38" s="499">
        <f t="shared" si="18"/>
        <v>0</v>
      </c>
      <c r="K38" s="578"/>
      <c r="L38" s="579">
        <f t="shared" si="11"/>
        <v>0</v>
      </c>
      <c r="M38" s="537"/>
      <c r="N38" s="538">
        <v>0</v>
      </c>
      <c r="O38" s="538">
        <v>0</v>
      </c>
      <c r="P38" s="501">
        <f>+O38+N38</f>
        <v>0</v>
      </c>
      <c r="Q38" s="530"/>
      <c r="R38" s="527"/>
      <c r="S38" s="531"/>
      <c r="T38" s="532"/>
      <c r="U38" s="533"/>
      <c r="V38" s="533"/>
      <c r="W38" s="534"/>
      <c r="X38" s="575">
        <f t="shared" si="13"/>
        <v>0</v>
      </c>
      <c r="Y38" s="541"/>
      <c r="Z38" s="541"/>
      <c r="AA38" s="507">
        <f t="shared" si="21"/>
        <v>0</v>
      </c>
      <c r="AB38" s="508">
        <f>+IFERROR(C38/M38,0)</f>
        <v>0</v>
      </c>
      <c r="AC38" s="509">
        <f>+IFERROR(J38/P38,0)</f>
        <v>0</v>
      </c>
      <c r="AD38" s="510" t="str">
        <f>IFERROR(+AC38/AB38,"")</f>
        <v/>
      </c>
      <c r="AE38" s="511" t="e">
        <f>+Y38/(D38+(N38/1.27))</f>
        <v>#DIV/0!</v>
      </c>
      <c r="AF38" s="512" t="e">
        <f>+Z38/(G38+(O38/1.27))</f>
        <v>#DIV/0!</v>
      </c>
      <c r="AG38" s="511" t="e">
        <f>+AA38/(J38+(P38/1.27))</f>
        <v>#DIV/0!</v>
      </c>
      <c r="AH38" s="582"/>
      <c r="AI38" s="529"/>
      <c r="AJ38" s="572"/>
      <c r="AK38" s="516"/>
      <c r="AL38" s="517">
        <f t="shared" si="15"/>
        <v>0</v>
      </c>
      <c r="AM38" s="517">
        <f t="shared" si="25"/>
        <v>0</v>
      </c>
      <c r="AN38" s="517">
        <f t="shared" si="26"/>
        <v>0</v>
      </c>
      <c r="AO38" s="518">
        <f t="shared" si="27"/>
        <v>0</v>
      </c>
      <c r="AP38" s="518">
        <f t="shared" si="27"/>
        <v>0</v>
      </c>
      <c r="AQ38" s="518">
        <f t="shared" si="16"/>
        <v>0</v>
      </c>
      <c r="AR38" s="519"/>
      <c r="AS38" s="520">
        <f t="shared" si="28"/>
        <v>0</v>
      </c>
      <c r="AU38" s="521"/>
    </row>
    <row r="39" spans="2:47" s="366" customFormat="1" ht="36.75" customHeight="1" thickBot="1" x14ac:dyDescent="0.6">
      <c r="B39" s="475"/>
      <c r="C39" s="324">
        <f>SUM(C8:C38)</f>
        <v>0</v>
      </c>
      <c r="D39" s="350">
        <f>SUM(D8:D38)</f>
        <v>0</v>
      </c>
      <c r="E39" s="487">
        <f>AVERAGE(E8:E38)</f>
        <v>0</v>
      </c>
      <c r="F39" s="350" t="s">
        <v>112</v>
      </c>
      <c r="G39" s="350">
        <f>SUM(G8:G38)</f>
        <v>0</v>
      </c>
      <c r="H39" s="477">
        <f>AVERAGE(H8:H38)</f>
        <v>0</v>
      </c>
      <c r="I39" s="447" t="s">
        <v>112</v>
      </c>
      <c r="J39" s="350">
        <f>SUM(J8:J38)</f>
        <v>0</v>
      </c>
      <c r="K39" s="351" t="str">
        <f>IFERROR(+J39/C39,"")</f>
        <v/>
      </c>
      <c r="L39" s="466">
        <f>SUM(L8:L38)</f>
        <v>0</v>
      </c>
      <c r="M39" s="324">
        <f>SUM(M8:M38)</f>
        <v>0</v>
      </c>
      <c r="N39" s="350">
        <f>SUM(N8:N38)</f>
        <v>0</v>
      </c>
      <c r="O39" s="350">
        <f>SUM(O8:O38)</f>
        <v>0</v>
      </c>
      <c r="P39" s="324">
        <f>SUM(P8:P38)</f>
        <v>0</v>
      </c>
      <c r="Q39" s="352" t="str">
        <f>IFERROR(+P39/M39,"")</f>
        <v/>
      </c>
      <c r="R39" s="353">
        <f>SUM(R8:R37)</f>
        <v>1810</v>
      </c>
      <c r="S39" s="354">
        <f>+P39/1.27</f>
        <v>0</v>
      </c>
      <c r="T39" s="355">
        <f>J39+S39</f>
        <v>0</v>
      </c>
      <c r="U39" s="356" t="e">
        <f>SUM(U8:U37)</f>
        <v>#REF!</v>
      </c>
      <c r="V39" s="356" t="e">
        <f>SUM(V8:V37)</f>
        <v>#REF!</v>
      </c>
      <c r="W39" s="356" t="e">
        <f>SUM(W8:W37)</f>
        <v>#REF!</v>
      </c>
      <c r="X39" s="468">
        <f>SUM(X8:X38)</f>
        <v>0</v>
      </c>
      <c r="Y39" s="350">
        <f>SUM(Y8:Y38)</f>
        <v>0</v>
      </c>
      <c r="Z39" s="350">
        <f>SUM(Z8:Z38)</f>
        <v>0</v>
      </c>
      <c r="AA39" s="350">
        <f>SUM(AA8:AA38)</f>
        <v>0</v>
      </c>
      <c r="AB39" s="357">
        <f>+IFERROR(C39/M39,0)</f>
        <v>0</v>
      </c>
      <c r="AC39" s="358" t="str">
        <f>+IFERROR(J39/P39,"")</f>
        <v/>
      </c>
      <c r="AD39" s="359" t="str">
        <f>IFERROR(+AC39/AB39,"")</f>
        <v/>
      </c>
      <c r="AE39" s="360" t="e">
        <f>+Y39/(D39+(N39/1.27))</f>
        <v>#DIV/0!</v>
      </c>
      <c r="AF39" s="361" t="e">
        <f>+Z39/(G39+(O39/1.27))</f>
        <v>#DIV/0!</v>
      </c>
      <c r="AG39" s="362" t="e">
        <f t="shared" si="29"/>
        <v>#DIV/0!</v>
      </c>
      <c r="AH39" s="363">
        <f>SUM(AH8:AH38)</f>
        <v>0</v>
      </c>
      <c r="AI39" s="363">
        <f>SUM(AI8:AI38)</f>
        <v>0</v>
      </c>
      <c r="AJ39" s="364">
        <f>SUM(AJ8:AJ38)</f>
        <v>10288</v>
      </c>
      <c r="AK39" s="365"/>
      <c r="AL39" s="325">
        <f>SUM(AL8:AL38)</f>
        <v>0</v>
      </c>
      <c r="AM39" s="325">
        <f>SUM(AM8:AM38)</f>
        <v>0</v>
      </c>
      <c r="AN39" s="325">
        <f>SUM(AN8:AN38)</f>
        <v>0</v>
      </c>
      <c r="AO39" s="366">
        <f>+N39/1.27</f>
        <v>0</v>
      </c>
      <c r="AP39" s="366">
        <f>+O39/1.27</f>
        <v>0</v>
      </c>
      <c r="AQ39" s="366">
        <f>+AP39+AO39</f>
        <v>0</v>
      </c>
      <c r="AR39" s="416">
        <f>+AQ39-S39</f>
        <v>0</v>
      </c>
      <c r="AS39" s="417">
        <f t="shared" si="28"/>
        <v>0</v>
      </c>
      <c r="AU39" s="366">
        <v>19.71</v>
      </c>
    </row>
    <row r="40" spans="2:47" s="379" customFormat="1" ht="21.75" customHeight="1" x14ac:dyDescent="0.55000000000000004">
      <c r="B40" s="312"/>
      <c r="C40" s="274"/>
      <c r="D40" s="367"/>
      <c r="E40" s="488"/>
      <c r="F40" s="367"/>
      <c r="G40" s="367"/>
      <c r="H40" s="481"/>
      <c r="I40" s="368"/>
      <c r="J40" s="313"/>
      <c r="K40" s="369"/>
      <c r="L40" s="369"/>
      <c r="M40" s="313"/>
      <c r="N40" s="370"/>
      <c r="O40" s="370"/>
      <c r="P40" s="370"/>
      <c r="Q40" s="371"/>
      <c r="R40" s="372"/>
      <c r="S40" s="373"/>
      <c r="T40" s="373"/>
      <c r="U40" s="374"/>
      <c r="V40" s="374"/>
      <c r="W40" s="374"/>
      <c r="X40" s="374"/>
      <c r="Y40" s="374"/>
      <c r="Z40" s="374"/>
      <c r="AA40" s="274" t="e">
        <f>+AA39/(J39+(P39/1.27))=AG39</f>
        <v>#DIV/0!</v>
      </c>
      <c r="AB40" s="375"/>
      <c r="AC40" s="375"/>
      <c r="AD40" s="376"/>
      <c r="AE40" s="375"/>
      <c r="AF40" s="375"/>
      <c r="AG40" s="375"/>
      <c r="AH40" s="377"/>
      <c r="AI40" s="377"/>
      <c r="AJ40" s="367"/>
      <c r="AK40" s="378"/>
      <c r="AL40" s="208"/>
      <c r="AM40" s="208"/>
      <c r="AN40" s="208"/>
      <c r="AU40" s="380">
        <v>19.7</v>
      </c>
    </row>
    <row r="41" spans="2:47" ht="17.25" customHeight="1" thickBot="1" x14ac:dyDescent="0.6">
      <c r="B41" s="418"/>
      <c r="C41" s="314"/>
      <c r="D41" s="418"/>
      <c r="E41" s="420"/>
      <c r="F41" s="418"/>
      <c r="G41" s="314"/>
      <c r="H41" s="482"/>
      <c r="I41" s="314"/>
      <c r="J41" s="419"/>
      <c r="K41" s="418"/>
      <c r="L41" s="418"/>
      <c r="M41" s="419"/>
      <c r="N41" s="314"/>
      <c r="O41" s="314"/>
      <c r="P41" s="314"/>
      <c r="Q41" s="418"/>
      <c r="R41" s="418"/>
      <c r="S41" s="418"/>
      <c r="T41" s="419"/>
      <c r="U41" s="418"/>
      <c r="V41" s="418"/>
      <c r="W41" s="420"/>
      <c r="X41" s="420"/>
      <c r="Y41" s="420"/>
      <c r="Z41" s="420"/>
      <c r="AA41" s="418"/>
      <c r="AB41" s="418"/>
      <c r="AC41" s="418"/>
      <c r="AD41" s="418"/>
      <c r="AE41" s="418"/>
      <c r="AF41" s="418"/>
      <c r="AG41" s="314"/>
      <c r="AH41" s="418"/>
      <c r="AI41" s="418"/>
      <c r="AJ41" s="419"/>
      <c r="AU41" s="408">
        <v>20.07</v>
      </c>
    </row>
    <row r="42" spans="2:47" ht="20.25" customHeight="1" x14ac:dyDescent="0.55000000000000004">
      <c r="B42" s="418"/>
      <c r="C42" s="321" t="s">
        <v>27</v>
      </c>
      <c r="D42" s="1568">
        <f>J39</f>
        <v>0</v>
      </c>
      <c r="E42" s="1569"/>
      <c r="F42" s="442"/>
      <c r="G42" s="1396" t="s">
        <v>24</v>
      </c>
      <c r="H42" s="1397"/>
      <c r="I42" s="1397"/>
      <c r="J42" s="1398"/>
      <c r="K42" s="381">
        <f>+D39</f>
        <v>0</v>
      </c>
      <c r="L42" s="381">
        <f>+D39</f>
        <v>0</v>
      </c>
      <c r="M42" s="316" t="s">
        <v>7</v>
      </c>
      <c r="N42" s="382">
        <f>+AH39</f>
        <v>0</v>
      </c>
      <c r="O42" s="383" t="s">
        <v>31</v>
      </c>
      <c r="P42" s="384" t="s">
        <v>32</v>
      </c>
      <c r="Q42" s="420"/>
      <c r="R42" s="418"/>
      <c r="S42" s="418"/>
      <c r="T42" s="419"/>
      <c r="U42" s="418"/>
      <c r="V42" s="314"/>
      <c r="W42" s="418"/>
      <c r="X42" s="418"/>
      <c r="Y42" s="418"/>
      <c r="Z42" s="418"/>
      <c r="AA42" s="385" t="s">
        <v>103</v>
      </c>
      <c r="AB42" s="419"/>
      <c r="AC42" s="418"/>
      <c r="AD42" s="418"/>
      <c r="AE42" s="421"/>
      <c r="AF42" s="421"/>
      <c r="AG42" s="418"/>
      <c r="AH42" s="418"/>
      <c r="AI42" s="418"/>
      <c r="AJ42" s="418"/>
      <c r="AK42" s="404"/>
      <c r="AU42" s="408">
        <v>20.170000000000002</v>
      </c>
    </row>
    <row r="43" spans="2:47" ht="20.25" customHeight="1" x14ac:dyDescent="0.55000000000000004">
      <c r="B43" s="418"/>
      <c r="C43" s="322" t="s">
        <v>28</v>
      </c>
      <c r="D43" s="1409">
        <f>P39</f>
        <v>0</v>
      </c>
      <c r="E43" s="1410"/>
      <c r="F43" s="443"/>
      <c r="G43" s="1399" t="s">
        <v>25</v>
      </c>
      <c r="H43" s="1400"/>
      <c r="I43" s="1400"/>
      <c r="J43" s="1401"/>
      <c r="K43" s="386">
        <f>+G39</f>
        <v>0</v>
      </c>
      <c r="L43" s="386">
        <f>+G39</f>
        <v>0</v>
      </c>
      <c r="M43" s="317" t="s">
        <v>8</v>
      </c>
      <c r="N43" s="387">
        <f>+AI39</f>
        <v>0</v>
      </c>
      <c r="O43" s="388" t="s">
        <v>48</v>
      </c>
      <c r="P43" s="389">
        <f>+C39</f>
        <v>0</v>
      </c>
      <c r="Q43" s="390">
        <f>IFERROR(+D42/P43,0)</f>
        <v>0</v>
      </c>
      <c r="R43" s="422"/>
      <c r="S43" s="422"/>
      <c r="T43" s="423"/>
      <c r="U43" s="391"/>
      <c r="V43" s="391"/>
      <c r="W43" s="391"/>
      <c r="X43" s="391"/>
      <c r="Y43" s="391"/>
      <c r="Z43" s="391"/>
      <c r="AA43" s="392" t="s">
        <v>104</v>
      </c>
      <c r="AB43" s="1409" t="s">
        <v>14</v>
      </c>
      <c r="AC43" s="1410"/>
      <c r="AD43" s="1409" t="s">
        <v>17</v>
      </c>
      <c r="AE43" s="1411"/>
      <c r="AF43" s="1411"/>
      <c r="AG43" s="1410"/>
      <c r="AH43" s="393" t="s">
        <v>105</v>
      </c>
      <c r="AI43" s="393" t="s">
        <v>106</v>
      </c>
      <c r="AJ43" s="418"/>
      <c r="AK43" s="404"/>
      <c r="AL43" s="424" t="s">
        <v>109</v>
      </c>
      <c r="AM43" s="425" t="s">
        <v>110</v>
      </c>
      <c r="AU43" s="408">
        <v>19.059999999999999</v>
      </c>
    </row>
    <row r="44" spans="2:47" ht="20.25" customHeight="1" x14ac:dyDescent="0.55000000000000004">
      <c r="B44" s="418"/>
      <c r="C44" s="322" t="s">
        <v>46</v>
      </c>
      <c r="D44" s="1409" t="e">
        <f>+AG29</f>
        <v>#DIV/0!</v>
      </c>
      <c r="E44" s="1410"/>
      <c r="F44" s="443"/>
      <c r="G44" s="1399" t="s">
        <v>26</v>
      </c>
      <c r="H44" s="1400"/>
      <c r="I44" s="1400"/>
      <c r="J44" s="1401"/>
      <c r="K44" s="386">
        <f>+N39</f>
        <v>0</v>
      </c>
      <c r="L44" s="386">
        <f>+N39</f>
        <v>0</v>
      </c>
      <c r="M44" s="318"/>
      <c r="N44" s="426"/>
      <c r="O44" s="394" t="s">
        <v>49</v>
      </c>
      <c r="P44" s="389">
        <f>+M39</f>
        <v>0</v>
      </c>
      <c r="Q44" s="390">
        <f>IFERROR(+D43/P44,0)</f>
        <v>0</v>
      </c>
      <c r="R44" s="422"/>
      <c r="S44" s="422"/>
      <c r="T44" s="423"/>
      <c r="U44" s="427"/>
      <c r="V44" s="428"/>
      <c r="W44" s="429"/>
      <c r="X44" s="429"/>
      <c r="Y44" s="429"/>
      <c r="Z44" s="429"/>
      <c r="AA44" s="393" t="s">
        <v>107</v>
      </c>
      <c r="AB44" s="1402">
        <f>SUM(C2:C29)</f>
        <v>0</v>
      </c>
      <c r="AC44" s="1403"/>
      <c r="AD44" s="1384">
        <f>+D42</f>
        <v>0</v>
      </c>
      <c r="AE44" s="1385"/>
      <c r="AF44" s="1385"/>
      <c r="AG44" s="1386"/>
      <c r="AH44" s="395">
        <f>+IFERROR(AD44/AB44,0)</f>
        <v>0</v>
      </c>
      <c r="AI44" s="393">
        <f>+IFERROR(AD44-AB44,0)</f>
        <v>0</v>
      </c>
      <c r="AJ44" s="418"/>
      <c r="AK44" s="404"/>
      <c r="AL44" s="430">
        <v>27.5</v>
      </c>
      <c r="AM44" s="396">
        <f>AL44-11</f>
        <v>16.5</v>
      </c>
      <c r="AU44" s="408">
        <v>19.28</v>
      </c>
    </row>
    <row r="45" spans="2:47" ht="20.25" customHeight="1" x14ac:dyDescent="0.55000000000000004">
      <c r="B45" s="418"/>
      <c r="C45" s="322" t="s">
        <v>47</v>
      </c>
      <c r="D45" s="1409" t="e">
        <f>AG39</f>
        <v>#DIV/0!</v>
      </c>
      <c r="E45" s="1410"/>
      <c r="F45" s="443"/>
      <c r="G45" s="1399" t="s">
        <v>23</v>
      </c>
      <c r="H45" s="1400"/>
      <c r="I45" s="1400"/>
      <c r="J45" s="1401"/>
      <c r="K45" s="386">
        <f>+O39</f>
        <v>0</v>
      </c>
      <c r="L45" s="386">
        <f>+O39</f>
        <v>0</v>
      </c>
      <c r="M45" s="318"/>
      <c r="N45" s="426"/>
      <c r="O45" s="394" t="s">
        <v>5</v>
      </c>
      <c r="P45" s="389">
        <f>+AB39</f>
        <v>0</v>
      </c>
      <c r="Q45" s="390">
        <f>IFERROR(+D47/P45,0)</f>
        <v>0</v>
      </c>
      <c r="R45" s="422"/>
      <c r="S45" s="422"/>
      <c r="T45" s="423"/>
      <c r="U45" s="427"/>
      <c r="V45" s="428"/>
      <c r="W45" s="429"/>
      <c r="X45" s="429"/>
      <c r="Y45" s="429"/>
      <c r="Z45" s="429"/>
      <c r="AA45" s="393" t="s">
        <v>108</v>
      </c>
      <c r="AB45" s="1402">
        <f>SUM(M8:M29)</f>
        <v>0</v>
      </c>
      <c r="AC45" s="1403"/>
      <c r="AD45" s="1384">
        <f>+D43</f>
        <v>0</v>
      </c>
      <c r="AE45" s="1385"/>
      <c r="AF45" s="1385"/>
      <c r="AG45" s="1386"/>
      <c r="AH45" s="395">
        <f>+IFERROR(AD45/AB45,0)</f>
        <v>0</v>
      </c>
      <c r="AI45" s="393">
        <f>+IFERROR(AD45-AB45,0)</f>
        <v>0</v>
      </c>
      <c r="AJ45" s="418"/>
      <c r="AK45" s="404"/>
      <c r="AL45" s="431" t="s">
        <v>111</v>
      </c>
      <c r="AM45" s="411"/>
      <c r="AU45" s="408">
        <v>20.190000000000001</v>
      </c>
    </row>
    <row r="46" spans="2:47" ht="20.25" customHeight="1" x14ac:dyDescent="0.55000000000000004">
      <c r="B46" s="418"/>
      <c r="C46" s="322" t="s">
        <v>30</v>
      </c>
      <c r="D46" s="1527">
        <f>+AC29</f>
        <v>0</v>
      </c>
      <c r="E46" s="1528"/>
      <c r="F46" s="444"/>
      <c r="G46" s="397"/>
      <c r="H46" s="483"/>
      <c r="I46" s="398"/>
      <c r="J46" s="399"/>
      <c r="K46" s="432"/>
      <c r="L46" s="432"/>
      <c r="M46" s="319"/>
      <c r="N46" s="433"/>
      <c r="O46" s="394" t="s">
        <v>6</v>
      </c>
      <c r="P46" s="400">
        <v>0.85</v>
      </c>
      <c r="Q46" s="390">
        <f>IFERROR(+D45/P46,0)</f>
        <v>0</v>
      </c>
      <c r="R46" s="422"/>
      <c r="S46" s="422"/>
      <c r="T46" s="423"/>
      <c r="U46" s="434"/>
      <c r="V46" s="428"/>
      <c r="W46" s="422"/>
      <c r="X46" s="422"/>
      <c r="Y46" s="422"/>
      <c r="Z46" s="422"/>
      <c r="AA46" s="393" t="s">
        <v>5</v>
      </c>
      <c r="AB46" s="1402">
        <f>+IFERROR(AB44/AB45,0)</f>
        <v>0</v>
      </c>
      <c r="AC46" s="1403"/>
      <c r="AD46" s="1387">
        <f>+IFERROR(AD44/AD45,0)</f>
        <v>0</v>
      </c>
      <c r="AE46" s="1388"/>
      <c r="AF46" s="1388"/>
      <c r="AG46" s="1389"/>
      <c r="AH46" s="395"/>
      <c r="AI46" s="393">
        <f>+IFERROR(AD46-AB46,0)</f>
        <v>0</v>
      </c>
      <c r="AJ46" s="418"/>
      <c r="AK46" s="404"/>
      <c r="AL46" s="430" t="s">
        <v>107</v>
      </c>
      <c r="AM46" s="435">
        <f>IFERROR((C39-AD44)/AM44,"")</f>
        <v>0</v>
      </c>
      <c r="AU46" s="408">
        <v>20.61</v>
      </c>
    </row>
    <row r="47" spans="2:47" ht="20.25" customHeight="1" thickBot="1" x14ac:dyDescent="0.6">
      <c r="C47" s="323" t="s">
        <v>29</v>
      </c>
      <c r="D47" s="1525" t="str">
        <f>+AC39</f>
        <v/>
      </c>
      <c r="E47" s="1526"/>
      <c r="F47" s="445"/>
      <c r="G47" s="401"/>
      <c r="H47" s="484"/>
      <c r="I47" s="402"/>
      <c r="J47" s="403"/>
      <c r="K47" s="436"/>
      <c r="L47" s="436"/>
      <c r="M47" s="320"/>
      <c r="N47" s="437"/>
      <c r="V47" s="410"/>
      <c r="W47" s="404"/>
      <c r="X47" s="404"/>
      <c r="Y47" s="404"/>
      <c r="Z47" s="404"/>
      <c r="AD47" s="218"/>
      <c r="AE47" s="218"/>
      <c r="AF47" s="218"/>
      <c r="AG47" s="404"/>
      <c r="AI47" s="195" t="s">
        <v>114</v>
      </c>
      <c r="AJ47" s="404"/>
      <c r="AK47" s="404"/>
      <c r="AL47" s="430" t="s">
        <v>108</v>
      </c>
      <c r="AM47" s="435">
        <f>IFERROR((M39-AD45)/AM44,"")</f>
        <v>0</v>
      </c>
      <c r="AU47" s="408">
        <v>18.77</v>
      </c>
    </row>
    <row r="48" spans="2:47" x14ac:dyDescent="0.55000000000000004">
      <c r="F48" s="438"/>
      <c r="K48" s="218"/>
      <c r="L48" s="218"/>
      <c r="N48" s="404"/>
      <c r="AU48" s="408">
        <v>21.13</v>
      </c>
    </row>
    <row r="49" spans="3:47" s="195" customFormat="1" x14ac:dyDescent="0.55000000000000004">
      <c r="C49" s="218"/>
      <c r="D49" s="404"/>
      <c r="E49" s="410"/>
      <c r="F49" s="404"/>
      <c r="G49" s="218"/>
      <c r="H49" s="479"/>
      <c r="I49" s="218"/>
      <c r="K49" s="404"/>
      <c r="L49" s="404"/>
      <c r="M49" s="218"/>
      <c r="N49" s="218"/>
      <c r="O49" s="218"/>
      <c r="P49" s="218"/>
      <c r="Q49" s="404"/>
      <c r="R49" s="404"/>
      <c r="S49" s="404"/>
      <c r="U49" s="404"/>
      <c r="V49" s="404"/>
      <c r="W49" s="410"/>
      <c r="X49" s="410"/>
      <c r="Y49" s="410"/>
      <c r="Z49" s="410"/>
      <c r="AA49" s="404"/>
      <c r="AB49" s="404"/>
      <c r="AC49" s="404"/>
      <c r="AD49" s="404"/>
      <c r="AE49" s="404"/>
      <c r="AF49" s="404"/>
      <c r="AG49" s="218"/>
      <c r="AH49" s="404"/>
      <c r="AI49" s="404"/>
      <c r="AU49" s="439">
        <v>20.100000000000001</v>
      </c>
    </row>
    <row r="50" spans="3:47" x14ac:dyDescent="0.55000000000000004">
      <c r="C50" s="195"/>
      <c r="D50" s="218"/>
      <c r="G50" s="404"/>
      <c r="J50" s="218"/>
      <c r="AU50" s="408">
        <v>18.760000000000002</v>
      </c>
    </row>
    <row r="51" spans="3:47" s="195" customFormat="1" x14ac:dyDescent="0.55000000000000004">
      <c r="C51" s="404"/>
      <c r="D51" s="218"/>
      <c r="E51" s="410"/>
      <c r="F51" s="404"/>
      <c r="G51" s="404"/>
      <c r="H51" s="479"/>
      <c r="I51" s="218"/>
      <c r="J51" s="218"/>
      <c r="K51" s="404"/>
      <c r="L51" s="404"/>
      <c r="N51" s="440"/>
      <c r="O51" s="218"/>
      <c r="P51" s="218"/>
      <c r="Q51" s="404"/>
      <c r="R51" s="404"/>
      <c r="S51" s="404"/>
      <c r="U51" s="404"/>
      <c r="V51" s="404"/>
      <c r="W51" s="410"/>
      <c r="X51" s="410"/>
      <c r="Y51" s="410"/>
      <c r="Z51" s="410"/>
      <c r="AA51" s="404"/>
      <c r="AB51" s="404"/>
      <c r="AC51" s="404"/>
      <c r="AD51" s="404"/>
      <c r="AE51" s="404"/>
      <c r="AF51" s="404"/>
      <c r="AG51" s="218"/>
      <c r="AH51" s="404"/>
      <c r="AI51" s="404"/>
      <c r="AU51" s="439">
        <v>17.260000000000002</v>
      </c>
    </row>
    <row r="52" spans="3:47" s="195" customFormat="1" x14ac:dyDescent="0.55000000000000004">
      <c r="C52" s="195" t="s">
        <v>124</v>
      </c>
      <c r="D52" s="404"/>
      <c r="E52" s="410"/>
      <c r="F52" s="404"/>
      <c r="G52" s="404"/>
      <c r="H52" s="479"/>
      <c r="J52" s="218" t="s">
        <v>125</v>
      </c>
      <c r="K52" s="404"/>
      <c r="L52" s="218"/>
      <c r="M52" s="218"/>
      <c r="N52" s="218"/>
      <c r="O52" s="218"/>
      <c r="P52" s="218"/>
      <c r="Q52" s="404"/>
      <c r="R52" s="404"/>
      <c r="S52" s="404"/>
      <c r="U52" s="404"/>
      <c r="V52" s="404"/>
      <c r="W52" s="410"/>
      <c r="X52" s="410"/>
      <c r="Y52" s="410"/>
      <c r="Z52" s="410"/>
      <c r="AA52" s="404"/>
      <c r="AB52" s="404"/>
      <c r="AC52" s="404"/>
      <c r="AD52" s="404"/>
      <c r="AE52" s="404"/>
      <c r="AF52" s="404"/>
      <c r="AG52" s="218"/>
      <c r="AH52" s="404"/>
      <c r="AI52" s="404"/>
      <c r="AU52" s="439">
        <v>19.329999999999998</v>
      </c>
    </row>
    <row r="53" spans="3:47" s="195" customFormat="1" x14ac:dyDescent="0.55000000000000004">
      <c r="C53" s="404"/>
      <c r="D53" s="218"/>
      <c r="E53" s="410"/>
      <c r="F53" s="404"/>
      <c r="G53" s="404"/>
      <c r="H53" s="479"/>
      <c r="I53" s="218"/>
      <c r="J53" s="218"/>
      <c r="K53" s="404"/>
      <c r="L53" s="218"/>
      <c r="M53" s="218"/>
      <c r="N53" s="218"/>
      <c r="O53" s="218"/>
      <c r="P53" s="218"/>
      <c r="Q53" s="404"/>
      <c r="R53" s="441"/>
      <c r="S53" s="404"/>
      <c r="U53" s="404"/>
      <c r="V53" s="404"/>
      <c r="W53" s="410"/>
      <c r="X53" s="410"/>
      <c r="Y53" s="410"/>
      <c r="Z53" s="410"/>
      <c r="AA53" s="404"/>
      <c r="AB53" s="404"/>
      <c r="AC53" s="404"/>
      <c r="AD53" s="404"/>
      <c r="AE53" s="404"/>
      <c r="AF53" s="404"/>
      <c r="AG53" s="218"/>
      <c r="AH53" s="404"/>
      <c r="AI53" s="404"/>
      <c r="AU53" s="439">
        <v>20.16</v>
      </c>
    </row>
    <row r="54" spans="3:47" x14ac:dyDescent="0.55000000000000004">
      <c r="C54" s="195"/>
      <c r="D54" s="218"/>
      <c r="G54" s="404"/>
      <c r="J54" s="218"/>
      <c r="L54" s="218"/>
      <c r="AU54" s="408">
        <v>20.09</v>
      </c>
    </row>
    <row r="55" spans="3:47" ht="19.2" x14ac:dyDescent="0.8">
      <c r="C55" s="461" t="s">
        <v>129</v>
      </c>
      <c r="D55" s="460"/>
      <c r="F55" s="459"/>
      <c r="G55" s="459"/>
      <c r="J55" s="460" t="s">
        <v>126</v>
      </c>
      <c r="AE55" s="1550"/>
      <c r="AF55" s="1550"/>
      <c r="AU55" s="408">
        <v>19.66</v>
      </c>
    </row>
    <row r="56" spans="3:47" x14ac:dyDescent="0.55000000000000004">
      <c r="C56" s="195" t="s">
        <v>132</v>
      </c>
      <c r="D56" s="218"/>
      <c r="G56" s="404"/>
      <c r="J56" s="218" t="s">
        <v>127</v>
      </c>
      <c r="AU56" s="408">
        <v>18.27</v>
      </c>
    </row>
    <row r="57" spans="3:47" x14ac:dyDescent="0.55000000000000004">
      <c r="C57" s="195"/>
      <c r="D57" s="218"/>
      <c r="G57" s="404"/>
      <c r="J57" s="218"/>
      <c r="AU57" s="408">
        <v>19.07</v>
      </c>
    </row>
    <row r="58" spans="3:47" ht="19.2" x14ac:dyDescent="0.8">
      <c r="C58" s="461"/>
      <c r="D58" s="218"/>
      <c r="F58" s="459"/>
      <c r="G58" s="404"/>
      <c r="J58" s="460"/>
      <c r="AU58" s="408">
        <v>20.13</v>
      </c>
    </row>
    <row r="59" spans="3:47" x14ac:dyDescent="0.55000000000000004">
      <c r="C59" s="195"/>
      <c r="D59" s="218"/>
      <c r="G59" s="404"/>
      <c r="J59" s="218"/>
      <c r="AU59" s="408">
        <v>21.25</v>
      </c>
    </row>
    <row r="60" spans="3:47" x14ac:dyDescent="0.55000000000000004">
      <c r="AU60" s="408">
        <v>20.059999999999999</v>
      </c>
    </row>
    <row r="61" spans="3:47" x14ac:dyDescent="0.55000000000000004">
      <c r="AU61" s="408">
        <v>19.77</v>
      </c>
    </row>
    <row r="62" spans="3:47" x14ac:dyDescent="0.55000000000000004">
      <c r="AU62" s="408">
        <v>20.16</v>
      </c>
    </row>
    <row r="63" spans="3:47" x14ac:dyDescent="0.55000000000000004">
      <c r="AU63" s="408">
        <f>SUM(AU18:AU62)</f>
        <v>828.18999999999983</v>
      </c>
    </row>
    <row r="64" spans="3:47" x14ac:dyDescent="0.55000000000000004">
      <c r="AU64" s="408">
        <f>+AU63+22</f>
        <v>850.18999999999983</v>
      </c>
    </row>
    <row r="65" spans="5:47" s="404" customFormat="1" x14ac:dyDescent="0.55000000000000004">
      <c r="E65" s="410"/>
      <c r="H65" s="485"/>
      <c r="AU65" s="408">
        <f>927.8-AU63</f>
        <v>99.610000000000127</v>
      </c>
    </row>
  </sheetData>
  <mergeCells count="46">
    <mergeCell ref="AE55:AF55"/>
    <mergeCell ref="B5:B7"/>
    <mergeCell ref="C5:K5"/>
    <mergeCell ref="M5:S5"/>
    <mergeCell ref="T5:T7"/>
    <mergeCell ref="U5:W6"/>
    <mergeCell ref="C6:C7"/>
    <mergeCell ref="D6:J6"/>
    <mergeCell ref="K6:K7"/>
    <mergeCell ref="M6:M7"/>
    <mergeCell ref="D42:E42"/>
    <mergeCell ref="G42:J42"/>
    <mergeCell ref="Y5:Y7"/>
    <mergeCell ref="N6:P6"/>
    <mergeCell ref="Q6:Q7"/>
    <mergeCell ref="R6:S6"/>
    <mergeCell ref="AL5:AL7"/>
    <mergeCell ref="AM5:AM7"/>
    <mergeCell ref="AN5:AN7"/>
    <mergeCell ref="Z5:Z7"/>
    <mergeCell ref="AA5:AA7"/>
    <mergeCell ref="AB5:AD6"/>
    <mergeCell ref="AE5:AE7"/>
    <mergeCell ref="AF5:AF7"/>
    <mergeCell ref="AG5:AG7"/>
    <mergeCell ref="AH5:AH7"/>
    <mergeCell ref="AI5:AI7"/>
    <mergeCell ref="AJ5:AJ7"/>
    <mergeCell ref="E7:F7"/>
    <mergeCell ref="H7:I7"/>
    <mergeCell ref="D43:E43"/>
    <mergeCell ref="G43:J43"/>
    <mergeCell ref="AB43:AC43"/>
    <mergeCell ref="AD43:AG43"/>
    <mergeCell ref="D44:E44"/>
    <mergeCell ref="G44:J44"/>
    <mergeCell ref="AB44:AC44"/>
    <mergeCell ref="AD44:AG44"/>
    <mergeCell ref="D47:E47"/>
    <mergeCell ref="D45:E45"/>
    <mergeCell ref="G45:J45"/>
    <mergeCell ref="AB45:AC45"/>
    <mergeCell ref="AD45:AG45"/>
    <mergeCell ref="D46:E46"/>
    <mergeCell ref="AB46:AC46"/>
    <mergeCell ref="AD46:AG46"/>
  </mergeCells>
  <pageMargins left="0.70866141732283472" right="0.70866141732283472" top="0.74803149606299213" bottom="0.74803149606299213" header="0.31496062992125984" footer="0.31496062992125984"/>
  <pageSetup paperSize="8" scale="4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Y37"/>
  <sheetViews>
    <sheetView workbookViewId="0">
      <selection activeCell="E17" sqref="E17"/>
    </sheetView>
  </sheetViews>
  <sheetFormatPr defaultRowHeight="14.4" x14ac:dyDescent="0.55000000000000004"/>
  <cols>
    <col min="2" max="2" width="15.68359375" style="655" customWidth="1"/>
    <col min="3" max="3" width="14.26171875" style="655" customWidth="1"/>
    <col min="4" max="4" width="14.578125" customWidth="1"/>
    <col min="5" max="5" width="12.68359375" customWidth="1"/>
    <col min="6" max="6" width="12.578125" customWidth="1"/>
    <col min="7" max="7" width="12.26171875" customWidth="1"/>
    <col min="8" max="8" width="12.15625" customWidth="1"/>
    <col min="9" max="9" width="11.15625" bestFit="1" customWidth="1"/>
    <col min="10" max="10" width="11.578125" customWidth="1"/>
    <col min="11" max="11" width="11.15625" bestFit="1" customWidth="1"/>
    <col min="12" max="12" width="11.68359375" customWidth="1"/>
    <col min="15" max="15" width="15.68359375" bestFit="1" customWidth="1"/>
    <col min="16" max="16" width="11.15625" bestFit="1" customWidth="1"/>
    <col min="17" max="17" width="9.578125" bestFit="1" customWidth="1"/>
    <col min="18" max="18" width="11.15625" bestFit="1" customWidth="1"/>
    <col min="19" max="19" width="10.578125" customWidth="1"/>
    <col min="20" max="20" width="11.15625" bestFit="1" customWidth="1"/>
    <col min="21" max="21" width="11.26171875" customWidth="1"/>
    <col min="22" max="22" width="12.578125" customWidth="1"/>
    <col min="23" max="23" width="12.41796875" customWidth="1"/>
    <col min="24" max="24" width="11.15625" bestFit="1" customWidth="1"/>
    <col min="25" max="25" width="12.578125" customWidth="1"/>
  </cols>
  <sheetData>
    <row r="3" spans="2:25" x14ac:dyDescent="0.55000000000000004">
      <c r="B3" s="1573" t="s">
        <v>141</v>
      </c>
      <c r="C3" s="1572" t="s">
        <v>147</v>
      </c>
      <c r="D3" s="1572"/>
      <c r="E3" s="1572"/>
      <c r="F3" s="1572"/>
      <c r="G3" s="1572"/>
      <c r="H3" s="1572"/>
      <c r="I3" s="1572"/>
      <c r="J3" s="1572"/>
      <c r="K3" s="1572"/>
      <c r="L3" s="1572"/>
      <c r="O3" s="1573" t="s">
        <v>141</v>
      </c>
      <c r="P3" s="1572" t="s">
        <v>179</v>
      </c>
      <c r="Q3" s="1572"/>
      <c r="R3" s="1572"/>
      <c r="S3" s="1572"/>
      <c r="T3" s="1572"/>
      <c r="U3" s="1572"/>
      <c r="V3" s="1572"/>
      <c r="W3" s="1572"/>
      <c r="X3" s="1572"/>
      <c r="Y3" s="1572"/>
    </row>
    <row r="4" spans="2:25" x14ac:dyDescent="0.55000000000000004">
      <c r="B4" s="1573"/>
      <c r="C4" s="1572" t="s">
        <v>51</v>
      </c>
      <c r="D4" s="1572"/>
      <c r="E4" s="1572" t="s">
        <v>142</v>
      </c>
      <c r="F4" s="1572"/>
      <c r="G4" s="1572" t="s">
        <v>143</v>
      </c>
      <c r="H4" s="1572"/>
      <c r="I4" s="1572" t="s">
        <v>149</v>
      </c>
      <c r="J4" s="1572"/>
      <c r="K4" s="1572" t="s">
        <v>144</v>
      </c>
      <c r="L4" s="1572"/>
      <c r="O4" s="1573"/>
      <c r="P4" s="1572" t="s">
        <v>50</v>
      </c>
      <c r="Q4" s="1572"/>
      <c r="R4" s="1572" t="s">
        <v>54</v>
      </c>
      <c r="S4" s="1572"/>
      <c r="T4" s="1572" t="s">
        <v>55</v>
      </c>
      <c r="U4" s="1572"/>
      <c r="V4" s="1572" t="s">
        <v>180</v>
      </c>
      <c r="W4" s="1572"/>
      <c r="X4" s="1572" t="s">
        <v>181</v>
      </c>
      <c r="Y4" s="1572"/>
    </row>
    <row r="5" spans="2:25" x14ac:dyDescent="0.55000000000000004">
      <c r="B5" s="1573"/>
      <c r="C5" s="658" t="s">
        <v>148</v>
      </c>
      <c r="D5" s="658" t="s">
        <v>10</v>
      </c>
      <c r="E5" s="658" t="s">
        <v>148</v>
      </c>
      <c r="F5" s="658" t="s">
        <v>10</v>
      </c>
      <c r="G5" s="658" t="s">
        <v>148</v>
      </c>
      <c r="H5" s="658" t="s">
        <v>10</v>
      </c>
      <c r="I5" s="658" t="s">
        <v>148</v>
      </c>
      <c r="J5" s="658" t="s">
        <v>10</v>
      </c>
      <c r="K5" s="658" t="s">
        <v>148</v>
      </c>
      <c r="L5" s="658" t="s">
        <v>10</v>
      </c>
      <c r="O5" s="1573"/>
      <c r="P5" s="658" t="s">
        <v>148</v>
      </c>
      <c r="Q5" s="658" t="s">
        <v>10</v>
      </c>
      <c r="R5" s="658" t="s">
        <v>148</v>
      </c>
      <c r="S5" s="658" t="s">
        <v>10</v>
      </c>
      <c r="T5" s="658" t="s">
        <v>148</v>
      </c>
      <c r="U5" s="658" t="s">
        <v>10</v>
      </c>
      <c r="V5" s="658" t="s">
        <v>148</v>
      </c>
      <c r="W5" s="658" t="s">
        <v>10</v>
      </c>
      <c r="X5" s="658" t="s">
        <v>148</v>
      </c>
      <c r="Y5" s="658" t="s">
        <v>10</v>
      </c>
    </row>
    <row r="6" spans="2:25" x14ac:dyDescent="0.55000000000000004">
      <c r="B6" s="657" t="s">
        <v>145</v>
      </c>
      <c r="C6" s="660">
        <v>0</v>
      </c>
      <c r="D6" s="660">
        <v>0</v>
      </c>
      <c r="E6" s="660">
        <v>0</v>
      </c>
      <c r="F6" s="661">
        <f>[3]Fleet!$G$32</f>
        <v>1540</v>
      </c>
      <c r="G6" s="660">
        <v>0</v>
      </c>
      <c r="H6" s="660">
        <v>0</v>
      </c>
      <c r="I6" s="660">
        <v>0</v>
      </c>
      <c r="J6" s="660">
        <v>0</v>
      </c>
      <c r="K6" s="660">
        <v>0</v>
      </c>
      <c r="L6" s="660">
        <v>0</v>
      </c>
      <c r="O6" s="657" t="s">
        <v>145</v>
      </c>
      <c r="P6" s="660">
        <v>0</v>
      </c>
      <c r="Q6" s="661">
        <f>[3]Fleet!$G$26</f>
        <v>2492</v>
      </c>
      <c r="R6" s="660">
        <v>0</v>
      </c>
      <c r="S6" s="660">
        <v>0</v>
      </c>
      <c r="T6" s="660">
        <v>0</v>
      </c>
      <c r="U6" s="660">
        <v>0</v>
      </c>
      <c r="V6" s="660">
        <v>0</v>
      </c>
      <c r="W6" s="661">
        <f>[3]Fleet!$G$37</f>
        <v>4488</v>
      </c>
      <c r="X6" s="660">
        <v>0</v>
      </c>
      <c r="Y6" s="662">
        <v>0</v>
      </c>
    </row>
    <row r="7" spans="2:25" x14ac:dyDescent="0.55000000000000004">
      <c r="B7" s="657" t="s">
        <v>146</v>
      </c>
      <c r="C7" s="660">
        <v>0</v>
      </c>
      <c r="D7" s="660">
        <v>0</v>
      </c>
      <c r="E7" s="663">
        <f>[4]Fleet!$G$13</f>
        <v>1276</v>
      </c>
      <c r="F7" s="656"/>
      <c r="G7" s="660">
        <v>0</v>
      </c>
      <c r="H7" s="660"/>
      <c r="I7" s="663">
        <f>[4]Fleet!$G$15</f>
        <v>1628</v>
      </c>
      <c r="J7" s="660"/>
      <c r="K7" s="663">
        <f>[4]Fleet!$G$9+[4]Fleet!$G$16</f>
        <v>1540</v>
      </c>
      <c r="L7" s="660"/>
      <c r="O7" s="657" t="s">
        <v>146</v>
      </c>
      <c r="P7" s="660"/>
      <c r="Q7" s="656"/>
      <c r="R7" s="660"/>
      <c r="S7" s="660"/>
      <c r="T7" s="660"/>
      <c r="U7" s="660"/>
      <c r="V7" s="656"/>
      <c r="W7" s="656"/>
      <c r="X7" s="656"/>
      <c r="Y7" s="656"/>
    </row>
    <row r="8" spans="2:25" x14ac:dyDescent="0.55000000000000004">
      <c r="B8" s="657" t="s">
        <v>150</v>
      </c>
      <c r="C8" s="660"/>
      <c r="D8" s="660"/>
      <c r="E8" s="660"/>
      <c r="F8" s="656"/>
      <c r="G8" s="660"/>
      <c r="H8" s="660"/>
      <c r="I8" s="660"/>
      <c r="J8" s="660"/>
      <c r="K8" s="660"/>
      <c r="L8" s="660"/>
      <c r="O8" s="657" t="s">
        <v>150</v>
      </c>
      <c r="P8" s="660"/>
      <c r="Q8" s="656"/>
      <c r="R8" s="660"/>
      <c r="S8" s="660"/>
      <c r="T8" s="660"/>
      <c r="U8" s="660"/>
      <c r="V8" s="656"/>
      <c r="W8" s="656"/>
      <c r="X8" s="656"/>
      <c r="Y8" s="656"/>
    </row>
    <row r="9" spans="2:25" x14ac:dyDescent="0.55000000000000004">
      <c r="B9" s="657" t="s">
        <v>151</v>
      </c>
      <c r="C9" s="660"/>
      <c r="D9" s="660"/>
      <c r="E9" s="660"/>
      <c r="F9" s="656"/>
      <c r="G9" s="660"/>
      <c r="H9" s="660"/>
      <c r="I9" s="660"/>
      <c r="J9" s="660"/>
      <c r="K9" s="660"/>
      <c r="L9" s="660"/>
      <c r="O9" s="657" t="s">
        <v>151</v>
      </c>
      <c r="P9" s="660"/>
      <c r="Q9" s="656"/>
      <c r="R9" s="660"/>
      <c r="S9" s="660"/>
      <c r="T9" s="660"/>
      <c r="U9" s="660"/>
      <c r="V9" s="656"/>
      <c r="W9" s="656"/>
      <c r="X9" s="656"/>
      <c r="Y9" s="656"/>
    </row>
    <row r="10" spans="2:25" x14ac:dyDescent="0.55000000000000004">
      <c r="B10" s="657" t="s">
        <v>152</v>
      </c>
      <c r="C10" s="660"/>
      <c r="D10" s="660"/>
      <c r="E10" s="660"/>
      <c r="F10" s="656"/>
      <c r="G10" s="660"/>
      <c r="H10" s="660"/>
      <c r="I10" s="660"/>
      <c r="J10" s="660"/>
      <c r="K10" s="660"/>
      <c r="L10" s="660"/>
      <c r="O10" s="657" t="s">
        <v>152</v>
      </c>
      <c r="P10" s="660"/>
      <c r="Q10" s="656"/>
      <c r="R10" s="660"/>
      <c r="S10" s="660"/>
      <c r="T10" s="660"/>
      <c r="U10" s="660"/>
      <c r="V10" s="656"/>
      <c r="W10" s="656"/>
      <c r="X10" s="656"/>
      <c r="Y10" s="656"/>
    </row>
    <row r="11" spans="2:25" x14ac:dyDescent="0.55000000000000004">
      <c r="B11" s="657" t="s">
        <v>153</v>
      </c>
      <c r="C11" s="660"/>
      <c r="D11" s="660"/>
      <c r="E11" s="660"/>
      <c r="F11" s="656"/>
      <c r="G11" s="660"/>
      <c r="H11" s="660"/>
      <c r="I11" s="660"/>
      <c r="J11" s="660"/>
      <c r="K11" s="660"/>
      <c r="L11" s="660"/>
      <c r="O11" s="657" t="s">
        <v>153</v>
      </c>
      <c r="P11" s="660"/>
      <c r="Q11" s="656"/>
      <c r="R11" s="660"/>
      <c r="S11" s="660"/>
      <c r="T11" s="660"/>
      <c r="U11" s="660"/>
      <c r="V11" s="656"/>
      <c r="W11" s="656"/>
      <c r="X11" s="656"/>
      <c r="Y11" s="656"/>
    </row>
    <row r="12" spans="2:25" x14ac:dyDescent="0.55000000000000004">
      <c r="B12" s="657" t="s">
        <v>154</v>
      </c>
      <c r="C12" s="660"/>
      <c r="D12" s="660"/>
      <c r="E12" s="660"/>
      <c r="F12" s="656"/>
      <c r="G12" s="660"/>
      <c r="H12" s="660"/>
      <c r="I12" s="660"/>
      <c r="J12" s="660"/>
      <c r="K12" s="660"/>
      <c r="L12" s="660"/>
      <c r="O12" s="657" t="s">
        <v>154</v>
      </c>
      <c r="P12" s="660"/>
      <c r="Q12" s="656"/>
      <c r="R12" s="660"/>
      <c r="S12" s="660"/>
      <c r="T12" s="660"/>
      <c r="U12" s="660"/>
      <c r="V12" s="656"/>
      <c r="W12" s="656"/>
      <c r="X12" s="656"/>
      <c r="Y12" s="656"/>
    </row>
    <row r="13" spans="2:25" x14ac:dyDescent="0.55000000000000004">
      <c r="B13" s="657" t="s">
        <v>155</v>
      </c>
      <c r="C13" s="660"/>
      <c r="D13" s="660"/>
      <c r="E13" s="660"/>
      <c r="F13" s="656"/>
      <c r="G13" s="660"/>
      <c r="H13" s="660"/>
      <c r="I13" s="660"/>
      <c r="J13" s="660"/>
      <c r="K13" s="660"/>
      <c r="L13" s="660"/>
      <c r="O13" s="657" t="s">
        <v>155</v>
      </c>
      <c r="P13" s="660"/>
      <c r="Q13" s="656"/>
      <c r="R13" s="660"/>
      <c r="S13" s="660"/>
      <c r="T13" s="660"/>
      <c r="U13" s="660"/>
      <c r="V13" s="656"/>
      <c r="W13" s="656"/>
      <c r="X13" s="656"/>
      <c r="Y13" s="656"/>
    </row>
    <row r="14" spans="2:25" x14ac:dyDescent="0.55000000000000004">
      <c r="B14" s="657" t="s">
        <v>156</v>
      </c>
      <c r="C14" s="660"/>
      <c r="D14" s="660"/>
      <c r="E14" s="660"/>
      <c r="F14" s="656"/>
      <c r="G14" s="660"/>
      <c r="H14" s="660"/>
      <c r="I14" s="660"/>
      <c r="J14" s="660"/>
      <c r="K14" s="660"/>
      <c r="L14" s="660"/>
      <c r="O14" s="657" t="s">
        <v>156</v>
      </c>
      <c r="P14" s="660"/>
      <c r="Q14" s="656"/>
      <c r="R14" s="660"/>
      <c r="S14" s="660"/>
      <c r="T14" s="660"/>
      <c r="U14" s="660"/>
      <c r="V14" s="656"/>
      <c r="W14" s="656"/>
      <c r="X14" s="656"/>
      <c r="Y14" s="656"/>
    </row>
    <row r="15" spans="2:25" x14ac:dyDescent="0.55000000000000004">
      <c r="B15" s="657" t="s">
        <v>157</v>
      </c>
      <c r="C15" s="657"/>
      <c r="D15" s="656"/>
      <c r="E15" s="656"/>
      <c r="F15" s="656"/>
      <c r="G15" s="656"/>
      <c r="H15" s="656"/>
      <c r="I15" s="656"/>
      <c r="J15" s="656"/>
      <c r="K15" s="656"/>
      <c r="L15" s="656"/>
      <c r="O15" s="657" t="s">
        <v>157</v>
      </c>
      <c r="P15" s="657"/>
      <c r="Q15" s="656"/>
      <c r="R15" s="656"/>
      <c r="S15" s="656"/>
      <c r="T15" s="656"/>
      <c r="U15" s="656"/>
      <c r="V15" s="656"/>
      <c r="W15" s="656"/>
      <c r="X15" s="656"/>
      <c r="Y15" s="656"/>
    </row>
    <row r="16" spans="2:25" x14ac:dyDescent="0.55000000000000004">
      <c r="B16" s="657" t="s">
        <v>158</v>
      </c>
      <c r="C16" s="657"/>
      <c r="D16" s="656"/>
      <c r="E16" s="656"/>
      <c r="F16" s="656"/>
      <c r="G16" s="656"/>
      <c r="H16" s="656"/>
      <c r="I16" s="656"/>
      <c r="J16" s="656"/>
      <c r="K16" s="656"/>
      <c r="L16" s="656"/>
      <c r="O16" s="657" t="s">
        <v>158</v>
      </c>
      <c r="P16" s="657"/>
      <c r="Q16" s="656"/>
      <c r="R16" s="656"/>
      <c r="S16" s="656"/>
      <c r="T16" s="656"/>
      <c r="U16" s="656"/>
      <c r="V16" s="656"/>
      <c r="W16" s="656"/>
      <c r="X16" s="656"/>
      <c r="Y16" s="656"/>
    </row>
    <row r="17" spans="2:25" x14ac:dyDescent="0.55000000000000004">
      <c r="B17" s="657" t="s">
        <v>159</v>
      </c>
      <c r="C17" s="657"/>
      <c r="D17" s="656"/>
      <c r="E17" s="656"/>
      <c r="F17" s="656"/>
      <c r="G17" s="656"/>
      <c r="H17" s="656"/>
      <c r="I17" s="656"/>
      <c r="J17" s="656"/>
      <c r="K17" s="656"/>
      <c r="L17" s="656"/>
      <c r="O17" s="657" t="s">
        <v>159</v>
      </c>
      <c r="P17" s="657"/>
      <c r="Q17" s="656"/>
      <c r="R17" s="656"/>
      <c r="S17" s="656"/>
      <c r="T17" s="656"/>
      <c r="U17" s="656"/>
      <c r="V17" s="656"/>
      <c r="W17" s="656"/>
      <c r="X17" s="656"/>
      <c r="Y17" s="656"/>
    </row>
    <row r="18" spans="2:25" x14ac:dyDescent="0.55000000000000004">
      <c r="B18" s="657" t="s">
        <v>160</v>
      </c>
      <c r="C18" s="657"/>
      <c r="D18" s="656"/>
      <c r="E18" s="656"/>
      <c r="F18" s="656"/>
      <c r="G18" s="656"/>
      <c r="H18" s="656"/>
      <c r="I18" s="656"/>
      <c r="J18" s="656"/>
      <c r="K18" s="656"/>
      <c r="L18" s="656"/>
      <c r="O18" s="657" t="s">
        <v>160</v>
      </c>
      <c r="P18" s="657"/>
      <c r="Q18" s="656"/>
      <c r="R18" s="656"/>
      <c r="S18" s="656"/>
      <c r="T18" s="656"/>
      <c r="U18" s="656"/>
      <c r="V18" s="656"/>
      <c r="W18" s="656"/>
      <c r="X18" s="656"/>
      <c r="Y18" s="656"/>
    </row>
    <row r="19" spans="2:25" x14ac:dyDescent="0.55000000000000004">
      <c r="B19" s="657" t="s">
        <v>161</v>
      </c>
      <c r="C19" s="657"/>
      <c r="D19" s="656"/>
      <c r="E19" s="656"/>
      <c r="F19" s="656"/>
      <c r="G19" s="656"/>
      <c r="H19" s="656"/>
      <c r="I19" s="656"/>
      <c r="J19" s="656"/>
      <c r="K19" s="656"/>
      <c r="L19" s="656"/>
      <c r="O19" s="657" t="s">
        <v>161</v>
      </c>
      <c r="P19" s="657"/>
      <c r="Q19" s="656"/>
      <c r="R19" s="656"/>
      <c r="S19" s="656"/>
      <c r="T19" s="656"/>
      <c r="U19" s="656"/>
      <c r="V19" s="656"/>
      <c r="W19" s="656"/>
      <c r="X19" s="656"/>
      <c r="Y19" s="656"/>
    </row>
    <row r="20" spans="2:25" x14ac:dyDescent="0.55000000000000004">
      <c r="B20" s="657" t="s">
        <v>162</v>
      </c>
      <c r="C20" s="657"/>
      <c r="D20" s="656"/>
      <c r="E20" s="656"/>
      <c r="F20" s="656"/>
      <c r="G20" s="656"/>
      <c r="H20" s="656"/>
      <c r="I20" s="656"/>
      <c r="J20" s="656"/>
      <c r="K20" s="656"/>
      <c r="L20" s="656"/>
      <c r="O20" s="657" t="s">
        <v>162</v>
      </c>
      <c r="P20" s="657"/>
      <c r="Q20" s="656"/>
      <c r="R20" s="656"/>
      <c r="S20" s="656"/>
      <c r="T20" s="656"/>
      <c r="U20" s="656"/>
      <c r="V20" s="656"/>
      <c r="W20" s="656"/>
      <c r="X20" s="656"/>
      <c r="Y20" s="656"/>
    </row>
    <row r="21" spans="2:25" x14ac:dyDescent="0.55000000000000004">
      <c r="B21" s="657" t="s">
        <v>163</v>
      </c>
      <c r="C21" s="657"/>
      <c r="D21" s="656"/>
      <c r="E21" s="656"/>
      <c r="F21" s="656"/>
      <c r="G21" s="656"/>
      <c r="H21" s="656"/>
      <c r="I21" s="656"/>
      <c r="J21" s="656"/>
      <c r="K21" s="656"/>
      <c r="L21" s="656"/>
      <c r="O21" s="657" t="s">
        <v>163</v>
      </c>
      <c r="P21" s="657"/>
      <c r="Q21" s="656"/>
      <c r="R21" s="656"/>
      <c r="S21" s="656"/>
      <c r="T21" s="656"/>
      <c r="U21" s="656"/>
      <c r="V21" s="656"/>
      <c r="W21" s="656"/>
      <c r="X21" s="656"/>
      <c r="Y21" s="656"/>
    </row>
    <row r="22" spans="2:25" x14ac:dyDescent="0.55000000000000004">
      <c r="B22" s="657" t="s">
        <v>164</v>
      </c>
      <c r="C22" s="657"/>
      <c r="D22" s="656"/>
      <c r="E22" s="656"/>
      <c r="F22" s="656"/>
      <c r="G22" s="656"/>
      <c r="H22" s="656"/>
      <c r="I22" s="656"/>
      <c r="J22" s="656"/>
      <c r="K22" s="656"/>
      <c r="L22" s="656"/>
      <c r="O22" s="657" t="s">
        <v>164</v>
      </c>
      <c r="P22" s="657"/>
      <c r="Q22" s="656"/>
      <c r="R22" s="656"/>
      <c r="S22" s="656"/>
      <c r="T22" s="656"/>
      <c r="U22" s="656"/>
      <c r="V22" s="656"/>
      <c r="W22" s="656"/>
      <c r="X22" s="656"/>
      <c r="Y22" s="656"/>
    </row>
    <row r="23" spans="2:25" x14ac:dyDescent="0.55000000000000004">
      <c r="B23" s="657" t="s">
        <v>165</v>
      </c>
      <c r="C23" s="657"/>
      <c r="D23" s="656"/>
      <c r="E23" s="656"/>
      <c r="F23" s="656"/>
      <c r="G23" s="656"/>
      <c r="H23" s="656"/>
      <c r="I23" s="656"/>
      <c r="J23" s="656"/>
      <c r="K23" s="656"/>
      <c r="L23" s="656"/>
      <c r="O23" s="657" t="s">
        <v>165</v>
      </c>
      <c r="P23" s="657"/>
      <c r="Q23" s="656"/>
      <c r="R23" s="656"/>
      <c r="S23" s="656"/>
      <c r="T23" s="656"/>
      <c r="U23" s="656"/>
      <c r="V23" s="656"/>
      <c r="W23" s="656"/>
      <c r="X23" s="656"/>
      <c r="Y23" s="656"/>
    </row>
    <row r="24" spans="2:25" x14ac:dyDescent="0.55000000000000004">
      <c r="B24" s="657" t="s">
        <v>166</v>
      </c>
      <c r="C24" s="657"/>
      <c r="D24" s="656"/>
      <c r="E24" s="656"/>
      <c r="F24" s="656"/>
      <c r="G24" s="656"/>
      <c r="H24" s="656"/>
      <c r="I24" s="656"/>
      <c r="J24" s="656"/>
      <c r="K24" s="656"/>
      <c r="L24" s="656"/>
      <c r="O24" s="657" t="s">
        <v>166</v>
      </c>
      <c r="P24" s="657"/>
      <c r="Q24" s="656"/>
      <c r="R24" s="656"/>
      <c r="S24" s="656"/>
      <c r="T24" s="656"/>
      <c r="U24" s="656"/>
      <c r="V24" s="656"/>
      <c r="W24" s="656"/>
      <c r="X24" s="656"/>
      <c r="Y24" s="656"/>
    </row>
    <row r="25" spans="2:25" x14ac:dyDescent="0.55000000000000004">
      <c r="B25" s="657" t="s">
        <v>167</v>
      </c>
      <c r="C25" s="657"/>
      <c r="D25" s="656"/>
      <c r="E25" s="656"/>
      <c r="F25" s="656"/>
      <c r="G25" s="656"/>
      <c r="H25" s="656"/>
      <c r="I25" s="656"/>
      <c r="J25" s="656"/>
      <c r="K25" s="656"/>
      <c r="L25" s="656"/>
      <c r="O25" s="657" t="s">
        <v>167</v>
      </c>
      <c r="P25" s="657"/>
      <c r="Q25" s="656"/>
      <c r="R25" s="656"/>
      <c r="S25" s="656"/>
      <c r="T25" s="656"/>
      <c r="U25" s="656"/>
      <c r="V25" s="656"/>
      <c r="W25" s="656"/>
      <c r="X25" s="656"/>
      <c r="Y25" s="656"/>
    </row>
    <row r="26" spans="2:25" x14ac:dyDescent="0.55000000000000004">
      <c r="B26" s="657" t="s">
        <v>168</v>
      </c>
      <c r="C26" s="657"/>
      <c r="D26" s="656"/>
      <c r="E26" s="656"/>
      <c r="F26" s="656"/>
      <c r="G26" s="656"/>
      <c r="H26" s="656"/>
      <c r="I26" s="656"/>
      <c r="J26" s="656"/>
      <c r="K26" s="656"/>
      <c r="L26" s="656"/>
      <c r="O26" s="657" t="s">
        <v>168</v>
      </c>
      <c r="P26" s="657"/>
      <c r="Q26" s="656"/>
      <c r="R26" s="656"/>
      <c r="S26" s="656"/>
      <c r="T26" s="656"/>
      <c r="U26" s="656"/>
      <c r="V26" s="656"/>
      <c r="W26" s="656"/>
      <c r="X26" s="656"/>
      <c r="Y26" s="656"/>
    </row>
    <row r="27" spans="2:25" x14ac:dyDescent="0.55000000000000004">
      <c r="B27" s="657" t="s">
        <v>169</v>
      </c>
      <c r="C27" s="657"/>
      <c r="D27" s="656"/>
      <c r="E27" s="656"/>
      <c r="F27" s="656"/>
      <c r="G27" s="656"/>
      <c r="H27" s="656"/>
      <c r="I27" s="656"/>
      <c r="J27" s="656"/>
      <c r="K27" s="656"/>
      <c r="L27" s="656"/>
      <c r="O27" s="657" t="s">
        <v>169</v>
      </c>
      <c r="P27" s="657"/>
      <c r="Q27" s="656"/>
      <c r="R27" s="656"/>
      <c r="S27" s="656"/>
      <c r="T27" s="656"/>
      <c r="U27" s="656"/>
      <c r="V27" s="656"/>
      <c r="W27" s="656"/>
      <c r="X27" s="656"/>
      <c r="Y27" s="656"/>
    </row>
    <row r="28" spans="2:25" x14ac:dyDescent="0.55000000000000004">
      <c r="B28" s="657" t="s">
        <v>170</v>
      </c>
      <c r="C28" s="657"/>
      <c r="D28" s="656"/>
      <c r="E28" s="656"/>
      <c r="F28" s="656"/>
      <c r="G28" s="656"/>
      <c r="H28" s="656"/>
      <c r="I28" s="656"/>
      <c r="J28" s="656"/>
      <c r="K28" s="656"/>
      <c r="L28" s="656"/>
      <c r="O28" s="657" t="s">
        <v>170</v>
      </c>
      <c r="P28" s="657"/>
      <c r="Q28" s="656"/>
      <c r="R28" s="656"/>
      <c r="S28" s="656"/>
      <c r="T28" s="656"/>
      <c r="U28" s="656"/>
      <c r="V28" s="656"/>
      <c r="W28" s="656"/>
      <c r="X28" s="656"/>
      <c r="Y28" s="656"/>
    </row>
    <row r="29" spans="2:25" x14ac:dyDescent="0.55000000000000004">
      <c r="B29" s="657" t="s">
        <v>171</v>
      </c>
      <c r="C29" s="657"/>
      <c r="D29" s="656"/>
      <c r="E29" s="656"/>
      <c r="F29" s="656"/>
      <c r="G29" s="656"/>
      <c r="H29" s="656"/>
      <c r="I29" s="656"/>
      <c r="J29" s="656"/>
      <c r="K29" s="656"/>
      <c r="L29" s="656"/>
      <c r="O29" s="657" t="s">
        <v>171</v>
      </c>
      <c r="P29" s="657"/>
      <c r="Q29" s="656"/>
      <c r="R29" s="656"/>
      <c r="S29" s="656"/>
      <c r="T29" s="656"/>
      <c r="U29" s="656"/>
      <c r="V29" s="656"/>
      <c r="W29" s="656"/>
      <c r="X29" s="656"/>
      <c r="Y29" s="656"/>
    </row>
    <row r="30" spans="2:25" x14ac:dyDescent="0.55000000000000004">
      <c r="B30" s="657" t="s">
        <v>172</v>
      </c>
      <c r="C30" s="657"/>
      <c r="D30" s="656"/>
      <c r="E30" s="656"/>
      <c r="F30" s="656"/>
      <c r="G30" s="656"/>
      <c r="H30" s="656"/>
      <c r="I30" s="656"/>
      <c r="J30" s="656"/>
      <c r="K30" s="656"/>
      <c r="L30" s="656"/>
      <c r="O30" s="657" t="s">
        <v>172</v>
      </c>
      <c r="P30" s="657"/>
      <c r="Q30" s="656"/>
      <c r="R30" s="656"/>
      <c r="S30" s="656"/>
      <c r="T30" s="656"/>
      <c r="U30" s="656"/>
      <c r="V30" s="656"/>
      <c r="W30" s="656"/>
      <c r="X30" s="656"/>
      <c r="Y30" s="656"/>
    </row>
    <row r="31" spans="2:25" x14ac:dyDescent="0.55000000000000004">
      <c r="B31" s="657" t="s">
        <v>173</v>
      </c>
      <c r="C31" s="657"/>
      <c r="D31" s="656"/>
      <c r="E31" s="656"/>
      <c r="F31" s="656"/>
      <c r="G31" s="656"/>
      <c r="H31" s="656"/>
      <c r="I31" s="656"/>
      <c r="J31" s="656"/>
      <c r="K31" s="656"/>
      <c r="L31" s="656"/>
      <c r="O31" s="657" t="s">
        <v>173</v>
      </c>
      <c r="P31" s="657"/>
      <c r="Q31" s="656"/>
      <c r="R31" s="656"/>
      <c r="S31" s="656"/>
      <c r="T31" s="656"/>
      <c r="U31" s="656"/>
      <c r="V31" s="656"/>
      <c r="W31" s="656"/>
      <c r="X31" s="656"/>
      <c r="Y31" s="656"/>
    </row>
    <row r="32" spans="2:25" x14ac:dyDescent="0.55000000000000004">
      <c r="B32" s="657" t="s">
        <v>174</v>
      </c>
      <c r="C32" s="657"/>
      <c r="D32" s="656"/>
      <c r="E32" s="656"/>
      <c r="F32" s="656"/>
      <c r="G32" s="656"/>
      <c r="H32" s="656"/>
      <c r="I32" s="656"/>
      <c r="J32" s="656"/>
      <c r="K32" s="656"/>
      <c r="L32" s="656"/>
      <c r="O32" s="657" t="s">
        <v>174</v>
      </c>
      <c r="P32" s="657"/>
      <c r="Q32" s="656"/>
      <c r="R32" s="656"/>
      <c r="S32" s="656"/>
      <c r="T32" s="656"/>
      <c r="U32" s="656"/>
      <c r="V32" s="656"/>
      <c r="W32" s="656"/>
      <c r="X32" s="656"/>
      <c r="Y32" s="656"/>
    </row>
    <row r="33" spans="2:25" x14ac:dyDescent="0.55000000000000004">
      <c r="B33" s="657" t="s">
        <v>175</v>
      </c>
      <c r="C33" s="657"/>
      <c r="D33" s="656"/>
      <c r="E33" s="656"/>
      <c r="F33" s="656"/>
      <c r="G33" s="656"/>
      <c r="H33" s="656"/>
      <c r="I33" s="656"/>
      <c r="J33" s="656"/>
      <c r="K33" s="656"/>
      <c r="L33" s="656"/>
      <c r="O33" s="657" t="s">
        <v>175</v>
      </c>
      <c r="P33" s="657"/>
      <c r="Q33" s="656"/>
      <c r="R33" s="656"/>
      <c r="S33" s="656"/>
      <c r="T33" s="656"/>
      <c r="U33" s="656"/>
      <c r="V33" s="656"/>
      <c r="W33" s="656"/>
      <c r="X33" s="656"/>
      <c r="Y33" s="656"/>
    </row>
    <row r="34" spans="2:25" x14ac:dyDescent="0.55000000000000004">
      <c r="B34" s="657" t="s">
        <v>176</v>
      </c>
      <c r="C34" s="657"/>
      <c r="D34" s="656"/>
      <c r="E34" s="656"/>
      <c r="F34" s="656"/>
      <c r="G34" s="656"/>
      <c r="H34" s="656"/>
      <c r="I34" s="656"/>
      <c r="J34" s="656"/>
      <c r="K34" s="656"/>
      <c r="L34" s="656"/>
      <c r="O34" s="657" t="s">
        <v>176</v>
      </c>
      <c r="P34" s="657"/>
      <c r="Q34" s="656"/>
      <c r="R34" s="656"/>
      <c r="S34" s="656"/>
      <c r="T34" s="656"/>
      <c r="U34" s="656"/>
      <c r="V34" s="656"/>
      <c r="W34" s="656"/>
      <c r="X34" s="656"/>
      <c r="Y34" s="656"/>
    </row>
    <row r="35" spans="2:25" x14ac:dyDescent="0.55000000000000004">
      <c r="B35" s="657" t="s">
        <v>177</v>
      </c>
      <c r="C35" s="657"/>
      <c r="D35" s="656"/>
      <c r="E35" s="656"/>
      <c r="F35" s="656"/>
      <c r="G35" s="656"/>
      <c r="H35" s="656"/>
      <c r="I35" s="656"/>
      <c r="J35" s="656"/>
      <c r="K35" s="656"/>
      <c r="L35" s="656"/>
      <c r="O35" s="657" t="s">
        <v>177</v>
      </c>
      <c r="P35" s="657"/>
      <c r="Q35" s="656"/>
      <c r="R35" s="656"/>
      <c r="S35" s="656"/>
      <c r="T35" s="656"/>
      <c r="U35" s="656"/>
      <c r="V35" s="656"/>
      <c r="W35" s="656"/>
      <c r="X35" s="656"/>
      <c r="Y35" s="656"/>
    </row>
    <row r="36" spans="2:25" x14ac:dyDescent="0.55000000000000004">
      <c r="B36" s="657" t="s">
        <v>178</v>
      </c>
      <c r="C36" s="657"/>
      <c r="D36" s="656"/>
      <c r="E36" s="656"/>
      <c r="F36" s="656"/>
      <c r="G36" s="656"/>
      <c r="H36" s="656"/>
      <c r="I36" s="656"/>
      <c r="J36" s="656"/>
      <c r="K36" s="656"/>
      <c r="L36" s="656"/>
      <c r="O36" s="657" t="s">
        <v>178</v>
      </c>
      <c r="P36" s="657"/>
      <c r="Q36" s="656"/>
      <c r="R36" s="656"/>
      <c r="S36" s="656"/>
      <c r="T36" s="656"/>
      <c r="U36" s="656"/>
      <c r="V36" s="656"/>
      <c r="W36" s="656"/>
      <c r="X36" s="656"/>
      <c r="Y36" s="656"/>
    </row>
    <row r="37" spans="2:25" x14ac:dyDescent="0.55000000000000004">
      <c r="B37" s="657" t="s">
        <v>15</v>
      </c>
      <c r="C37" s="657">
        <f ca="1">SUM(C6:L37)</f>
        <v>993344</v>
      </c>
      <c r="D37" s="657">
        <f t="shared" ref="D37:L37" si="0">SUM(D6:D36)</f>
        <v>0</v>
      </c>
      <c r="E37" s="664">
        <f t="shared" si="0"/>
        <v>1276</v>
      </c>
      <c r="F37" s="659">
        <f t="shared" si="0"/>
        <v>1540</v>
      </c>
      <c r="G37" s="657">
        <f t="shared" si="0"/>
        <v>0</v>
      </c>
      <c r="H37" s="657">
        <f t="shared" si="0"/>
        <v>0</v>
      </c>
      <c r="I37" s="657">
        <f t="shared" si="0"/>
        <v>1628</v>
      </c>
      <c r="J37" s="657">
        <f t="shared" si="0"/>
        <v>0</v>
      </c>
      <c r="K37" s="657">
        <f t="shared" si="0"/>
        <v>1540</v>
      </c>
      <c r="L37" s="657">
        <f t="shared" si="0"/>
        <v>0</v>
      </c>
      <c r="O37" s="657" t="s">
        <v>15</v>
      </c>
      <c r="P37" s="657">
        <f ca="1">SUM(P6:Y37)</f>
        <v>1158680</v>
      </c>
      <c r="Q37" s="657">
        <f t="shared" ref="Q37:Y37" si="1">SUM(Q6:Q36)</f>
        <v>2492</v>
      </c>
      <c r="R37" s="657">
        <f t="shared" si="1"/>
        <v>0</v>
      </c>
      <c r="S37" s="659">
        <f t="shared" si="1"/>
        <v>0</v>
      </c>
      <c r="T37" s="657">
        <f t="shared" si="1"/>
        <v>0</v>
      </c>
      <c r="U37" s="657">
        <f t="shared" si="1"/>
        <v>0</v>
      </c>
      <c r="V37" s="657">
        <f t="shared" si="1"/>
        <v>0</v>
      </c>
      <c r="W37" s="657">
        <f t="shared" si="1"/>
        <v>4488</v>
      </c>
      <c r="X37" s="657">
        <f t="shared" si="1"/>
        <v>0</v>
      </c>
      <c r="Y37" s="657">
        <f t="shared" si="1"/>
        <v>0</v>
      </c>
    </row>
  </sheetData>
  <mergeCells count="14">
    <mergeCell ref="K4:L4"/>
    <mergeCell ref="B3:B5"/>
    <mergeCell ref="C3:L3"/>
    <mergeCell ref="O3:O5"/>
    <mergeCell ref="P3:Y3"/>
    <mergeCell ref="P4:Q4"/>
    <mergeCell ref="R4:S4"/>
    <mergeCell ref="T4:U4"/>
    <mergeCell ref="V4:W4"/>
    <mergeCell ref="X4:Y4"/>
    <mergeCell ref="C4:D4"/>
    <mergeCell ref="E4:F4"/>
    <mergeCell ref="G4:H4"/>
    <mergeCell ref="I4:J4"/>
  </mergeCell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3:F13"/>
  <sheetViews>
    <sheetView workbookViewId="0">
      <selection activeCell="D14" sqref="D14"/>
    </sheetView>
  </sheetViews>
  <sheetFormatPr defaultRowHeight="14.4" x14ac:dyDescent="0.55000000000000004"/>
  <sheetData>
    <row r="13" spans="4:6" x14ac:dyDescent="0.55000000000000004">
      <c r="D13" s="665">
        <v>0.1111111111111111</v>
      </c>
      <c r="E13" s="665">
        <v>0.29166666666666669</v>
      </c>
      <c r="F13" s="665">
        <f>E13-D13</f>
        <v>0.18055555555555558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2:H12"/>
  <sheetViews>
    <sheetView workbookViewId="0">
      <selection activeCell="F13" sqref="F13"/>
    </sheetView>
  </sheetViews>
  <sheetFormatPr defaultRowHeight="14.4" x14ac:dyDescent="0.55000000000000004"/>
  <sheetData>
    <row r="12" spans="6:8" x14ac:dyDescent="0.55000000000000004">
      <c r="F12" s="665">
        <v>0.62152777777777779</v>
      </c>
      <c r="G12" s="665">
        <v>0.70833333333333337</v>
      </c>
      <c r="H12" s="665">
        <f>G12-F12</f>
        <v>8.680555555555558E-2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AX283"/>
  <sheetViews>
    <sheetView showGridLines="0" tabSelected="1" zoomScale="55" zoomScaleNormal="55" zoomScaleSheetLayoutView="40" workbookViewId="0">
      <pane xSplit="2" ySplit="8" topLeftCell="O46" activePane="bottomRight" state="frozen"/>
      <selection activeCell="N31" sqref="N31"/>
      <selection pane="topRight" activeCell="N31" sqref="N31"/>
      <selection pane="bottomLeft" activeCell="N31" sqref="N31"/>
      <selection pane="bottomRight" activeCell="Z60" sqref="Z60:AA60"/>
    </sheetView>
  </sheetViews>
  <sheetFormatPr defaultColWidth="9.15625" defaultRowHeight="19.8" x14ac:dyDescent="0.55000000000000004"/>
  <cols>
    <col min="1" max="1" width="7.26171875" style="883" customWidth="1"/>
    <col min="2" max="2" width="24.68359375" style="883" bestFit="1" customWidth="1"/>
    <col min="3" max="3" width="28.15625" style="884" hidden="1" customWidth="1"/>
    <col min="4" max="4" width="28.15625" style="884" customWidth="1"/>
    <col min="5" max="5" width="26" style="884" customWidth="1"/>
    <col min="6" max="6" width="23" style="884" customWidth="1"/>
    <col min="7" max="7" width="21.578125" style="883" customWidth="1"/>
    <col min="8" max="8" width="12.578125" style="883" customWidth="1"/>
    <col min="9" max="9" width="15.26171875" style="883" customWidth="1"/>
    <col min="10" max="10" width="22.68359375" style="884" bestFit="1" customWidth="1"/>
    <col min="11" max="11" width="14.15625" style="884" customWidth="1"/>
    <col min="12" max="12" width="15.26171875" style="884" bestFit="1" customWidth="1"/>
    <col min="13" max="13" width="23.68359375" style="885" customWidth="1"/>
    <col min="14" max="14" width="15.578125" style="883" hidden="1" customWidth="1"/>
    <col min="15" max="15" width="15.578125" style="883" customWidth="1"/>
    <col min="16" max="16" width="28.83984375" style="883" bestFit="1" customWidth="1"/>
    <col min="17" max="17" width="27.15625" style="886" hidden="1" customWidth="1"/>
    <col min="18" max="18" width="20.68359375" style="886" customWidth="1"/>
    <col min="19" max="19" width="20.26171875" style="886" customWidth="1"/>
    <col min="20" max="20" width="28" style="884" customWidth="1"/>
    <col min="21" max="21" width="26.15625" style="884" customWidth="1"/>
    <col min="22" max="22" width="28.83984375" style="887" customWidth="1"/>
    <col min="23" max="23" width="15.83984375" style="883" customWidth="1"/>
    <col min="24" max="24" width="26.15625" style="888" customWidth="1"/>
    <col min="25" max="25" width="25.15625" style="888" customWidth="1"/>
    <col min="26" max="26" width="22.41796875" style="888" customWidth="1"/>
    <col min="27" max="27" width="23" style="888" customWidth="1"/>
    <col min="28" max="28" width="22.83984375" style="917" customWidth="1"/>
    <col min="29" max="29" width="16.15625" style="883" customWidth="1"/>
    <col min="30" max="30" width="15.68359375" style="883" customWidth="1"/>
    <col min="31" max="31" width="13" style="883" hidden="1" customWidth="1"/>
    <col min="32" max="32" width="19" style="883" customWidth="1"/>
    <col min="33" max="33" width="17.26171875" style="883" customWidth="1"/>
    <col min="34" max="34" width="19.41796875" style="884" customWidth="1"/>
    <col min="35" max="35" width="17.26171875" style="883" customWidth="1"/>
    <col min="36" max="36" width="28.41796875" style="883" bestFit="1" customWidth="1"/>
    <col min="37" max="37" width="16.26171875" style="886" hidden="1" customWidth="1"/>
    <col min="38" max="38" width="21.41796875" style="886" hidden="1" customWidth="1"/>
    <col min="39" max="39" width="23.26171875" style="883" hidden="1" customWidth="1"/>
    <col min="40" max="46" width="21.578125" style="883" hidden="1" customWidth="1"/>
    <col min="47" max="47" width="0" style="883" hidden="1" customWidth="1"/>
    <col min="48" max="48" width="21.578125" style="883" hidden="1" customWidth="1"/>
    <col min="49" max="49" width="21.578125" style="883" bestFit="1" customWidth="1"/>
    <col min="50" max="50" width="13.41796875" style="883" bestFit="1" customWidth="1"/>
    <col min="51" max="16384" width="9.15625" style="883"/>
  </cols>
  <sheetData>
    <row r="2" spans="1:46" x14ac:dyDescent="0.55000000000000004">
      <c r="B2" s="862"/>
      <c r="AB2" s="889"/>
      <c r="AH2" s="883" t="s">
        <v>137</v>
      </c>
    </row>
    <row r="3" spans="1:46" s="890" customFormat="1" ht="27" x14ac:dyDescent="0.55000000000000004">
      <c r="B3" s="863" t="s">
        <v>234</v>
      </c>
      <c r="C3" s="891"/>
      <c r="D3" s="891"/>
      <c r="E3" s="891"/>
      <c r="F3" s="891"/>
      <c r="G3" s="892" t="s">
        <v>211</v>
      </c>
      <c r="J3" s="891"/>
      <c r="K3" s="891"/>
      <c r="L3" s="891"/>
      <c r="M3" s="893"/>
      <c r="Q3" s="894"/>
      <c r="R3" s="894"/>
      <c r="S3" s="894"/>
      <c r="T3" s="894"/>
      <c r="U3" s="894"/>
      <c r="V3" s="893"/>
      <c r="W3" s="895"/>
      <c r="X3" s="896"/>
      <c r="Y3" s="896"/>
      <c r="Z3" s="896"/>
      <c r="AA3" s="896"/>
      <c r="AB3" s="897"/>
      <c r="AH3" s="891"/>
      <c r="AK3" s="894"/>
      <c r="AL3" s="894"/>
    </row>
    <row r="4" spans="1:46" s="890" customFormat="1" ht="27.3" thickBot="1" x14ac:dyDescent="0.6">
      <c r="B4" s="863" t="s">
        <v>120</v>
      </c>
      <c r="C4" s="891"/>
      <c r="D4" s="891"/>
      <c r="E4" s="891"/>
      <c r="F4" s="891"/>
      <c r="J4" s="891"/>
      <c r="K4" s="891"/>
      <c r="L4" s="891"/>
      <c r="M4" s="893"/>
      <c r="Q4" s="894"/>
      <c r="R4" s="894"/>
      <c r="S4" s="894"/>
      <c r="T4" s="891"/>
      <c r="U4" s="891"/>
      <c r="V4" s="898"/>
      <c r="X4" s="1231" t="s">
        <v>225</v>
      </c>
      <c r="Y4" s="891">
        <v>46500.46</v>
      </c>
      <c r="Z4" s="896"/>
      <c r="AA4" s="896"/>
      <c r="AB4" s="897"/>
      <c r="AH4" s="891"/>
      <c r="AK4" s="894"/>
      <c r="AL4" s="894"/>
      <c r="AM4" s="890" t="s">
        <v>0</v>
      </c>
    </row>
    <row r="5" spans="1:46" s="864" customFormat="1" ht="43.5" customHeight="1" x14ac:dyDescent="0.55000000000000004">
      <c r="B5" s="1599" t="s">
        <v>1</v>
      </c>
      <c r="C5" s="1600" t="s">
        <v>119</v>
      </c>
      <c r="D5" s="1601"/>
      <c r="E5" s="1601"/>
      <c r="F5" s="1601"/>
      <c r="G5" s="1601"/>
      <c r="H5" s="1601"/>
      <c r="I5" s="1601"/>
      <c r="J5" s="1601"/>
      <c r="K5" s="1601"/>
      <c r="L5" s="1601"/>
      <c r="M5" s="1601"/>
      <c r="N5" s="1601"/>
      <c r="O5" s="1601"/>
      <c r="P5" s="1602"/>
      <c r="Q5" s="1615" t="s">
        <v>215</v>
      </c>
      <c r="R5" s="1616"/>
      <c r="S5" s="1616"/>
      <c r="T5" s="1616"/>
      <c r="U5" s="1616"/>
      <c r="V5" s="1616"/>
      <c r="W5" s="1616"/>
      <c r="X5" s="1616"/>
      <c r="Y5" s="1617"/>
      <c r="Z5" s="1599" t="s">
        <v>130</v>
      </c>
      <c r="AA5" s="1599" t="s">
        <v>131</v>
      </c>
      <c r="AB5" s="1652" t="s">
        <v>4</v>
      </c>
      <c r="AC5" s="1642" t="s">
        <v>5</v>
      </c>
      <c r="AD5" s="1643"/>
      <c r="AE5" s="1644"/>
      <c r="AF5" s="1599" t="s">
        <v>99</v>
      </c>
      <c r="AG5" s="1599" t="s">
        <v>100</v>
      </c>
      <c r="AH5" s="1651" t="s">
        <v>6</v>
      </c>
      <c r="AI5" s="1599" t="s">
        <v>7</v>
      </c>
      <c r="AJ5" s="1599" t="s">
        <v>8</v>
      </c>
      <c r="AK5" s="1653" t="s">
        <v>22</v>
      </c>
      <c r="AM5" s="1599" t="s">
        <v>2</v>
      </c>
      <c r="AN5" s="1618" t="s">
        <v>97</v>
      </c>
      <c r="AO5" s="1618" t="s">
        <v>98</v>
      </c>
    </row>
    <row r="6" spans="1:46" s="864" customFormat="1" ht="27" customHeight="1" x14ac:dyDescent="0.55000000000000004">
      <c r="B6" s="1599"/>
      <c r="C6" s="1621" t="s">
        <v>14</v>
      </c>
      <c r="D6" s="1622"/>
      <c r="E6" s="1622"/>
      <c r="F6" s="1623"/>
      <c r="G6" s="1627" t="s">
        <v>213</v>
      </c>
      <c r="H6" s="1628"/>
      <c r="I6" s="1628"/>
      <c r="J6" s="1628"/>
      <c r="K6" s="1628"/>
      <c r="L6" s="1628"/>
      <c r="M6" s="1629"/>
      <c r="N6" s="1597" t="s">
        <v>21</v>
      </c>
      <c r="O6" s="1597" t="s">
        <v>21</v>
      </c>
      <c r="P6" s="1633" t="s">
        <v>128</v>
      </c>
      <c r="Q6" s="1636" t="s">
        <v>14</v>
      </c>
      <c r="R6" s="1637"/>
      <c r="S6" s="1638"/>
      <c r="T6" s="1608" t="s">
        <v>17</v>
      </c>
      <c r="U6" s="1609"/>
      <c r="V6" s="1609"/>
      <c r="W6" s="1609"/>
      <c r="X6" s="1610"/>
      <c r="Y6" s="1614" t="s">
        <v>200</v>
      </c>
      <c r="Z6" s="1599"/>
      <c r="AA6" s="1599"/>
      <c r="AB6" s="1652"/>
      <c r="AC6" s="1645"/>
      <c r="AD6" s="1646"/>
      <c r="AE6" s="1647"/>
      <c r="AF6" s="1599"/>
      <c r="AG6" s="1599"/>
      <c r="AH6" s="1651"/>
      <c r="AI6" s="1599"/>
      <c r="AJ6" s="1599"/>
      <c r="AK6" s="1654"/>
      <c r="AM6" s="1599"/>
      <c r="AN6" s="1619"/>
      <c r="AO6" s="1619"/>
    </row>
    <row r="7" spans="1:46" s="864" customFormat="1" ht="27" customHeight="1" x14ac:dyDescent="0.55000000000000004">
      <c r="B7" s="1599"/>
      <c r="C7" s="1624"/>
      <c r="D7" s="1625"/>
      <c r="E7" s="1625"/>
      <c r="F7" s="1626"/>
      <c r="G7" s="1630"/>
      <c r="H7" s="1631"/>
      <c r="I7" s="1631"/>
      <c r="J7" s="1631"/>
      <c r="K7" s="1631"/>
      <c r="L7" s="1631"/>
      <c r="M7" s="1632"/>
      <c r="N7" s="1597"/>
      <c r="O7" s="1597"/>
      <c r="P7" s="1634"/>
      <c r="Q7" s="1639"/>
      <c r="R7" s="1640"/>
      <c r="S7" s="1641"/>
      <c r="T7" s="1611"/>
      <c r="U7" s="1612"/>
      <c r="V7" s="1612"/>
      <c r="W7" s="1612"/>
      <c r="X7" s="1613"/>
      <c r="Y7" s="1614"/>
      <c r="Z7" s="1599"/>
      <c r="AA7" s="1599"/>
      <c r="AB7" s="1652"/>
      <c r="AC7" s="1648"/>
      <c r="AD7" s="1649"/>
      <c r="AE7" s="1650"/>
      <c r="AF7" s="1599"/>
      <c r="AG7" s="1599"/>
      <c r="AH7" s="1651"/>
      <c r="AI7" s="1599"/>
      <c r="AJ7" s="1599"/>
      <c r="AK7" s="1654"/>
      <c r="AM7" s="1599"/>
      <c r="AN7" s="1619"/>
      <c r="AO7" s="1619"/>
    </row>
    <row r="8" spans="1:46" s="864" customFormat="1" ht="51" customHeight="1" thickBot="1" x14ac:dyDescent="0.6">
      <c r="B8" s="1599"/>
      <c r="C8" s="1045" t="s">
        <v>219</v>
      </c>
      <c r="D8" s="1045" t="s">
        <v>214</v>
      </c>
      <c r="E8" s="1045" t="s">
        <v>212</v>
      </c>
      <c r="F8" s="1045" t="s">
        <v>112</v>
      </c>
      <c r="G8" s="1173" t="s">
        <v>9</v>
      </c>
      <c r="H8" s="1597" t="s">
        <v>112</v>
      </c>
      <c r="I8" s="1597"/>
      <c r="J8" s="1045" t="s">
        <v>10</v>
      </c>
      <c r="K8" s="1597" t="s">
        <v>112</v>
      </c>
      <c r="L8" s="1597"/>
      <c r="M8" s="924" t="s">
        <v>15</v>
      </c>
      <c r="N8" s="1597"/>
      <c r="O8" s="1597"/>
      <c r="P8" s="1635"/>
      <c r="Q8" s="1175" t="s">
        <v>220</v>
      </c>
      <c r="R8" s="1175" t="s">
        <v>214</v>
      </c>
      <c r="S8" s="1175" t="s">
        <v>212</v>
      </c>
      <c r="T8" s="925" t="s">
        <v>9</v>
      </c>
      <c r="U8" s="1175" t="s">
        <v>10</v>
      </c>
      <c r="V8" s="1175" t="s">
        <v>15</v>
      </c>
      <c r="W8" s="925" t="s">
        <v>21</v>
      </c>
      <c r="X8" s="1175" t="s">
        <v>128</v>
      </c>
      <c r="Y8" s="1614"/>
      <c r="Z8" s="1599"/>
      <c r="AA8" s="1599"/>
      <c r="AB8" s="1652"/>
      <c r="AC8" s="1174" t="s">
        <v>14</v>
      </c>
      <c r="AD8" s="1174" t="s">
        <v>18</v>
      </c>
      <c r="AE8" s="1174"/>
      <c r="AF8" s="1599"/>
      <c r="AG8" s="1599"/>
      <c r="AH8" s="1651"/>
      <c r="AI8" s="1599"/>
      <c r="AJ8" s="1599"/>
      <c r="AK8" s="1655"/>
      <c r="AM8" s="1599"/>
      <c r="AN8" s="1620"/>
      <c r="AO8" s="1620"/>
    </row>
    <row r="9" spans="1:46" s="804" customFormat="1" ht="39" customHeight="1" thickBot="1" x14ac:dyDescent="0.6">
      <c r="B9" s="1046">
        <v>45505</v>
      </c>
      <c r="C9" s="1047">
        <v>33654</v>
      </c>
      <c r="D9" s="1047">
        <v>40000</v>
      </c>
      <c r="E9" s="1047">
        <f>+D9</f>
        <v>40000</v>
      </c>
      <c r="F9" s="1048" t="s">
        <v>226</v>
      </c>
      <c r="G9" s="1049">
        <v>14608</v>
      </c>
      <c r="H9" s="1050">
        <v>5</v>
      </c>
      <c r="I9" s="1051" t="s">
        <v>112</v>
      </c>
      <c r="J9" s="1049">
        <v>14060</v>
      </c>
      <c r="K9" s="1050">
        <v>5</v>
      </c>
      <c r="L9" s="1051" t="s">
        <v>112</v>
      </c>
      <c r="M9" s="1052">
        <f t="shared" ref="M9:M38" si="0">+J9+G9</f>
        <v>28668</v>
      </c>
      <c r="N9" s="1053">
        <f t="shared" ref="N9:N33" si="1">IFERROR(+M9/D9,"")</f>
        <v>0.7167</v>
      </c>
      <c r="O9" s="1053">
        <f>IFERROR(+M9/D9,"")</f>
        <v>0.7167</v>
      </c>
      <c r="P9" s="1054">
        <f>M9-D9</f>
        <v>-11332</v>
      </c>
      <c r="Q9" s="1047">
        <v>2103</v>
      </c>
      <c r="R9" s="1047">
        <v>2500</v>
      </c>
      <c r="S9" s="1047">
        <f>+R9</f>
        <v>2500</v>
      </c>
      <c r="T9" s="1056">
        <v>1162.22</v>
      </c>
      <c r="U9" s="1056">
        <v>661.72</v>
      </c>
      <c r="V9" s="1056">
        <f>+U9+T9</f>
        <v>1823.94</v>
      </c>
      <c r="W9" s="1053">
        <f t="shared" ref="W9:W38" si="2">IFERROR(+V9/R9,"")</f>
        <v>0.729576</v>
      </c>
      <c r="X9" s="1057">
        <f t="shared" ref="X9" si="3">V9-R9</f>
        <v>-676.06</v>
      </c>
      <c r="Y9" s="1057">
        <f>+Y4+V9</f>
        <v>48324.4</v>
      </c>
      <c r="Z9" s="1058">
        <v>19682</v>
      </c>
      <c r="AA9" s="1058">
        <v>16699</v>
      </c>
      <c r="AB9" s="1059">
        <f>Z9+AA9</f>
        <v>36381</v>
      </c>
      <c r="AC9" s="1060">
        <v>14</v>
      </c>
      <c r="AD9" s="1060">
        <f t="shared" ref="AD9:AD37" si="4">+IFERROR(M9/V9,0)</f>
        <v>15.717622290206915</v>
      </c>
      <c r="AE9" s="1053"/>
      <c r="AF9" s="1061">
        <f t="shared" ref="AF9:AF40" si="5">+Z9/(G9+(T9/1.27))</f>
        <v>1.2679140809906271</v>
      </c>
      <c r="AG9" s="1061">
        <f t="shared" ref="AG9:AG38" si="6">+AA9/(J9+(U9/1.27))</f>
        <v>1.1452544346233269</v>
      </c>
      <c r="AH9" s="1061">
        <f t="shared" ref="AH9:AH38" si="7">+AB9/(M9+(V9/1.27))</f>
        <v>1.2085035428158912</v>
      </c>
      <c r="AI9" s="1062">
        <v>0</v>
      </c>
      <c r="AJ9" s="1062">
        <v>0</v>
      </c>
      <c r="AK9" s="805">
        <v>124</v>
      </c>
      <c r="AL9" s="1157">
        <f>+'[5]fuel 55 gar'!$F$251</f>
        <v>1973</v>
      </c>
      <c r="AM9" s="806">
        <f>+AN9+AO9</f>
        <v>30104.173228346459</v>
      </c>
      <c r="AN9" s="806">
        <f t="shared" ref="AN9:AN17" si="8">+AP9+G9</f>
        <v>15523.133858267716</v>
      </c>
      <c r="AO9" s="806">
        <f t="shared" ref="AO9:AO17" si="9">+AQ9+J9</f>
        <v>14581.039370078741</v>
      </c>
      <c r="AP9" s="804">
        <f t="shared" ref="AP9:AQ34" si="10">+T9/1.27</f>
        <v>915.1338582677165</v>
      </c>
      <c r="AQ9" s="804">
        <f t="shared" si="10"/>
        <v>521.03937007874015</v>
      </c>
      <c r="AR9" s="804">
        <f>+AQ9+AP9</f>
        <v>1436.1732283464567</v>
      </c>
      <c r="AS9" s="807" t="e">
        <f>+AR9-#REF!</f>
        <v>#REF!</v>
      </c>
      <c r="AT9" s="1158">
        <f t="shared" ref="AT9:AT34" si="11">+AR9+M9</f>
        <v>30104.173228346455</v>
      </c>
    </row>
    <row r="10" spans="1:46" s="804" customFormat="1" ht="39" customHeight="1" thickBot="1" x14ac:dyDescent="0.6">
      <c r="B10" s="844">
        <f>+B9+1</f>
        <v>45506</v>
      </c>
      <c r="C10" s="899">
        <f t="shared" ref="C10:C23" si="12">-P9+D10</f>
        <v>51332</v>
      </c>
      <c r="D10" s="899">
        <v>40000</v>
      </c>
      <c r="E10" s="899">
        <f>+E9+D10</f>
        <v>80000</v>
      </c>
      <c r="F10" s="845" t="s">
        <v>226</v>
      </c>
      <c r="G10" s="809">
        <v>10408</v>
      </c>
      <c r="H10" s="846">
        <v>5</v>
      </c>
      <c r="I10" s="1037" t="s">
        <v>112</v>
      </c>
      <c r="J10" s="809">
        <v>13568</v>
      </c>
      <c r="K10" s="846">
        <v>5</v>
      </c>
      <c r="L10" s="1037" t="s">
        <v>112</v>
      </c>
      <c r="M10" s="812">
        <f t="shared" si="0"/>
        <v>23976</v>
      </c>
      <c r="N10" s="810">
        <f t="shared" si="1"/>
        <v>0.59940000000000004</v>
      </c>
      <c r="O10" s="810">
        <f t="shared" ref="O10:O40" si="13">IFERROR(+M10/D10,"")</f>
        <v>0.59940000000000004</v>
      </c>
      <c r="P10" s="1038">
        <f>M10-C10</f>
        <v>-27356</v>
      </c>
      <c r="Q10" s="899">
        <f>+R9+R10</f>
        <v>5000</v>
      </c>
      <c r="R10" s="899">
        <v>2500</v>
      </c>
      <c r="S10" s="899">
        <f>+S9+R10</f>
        <v>5000</v>
      </c>
      <c r="T10" s="811">
        <v>793.05</v>
      </c>
      <c r="U10" s="811">
        <v>881.91</v>
      </c>
      <c r="V10" s="811">
        <f>+U10+T10</f>
        <v>1674.96</v>
      </c>
      <c r="W10" s="810">
        <f t="shared" si="2"/>
        <v>0.66998400000000002</v>
      </c>
      <c r="X10" s="1040">
        <f>V10-Q10</f>
        <v>-3325.04</v>
      </c>
      <c r="Y10" s="1040">
        <f>+V10</f>
        <v>1674.96</v>
      </c>
      <c r="Z10" s="813">
        <v>19106.5</v>
      </c>
      <c r="AA10" s="813">
        <v>13134</v>
      </c>
      <c r="AB10" s="1041">
        <f t="shared" ref="AB10:AB38" si="14">Z10+AA10</f>
        <v>32240.5</v>
      </c>
      <c r="AC10" s="1042">
        <v>14</v>
      </c>
      <c r="AD10" s="1042">
        <f t="shared" si="4"/>
        <v>14.314371686488036</v>
      </c>
      <c r="AE10" s="810"/>
      <c r="AF10" s="1043">
        <f t="shared" si="5"/>
        <v>1.7318457863382248</v>
      </c>
      <c r="AG10" s="1043">
        <f t="shared" si="6"/>
        <v>0.92088176237642339</v>
      </c>
      <c r="AH10" s="1043">
        <f t="shared" si="7"/>
        <v>1.274586701481238</v>
      </c>
      <c r="AI10" s="814">
        <v>0</v>
      </c>
      <c r="AJ10" s="814">
        <v>0</v>
      </c>
      <c r="AK10" s="805">
        <v>517</v>
      </c>
      <c r="AL10" s="1157">
        <f>+'[5]fuel 55 gar'!$I$251</f>
        <v>890</v>
      </c>
      <c r="AM10" s="806">
        <f t="shared" ref="AM10:AM34" si="15">+AN10+AO10</f>
        <v>25294.866141732284</v>
      </c>
      <c r="AN10" s="806">
        <f t="shared" si="8"/>
        <v>11032.448818897637</v>
      </c>
      <c r="AO10" s="806">
        <f t="shared" si="9"/>
        <v>14262.417322834646</v>
      </c>
      <c r="AP10" s="804">
        <f t="shared" si="10"/>
        <v>624.44881889763781</v>
      </c>
      <c r="AQ10" s="804">
        <f t="shared" si="10"/>
        <v>694.41732283464569</v>
      </c>
      <c r="AR10" s="804">
        <f t="shared" ref="AR10:AR34" si="16">+AQ10+AP10</f>
        <v>1318.8661417322835</v>
      </c>
      <c r="AS10" s="807" t="e">
        <f>+AR10-#REF!</f>
        <v>#REF!</v>
      </c>
      <c r="AT10" s="1158">
        <f t="shared" si="11"/>
        <v>25294.866141732284</v>
      </c>
    </row>
    <row r="11" spans="1:46" s="804" customFormat="1" ht="39" customHeight="1" thickBot="1" x14ac:dyDescent="0.6">
      <c r="B11" s="844">
        <f>+B10+1</f>
        <v>45507</v>
      </c>
      <c r="C11" s="899">
        <f t="shared" si="12"/>
        <v>67356</v>
      </c>
      <c r="D11" s="899">
        <v>40000</v>
      </c>
      <c r="E11" s="899">
        <f t="shared" ref="E11:E38" si="17">+E10+D11</f>
        <v>120000</v>
      </c>
      <c r="F11" s="845" t="s">
        <v>226</v>
      </c>
      <c r="G11" s="809">
        <v>15922</v>
      </c>
      <c r="H11" s="846">
        <v>5</v>
      </c>
      <c r="I11" s="1037" t="s">
        <v>112</v>
      </c>
      <c r="J11" s="809">
        <v>13708</v>
      </c>
      <c r="K11" s="846">
        <v>4</v>
      </c>
      <c r="L11" s="1037" t="s">
        <v>112</v>
      </c>
      <c r="M11" s="812">
        <f t="shared" si="0"/>
        <v>29630</v>
      </c>
      <c r="N11" s="810">
        <f t="shared" si="1"/>
        <v>0.74075000000000002</v>
      </c>
      <c r="O11" s="810">
        <f t="shared" si="13"/>
        <v>0.74075000000000002</v>
      </c>
      <c r="P11" s="1038">
        <f>M11-C11</f>
        <v>-37726</v>
      </c>
      <c r="Q11" s="899">
        <f t="shared" ref="Q11:Q30" si="18">+Q10+R11</f>
        <v>7500</v>
      </c>
      <c r="R11" s="899">
        <v>2500</v>
      </c>
      <c r="S11" s="899">
        <f>+S10+R11</f>
        <v>7500</v>
      </c>
      <c r="T11" s="811">
        <v>933.46</v>
      </c>
      <c r="U11" s="811">
        <v>407.32</v>
      </c>
      <c r="V11" s="811">
        <f t="shared" ref="V11:V38" si="19">+U11+T11</f>
        <v>1340.78</v>
      </c>
      <c r="W11" s="810">
        <f t="shared" si="2"/>
        <v>0.53631200000000001</v>
      </c>
      <c r="X11" s="1040">
        <f>V11-Q11</f>
        <v>-6159.22</v>
      </c>
      <c r="Y11" s="1040">
        <f>+Y10+V11</f>
        <v>3015.74</v>
      </c>
      <c r="Z11" s="813">
        <v>19943.5</v>
      </c>
      <c r="AA11" s="813">
        <v>16207.5</v>
      </c>
      <c r="AB11" s="1041">
        <f t="shared" si="14"/>
        <v>36151</v>
      </c>
      <c r="AC11" s="1042">
        <v>14</v>
      </c>
      <c r="AD11" s="1042">
        <f t="shared" si="4"/>
        <v>22.099076656871375</v>
      </c>
      <c r="AE11" s="810"/>
      <c r="AF11" s="1043">
        <f t="shared" si="5"/>
        <v>1.19730387058957</v>
      </c>
      <c r="AG11" s="1043">
        <f t="shared" si="6"/>
        <v>1.155308175352258</v>
      </c>
      <c r="AH11" s="1043">
        <f t="shared" si="7"/>
        <v>1.1781045231721736</v>
      </c>
      <c r="AI11" s="814">
        <v>0</v>
      </c>
      <c r="AJ11" s="814">
        <v>0</v>
      </c>
      <c r="AK11" s="805">
        <v>1531</v>
      </c>
      <c r="AL11" s="1157">
        <f>+AB10-AL10</f>
        <v>31350.5</v>
      </c>
      <c r="AM11" s="806">
        <f t="shared" si="15"/>
        <v>30685.732283464567</v>
      </c>
      <c r="AN11" s="806">
        <f t="shared" si="8"/>
        <v>16657.007874015748</v>
      </c>
      <c r="AO11" s="806">
        <f t="shared" si="9"/>
        <v>14028.72440944882</v>
      </c>
      <c r="AP11" s="804">
        <f t="shared" si="10"/>
        <v>735.00787401574803</v>
      </c>
      <c r="AQ11" s="804">
        <f t="shared" si="10"/>
        <v>320.7244094488189</v>
      </c>
      <c r="AR11" s="804">
        <f t="shared" si="16"/>
        <v>1055.732283464567</v>
      </c>
      <c r="AS11" s="807" t="e">
        <f>+AR11-#REF!</f>
        <v>#REF!</v>
      </c>
      <c r="AT11" s="1158">
        <f t="shared" si="11"/>
        <v>30685.732283464567</v>
      </c>
    </row>
    <row r="12" spans="1:46" s="804" customFormat="1" ht="39" customHeight="1" thickBot="1" x14ac:dyDescent="0.6">
      <c r="B12" s="1315">
        <f>+B11+1</f>
        <v>45508</v>
      </c>
      <c r="C12" s="899">
        <f t="shared" si="12"/>
        <v>57726</v>
      </c>
      <c r="D12" s="899">
        <v>20000</v>
      </c>
      <c r="E12" s="899">
        <f t="shared" si="17"/>
        <v>140000</v>
      </c>
      <c r="F12" s="845" t="s">
        <v>226</v>
      </c>
      <c r="G12" s="809">
        <v>3234</v>
      </c>
      <c r="H12" s="846">
        <v>1</v>
      </c>
      <c r="I12" s="1037" t="s">
        <v>112</v>
      </c>
      <c r="J12" s="809">
        <v>15246</v>
      </c>
      <c r="K12" s="846">
        <v>5</v>
      </c>
      <c r="L12" s="1037" t="s">
        <v>112</v>
      </c>
      <c r="M12" s="812">
        <f t="shared" si="0"/>
        <v>18480</v>
      </c>
      <c r="N12" s="810">
        <f t="shared" si="1"/>
        <v>0.92400000000000004</v>
      </c>
      <c r="O12" s="810">
        <f t="shared" si="13"/>
        <v>0.92400000000000004</v>
      </c>
      <c r="P12" s="1038">
        <f>M12-C12</f>
        <v>-39246</v>
      </c>
      <c r="Q12" s="899">
        <f t="shared" si="18"/>
        <v>9375</v>
      </c>
      <c r="R12" s="899">
        <v>1875</v>
      </c>
      <c r="S12" s="899">
        <f t="shared" ref="S12:S38" si="20">+S11+R12</f>
        <v>9375</v>
      </c>
      <c r="T12" s="811">
        <v>884.08</v>
      </c>
      <c r="U12" s="811">
        <v>974.72</v>
      </c>
      <c r="V12" s="811">
        <f t="shared" si="19"/>
        <v>1858.8000000000002</v>
      </c>
      <c r="W12" s="810">
        <f t="shared" si="2"/>
        <v>0.99136000000000013</v>
      </c>
      <c r="X12" s="1040">
        <f t="shared" ref="X12:X38" si="21">V12-R12</f>
        <v>-16.199999999999818</v>
      </c>
      <c r="Y12" s="1040">
        <f t="shared" ref="Y12:Y20" si="22">+Y11+V12</f>
        <v>4874.54</v>
      </c>
      <c r="Z12" s="813">
        <v>5109</v>
      </c>
      <c r="AA12" s="813">
        <v>15731</v>
      </c>
      <c r="AB12" s="1041">
        <f t="shared" si="14"/>
        <v>20840</v>
      </c>
      <c r="AC12" s="1042">
        <v>14</v>
      </c>
      <c r="AD12" s="1042">
        <f t="shared" si="4"/>
        <v>9.9418979987088427</v>
      </c>
      <c r="AE12" s="810"/>
      <c r="AF12" s="1043">
        <f t="shared" si="5"/>
        <v>1.2999583271558686</v>
      </c>
      <c r="AG12" s="1043">
        <f t="shared" si="6"/>
        <v>0.98235887642018493</v>
      </c>
      <c r="AH12" s="1043">
        <f t="shared" si="7"/>
        <v>1.0449455946684354</v>
      </c>
      <c r="AI12" s="814">
        <v>0</v>
      </c>
      <c r="AJ12" s="814">
        <v>0</v>
      </c>
      <c r="AK12" s="805">
        <v>257</v>
      </c>
      <c r="AL12" s="1157">
        <f>+AL11/(M10+(V10)*1.27)</f>
        <v>1.2010213675264756</v>
      </c>
      <c r="AM12" s="806">
        <f t="shared" si="15"/>
        <v>19943.622047244095</v>
      </c>
      <c r="AN12" s="806">
        <f t="shared" si="8"/>
        <v>3930.1259842519685</v>
      </c>
      <c r="AO12" s="806">
        <f t="shared" si="9"/>
        <v>16013.496062992126</v>
      </c>
      <c r="AP12" s="804">
        <f t="shared" si="10"/>
        <v>696.12598425196848</v>
      </c>
      <c r="AQ12" s="804">
        <f t="shared" si="10"/>
        <v>767.49606299212599</v>
      </c>
      <c r="AR12" s="804">
        <f t="shared" si="16"/>
        <v>1463.6220472440946</v>
      </c>
      <c r="AS12" s="807" t="e">
        <f>+AR12-#REF!</f>
        <v>#REF!</v>
      </c>
      <c r="AT12" s="1158">
        <f t="shared" si="11"/>
        <v>19943.622047244095</v>
      </c>
    </row>
    <row r="13" spans="1:46" s="804" customFormat="1" ht="39" customHeight="1" thickBot="1" x14ac:dyDescent="0.6">
      <c r="B13" s="844">
        <f t="shared" ref="B13:B39" si="23">+B12+1</f>
        <v>45509</v>
      </c>
      <c r="C13" s="899">
        <f t="shared" si="12"/>
        <v>79246</v>
      </c>
      <c r="D13" s="899">
        <v>40000</v>
      </c>
      <c r="E13" s="899">
        <f t="shared" si="17"/>
        <v>180000</v>
      </c>
      <c r="F13" s="845" t="s">
        <v>226</v>
      </c>
      <c r="G13" s="809">
        <v>13666</v>
      </c>
      <c r="H13" s="846">
        <v>4</v>
      </c>
      <c r="I13" s="1037" t="s">
        <v>112</v>
      </c>
      <c r="J13" s="809">
        <v>14042</v>
      </c>
      <c r="K13" s="846">
        <v>4</v>
      </c>
      <c r="L13" s="1037" t="s">
        <v>112</v>
      </c>
      <c r="M13" s="812">
        <f t="shared" si="0"/>
        <v>27708</v>
      </c>
      <c r="N13" s="810">
        <f t="shared" si="1"/>
        <v>0.69269999999999998</v>
      </c>
      <c r="O13" s="810">
        <f t="shared" si="13"/>
        <v>0.69269999999999998</v>
      </c>
      <c r="P13" s="1038">
        <f t="shared" ref="P13:P38" si="24">M13-D13</f>
        <v>-12292</v>
      </c>
      <c r="Q13" s="899">
        <f t="shared" si="18"/>
        <v>11875</v>
      </c>
      <c r="R13" s="899">
        <v>2500</v>
      </c>
      <c r="S13" s="899">
        <f t="shared" si="20"/>
        <v>11875</v>
      </c>
      <c r="T13" s="811">
        <v>631</v>
      </c>
      <c r="U13" s="811">
        <v>1118.83</v>
      </c>
      <c r="V13" s="811">
        <f>U13+T13</f>
        <v>1749.83</v>
      </c>
      <c r="W13" s="810">
        <f t="shared" si="2"/>
        <v>0.699932</v>
      </c>
      <c r="X13" s="1040">
        <f t="shared" si="21"/>
        <v>-750.17000000000007</v>
      </c>
      <c r="Y13" s="1040">
        <f t="shared" si="22"/>
        <v>6624.37</v>
      </c>
      <c r="Z13" s="813">
        <v>14940.5</v>
      </c>
      <c r="AA13" s="813">
        <v>15304.5</v>
      </c>
      <c r="AB13" s="1041">
        <f t="shared" si="14"/>
        <v>30245</v>
      </c>
      <c r="AC13" s="1042">
        <v>14</v>
      </c>
      <c r="AD13" s="1042">
        <f t="shared" si="4"/>
        <v>15.834681083305236</v>
      </c>
      <c r="AE13" s="810"/>
      <c r="AF13" s="1043">
        <f t="shared" si="5"/>
        <v>1.0549077046415096</v>
      </c>
      <c r="AG13" s="1043">
        <f t="shared" si="6"/>
        <v>1.0255667292980171</v>
      </c>
      <c r="AH13" s="1043">
        <f t="shared" si="7"/>
        <v>1.0398538238322164</v>
      </c>
      <c r="AI13" s="814">
        <v>0</v>
      </c>
      <c r="AJ13" s="814">
        <v>0</v>
      </c>
      <c r="AK13" s="805">
        <v>877</v>
      </c>
      <c r="AL13" s="1157"/>
      <c r="AM13" s="806">
        <f t="shared" si="15"/>
        <v>29085.818897637793</v>
      </c>
      <c r="AN13" s="806">
        <f t="shared" si="8"/>
        <v>14162.850393700788</v>
      </c>
      <c r="AO13" s="806">
        <f t="shared" si="9"/>
        <v>14922.968503937007</v>
      </c>
      <c r="AP13" s="804">
        <f t="shared" si="10"/>
        <v>496.85039370078738</v>
      </c>
      <c r="AQ13" s="804">
        <f t="shared" si="10"/>
        <v>880.96850393700777</v>
      </c>
      <c r="AR13" s="804">
        <f t="shared" si="16"/>
        <v>1377.8188976377951</v>
      </c>
      <c r="AS13" s="807" t="e">
        <f>+AR13-#REF!</f>
        <v>#REF!</v>
      </c>
      <c r="AT13" s="1158">
        <f t="shared" si="11"/>
        <v>29085.818897637793</v>
      </c>
    </row>
    <row r="14" spans="1:46" s="804" customFormat="1" ht="39" customHeight="1" thickBot="1" x14ac:dyDescent="0.6">
      <c r="A14" s="804" t="s">
        <v>114</v>
      </c>
      <c r="B14" s="844">
        <f t="shared" si="23"/>
        <v>45510</v>
      </c>
      <c r="C14" s="899">
        <f t="shared" si="12"/>
        <v>52292</v>
      </c>
      <c r="D14" s="899">
        <v>40000</v>
      </c>
      <c r="E14" s="899">
        <f t="shared" si="17"/>
        <v>220000</v>
      </c>
      <c r="F14" s="845" t="s">
        <v>226</v>
      </c>
      <c r="G14" s="809">
        <v>12250</v>
      </c>
      <c r="H14" s="846">
        <v>4</v>
      </c>
      <c r="I14" s="1037" t="s">
        <v>112</v>
      </c>
      <c r="J14" s="809">
        <v>10922</v>
      </c>
      <c r="K14" s="846">
        <v>4</v>
      </c>
      <c r="L14" s="1037" t="s">
        <v>112</v>
      </c>
      <c r="M14" s="812">
        <f t="shared" si="0"/>
        <v>23172</v>
      </c>
      <c r="N14" s="810">
        <f t="shared" si="1"/>
        <v>0.57930000000000004</v>
      </c>
      <c r="O14" s="810">
        <f t="shared" si="13"/>
        <v>0.57930000000000004</v>
      </c>
      <c r="P14" s="1038">
        <f t="shared" si="24"/>
        <v>-16828</v>
      </c>
      <c r="Q14" s="899">
        <f t="shared" si="18"/>
        <v>14375</v>
      </c>
      <c r="R14" s="899">
        <v>2500</v>
      </c>
      <c r="S14" s="899">
        <f t="shared" si="20"/>
        <v>14375</v>
      </c>
      <c r="T14" s="811">
        <v>1146.81</v>
      </c>
      <c r="U14" s="811">
        <v>1488.18</v>
      </c>
      <c r="V14" s="811">
        <f t="shared" si="19"/>
        <v>2634.99</v>
      </c>
      <c r="W14" s="810">
        <f t="shared" si="2"/>
        <v>1.0539959999999999</v>
      </c>
      <c r="X14" s="1040">
        <f t="shared" si="21"/>
        <v>134.98999999999978</v>
      </c>
      <c r="Y14" s="1040">
        <f t="shared" si="22"/>
        <v>9259.36</v>
      </c>
      <c r="Z14" s="813">
        <v>12853.5</v>
      </c>
      <c r="AA14" s="813">
        <v>16384.5</v>
      </c>
      <c r="AB14" s="1041">
        <f t="shared" si="14"/>
        <v>29238</v>
      </c>
      <c r="AC14" s="1042">
        <v>14</v>
      </c>
      <c r="AD14" s="1042">
        <f t="shared" si="4"/>
        <v>8.7939612674051908</v>
      </c>
      <c r="AE14" s="810"/>
      <c r="AF14" s="1043">
        <f t="shared" si="5"/>
        <v>0.97722952938493124</v>
      </c>
      <c r="AG14" s="1043">
        <f t="shared" si="6"/>
        <v>1.3547856257389745</v>
      </c>
      <c r="AH14" s="1043">
        <f t="shared" si="7"/>
        <v>1.1580875782784312</v>
      </c>
      <c r="AI14" s="814">
        <v>0</v>
      </c>
      <c r="AJ14" s="814">
        <v>0</v>
      </c>
      <c r="AK14" s="805">
        <v>883</v>
      </c>
      <c r="AL14" s="1157"/>
      <c r="AM14" s="806">
        <f t="shared" si="15"/>
        <v>25246.79527559055</v>
      </c>
      <c r="AN14" s="806">
        <f t="shared" si="8"/>
        <v>13153</v>
      </c>
      <c r="AO14" s="806">
        <f t="shared" si="9"/>
        <v>12093.795275590552</v>
      </c>
      <c r="AP14" s="804">
        <f t="shared" si="10"/>
        <v>903</v>
      </c>
      <c r="AQ14" s="804">
        <f t="shared" si="10"/>
        <v>1171.7952755905512</v>
      </c>
      <c r="AR14" s="804">
        <f t="shared" si="16"/>
        <v>2074.7952755905512</v>
      </c>
      <c r="AS14" s="807" t="e">
        <f>+AR14-#REF!</f>
        <v>#REF!</v>
      </c>
      <c r="AT14" s="1158">
        <f t="shared" si="11"/>
        <v>25246.79527559055</v>
      </c>
    </row>
    <row r="15" spans="1:46" s="804" customFormat="1" ht="39" customHeight="1" thickBot="1" x14ac:dyDescent="0.6">
      <c r="B15" s="844">
        <f t="shared" si="23"/>
        <v>45511</v>
      </c>
      <c r="C15" s="899">
        <f t="shared" si="12"/>
        <v>56828</v>
      </c>
      <c r="D15" s="899">
        <v>40000</v>
      </c>
      <c r="E15" s="899">
        <f t="shared" si="17"/>
        <v>260000</v>
      </c>
      <c r="F15" s="845" t="s">
        <v>226</v>
      </c>
      <c r="G15" s="809">
        <v>13642</v>
      </c>
      <c r="H15" s="846">
        <v>4</v>
      </c>
      <c r="I15" s="1037" t="s">
        <v>112</v>
      </c>
      <c r="J15" s="809">
        <v>9018</v>
      </c>
      <c r="K15" s="846">
        <v>4</v>
      </c>
      <c r="L15" s="1037" t="s">
        <v>112</v>
      </c>
      <c r="M15" s="812">
        <f t="shared" si="0"/>
        <v>22660</v>
      </c>
      <c r="N15" s="810">
        <f t="shared" si="1"/>
        <v>0.5665</v>
      </c>
      <c r="O15" s="810">
        <f t="shared" si="13"/>
        <v>0.5665</v>
      </c>
      <c r="P15" s="1038">
        <f t="shared" si="24"/>
        <v>-17340</v>
      </c>
      <c r="Q15" s="899">
        <f t="shared" si="18"/>
        <v>16875</v>
      </c>
      <c r="R15" s="899">
        <v>2500</v>
      </c>
      <c r="S15" s="899">
        <f t="shared" si="20"/>
        <v>16875</v>
      </c>
      <c r="T15" s="811">
        <v>930.14</v>
      </c>
      <c r="U15" s="811">
        <v>800.22</v>
      </c>
      <c r="V15" s="811">
        <f>+U15+T15</f>
        <v>1730.3600000000001</v>
      </c>
      <c r="W15" s="810">
        <f t="shared" si="2"/>
        <v>0.69214400000000009</v>
      </c>
      <c r="X15" s="1040">
        <f t="shared" si="21"/>
        <v>-769.63999999999987</v>
      </c>
      <c r="Y15" s="1040">
        <f t="shared" si="22"/>
        <v>10989.720000000001</v>
      </c>
      <c r="Z15" s="813">
        <v>15349.5</v>
      </c>
      <c r="AA15" s="813">
        <v>16309</v>
      </c>
      <c r="AB15" s="1041">
        <f t="shared" si="14"/>
        <v>31658.5</v>
      </c>
      <c r="AC15" s="1042">
        <v>14</v>
      </c>
      <c r="AD15" s="1042">
        <f t="shared" si="4"/>
        <v>13.095540812316511</v>
      </c>
      <c r="AE15" s="810"/>
      <c r="AF15" s="1043">
        <f t="shared" si="5"/>
        <v>1.0678363428406155</v>
      </c>
      <c r="AG15" s="1043">
        <f t="shared" si="6"/>
        <v>1.6903856010080729</v>
      </c>
      <c r="AH15" s="1043">
        <f t="shared" si="7"/>
        <v>1.317869312743702</v>
      </c>
      <c r="AI15" s="814">
        <v>5.9027777777777783E-2</v>
      </c>
      <c r="AJ15" s="814">
        <v>0</v>
      </c>
      <c r="AK15" s="805">
        <v>593</v>
      </c>
      <c r="AL15" s="1157"/>
      <c r="AM15" s="806">
        <f t="shared" si="15"/>
        <v>24022.488188976378</v>
      </c>
      <c r="AN15" s="806">
        <f t="shared" si="8"/>
        <v>14374.393700787401</v>
      </c>
      <c r="AO15" s="806">
        <f t="shared" si="9"/>
        <v>9648.0944881889773</v>
      </c>
      <c r="AP15" s="804">
        <f t="shared" si="10"/>
        <v>732.3937007874016</v>
      </c>
      <c r="AQ15" s="804">
        <f t="shared" si="10"/>
        <v>630.09448818897636</v>
      </c>
      <c r="AR15" s="804">
        <f t="shared" si="16"/>
        <v>1362.4881889763778</v>
      </c>
      <c r="AS15" s="807" t="e">
        <f>+AR15-#REF!</f>
        <v>#REF!</v>
      </c>
      <c r="AT15" s="1158">
        <f t="shared" si="11"/>
        <v>24022.488188976378</v>
      </c>
    </row>
    <row r="16" spans="1:46" s="804" customFormat="1" ht="39" customHeight="1" thickBot="1" x14ac:dyDescent="0.6">
      <c r="B16" s="844">
        <f t="shared" si="23"/>
        <v>45512</v>
      </c>
      <c r="C16" s="899">
        <f t="shared" si="12"/>
        <v>57340</v>
      </c>
      <c r="D16" s="899">
        <v>40000</v>
      </c>
      <c r="E16" s="899">
        <f t="shared" si="17"/>
        <v>300000</v>
      </c>
      <c r="F16" s="845" t="s">
        <v>226</v>
      </c>
      <c r="G16" s="809">
        <v>11822</v>
      </c>
      <c r="H16" s="846">
        <v>5</v>
      </c>
      <c r="I16" s="1037" t="s">
        <v>112</v>
      </c>
      <c r="J16" s="809">
        <v>5498</v>
      </c>
      <c r="K16" s="846">
        <v>5</v>
      </c>
      <c r="L16" s="1037" t="s">
        <v>112</v>
      </c>
      <c r="M16" s="812">
        <f t="shared" si="0"/>
        <v>17320</v>
      </c>
      <c r="N16" s="810">
        <f t="shared" si="1"/>
        <v>0.433</v>
      </c>
      <c r="O16" s="810">
        <f t="shared" si="13"/>
        <v>0.433</v>
      </c>
      <c r="P16" s="1038">
        <f t="shared" si="24"/>
        <v>-22680</v>
      </c>
      <c r="Q16" s="899">
        <f t="shared" si="18"/>
        <v>19375</v>
      </c>
      <c r="R16" s="899">
        <v>2500</v>
      </c>
      <c r="S16" s="899">
        <f t="shared" si="20"/>
        <v>19375</v>
      </c>
      <c r="T16" s="811">
        <v>792.8</v>
      </c>
      <c r="U16" s="811">
        <v>409.9</v>
      </c>
      <c r="V16" s="811">
        <f>+U16+T16</f>
        <v>1202.6999999999998</v>
      </c>
      <c r="W16" s="810">
        <f t="shared" si="2"/>
        <v>0.48107999999999995</v>
      </c>
      <c r="X16" s="1040">
        <f t="shared" si="21"/>
        <v>-1297.3000000000002</v>
      </c>
      <c r="Y16" s="1040">
        <f t="shared" si="22"/>
        <v>12192.420000000002</v>
      </c>
      <c r="Z16" s="813">
        <v>15972.5</v>
      </c>
      <c r="AA16" s="813">
        <v>11677.5</v>
      </c>
      <c r="AB16" s="1041">
        <f t="shared" si="14"/>
        <v>27650</v>
      </c>
      <c r="AC16" s="1042">
        <v>14</v>
      </c>
      <c r="AD16" s="1042">
        <f t="shared" si="4"/>
        <v>14.400931238047729</v>
      </c>
      <c r="AE16" s="810"/>
      <c r="AF16" s="1043">
        <f t="shared" si="5"/>
        <v>1.283318065584681</v>
      </c>
      <c r="AG16" s="1043">
        <f t="shared" si="6"/>
        <v>2.0061827346070809</v>
      </c>
      <c r="AH16" s="1043">
        <f t="shared" si="7"/>
        <v>1.5136578574168826</v>
      </c>
      <c r="AI16" s="814">
        <v>0.23541666666666669</v>
      </c>
      <c r="AJ16" s="814">
        <v>4.1666666666666664E-2</v>
      </c>
      <c r="AK16" s="805">
        <v>848</v>
      </c>
      <c r="AL16" s="1157"/>
      <c r="AM16" s="806">
        <f t="shared" si="15"/>
        <v>18267.007874015748</v>
      </c>
      <c r="AN16" s="806">
        <f t="shared" si="8"/>
        <v>12446.251968503937</v>
      </c>
      <c r="AO16" s="806">
        <f t="shared" si="9"/>
        <v>5820.7559055118109</v>
      </c>
      <c r="AP16" s="804">
        <f t="shared" si="10"/>
        <v>624.25196850393695</v>
      </c>
      <c r="AQ16" s="804">
        <f t="shared" si="10"/>
        <v>322.75590551181102</v>
      </c>
      <c r="AR16" s="804">
        <f t="shared" si="16"/>
        <v>947.00787401574803</v>
      </c>
      <c r="AS16" s="807" t="e">
        <f>+AR16-#REF!</f>
        <v>#REF!</v>
      </c>
      <c r="AT16" s="1158">
        <f t="shared" si="11"/>
        <v>18267.007874015748</v>
      </c>
    </row>
    <row r="17" spans="1:48" s="804" customFormat="1" ht="39" customHeight="1" thickBot="1" x14ac:dyDescent="0.6">
      <c r="B17" s="844">
        <f t="shared" si="23"/>
        <v>45513</v>
      </c>
      <c r="C17" s="899">
        <f t="shared" si="12"/>
        <v>62680</v>
      </c>
      <c r="D17" s="899">
        <v>40000</v>
      </c>
      <c r="E17" s="899">
        <f t="shared" si="17"/>
        <v>340000</v>
      </c>
      <c r="F17" s="845" t="s">
        <v>226</v>
      </c>
      <c r="G17" s="809">
        <v>9848</v>
      </c>
      <c r="H17" s="846">
        <v>5</v>
      </c>
      <c r="I17" s="1037" t="s">
        <v>112</v>
      </c>
      <c r="J17" s="809">
        <v>17052</v>
      </c>
      <c r="K17" s="846">
        <v>5</v>
      </c>
      <c r="L17" s="1037" t="s">
        <v>112</v>
      </c>
      <c r="M17" s="812">
        <f>+J17+G17</f>
        <v>26900</v>
      </c>
      <c r="N17" s="810">
        <f>IFERROR(+M17/D17,"")</f>
        <v>0.67249999999999999</v>
      </c>
      <c r="O17" s="810">
        <f t="shared" si="13"/>
        <v>0.67249999999999999</v>
      </c>
      <c r="P17" s="1038">
        <f>M17-D17</f>
        <v>-13100</v>
      </c>
      <c r="Q17" s="899">
        <f t="shared" si="18"/>
        <v>21875</v>
      </c>
      <c r="R17" s="899">
        <v>2500</v>
      </c>
      <c r="S17" s="899">
        <f t="shared" si="20"/>
        <v>21875</v>
      </c>
      <c r="T17" s="811">
        <v>434.08</v>
      </c>
      <c r="U17" s="811">
        <v>1050.83</v>
      </c>
      <c r="V17" s="811">
        <f>+U17+T17</f>
        <v>1484.9099999999999</v>
      </c>
      <c r="W17" s="810">
        <f t="shared" si="2"/>
        <v>0.59396399999999994</v>
      </c>
      <c r="X17" s="1040">
        <f t="shared" si="21"/>
        <v>-1015.0900000000001</v>
      </c>
      <c r="Y17" s="1040">
        <f t="shared" si="22"/>
        <v>13677.330000000002</v>
      </c>
      <c r="Z17" s="813">
        <v>8030</v>
      </c>
      <c r="AA17" s="813">
        <v>13646</v>
      </c>
      <c r="AB17" s="1041">
        <f t="shared" si="14"/>
        <v>21676</v>
      </c>
      <c r="AC17" s="1042">
        <v>14</v>
      </c>
      <c r="AD17" s="1042">
        <f t="shared" si="4"/>
        <v>18.115576028176793</v>
      </c>
      <c r="AE17" s="810"/>
      <c r="AF17" s="1043">
        <f t="shared" si="5"/>
        <v>0.78804331027490826</v>
      </c>
      <c r="AG17" s="1043">
        <f t="shared" si="6"/>
        <v>0.76322364112711272</v>
      </c>
      <c r="AH17" s="1043">
        <f t="shared" si="7"/>
        <v>0.77223377190976972</v>
      </c>
      <c r="AI17" s="814">
        <v>0</v>
      </c>
      <c r="AJ17" s="814">
        <v>4.1666666666666664E-2</v>
      </c>
      <c r="AK17" s="805">
        <v>849</v>
      </c>
      <c r="AL17" s="1157"/>
      <c r="AM17" s="806">
        <f>+AN17+AO17</f>
        <v>28069.220472440946</v>
      </c>
      <c r="AN17" s="806">
        <f t="shared" si="8"/>
        <v>10189.795275590552</v>
      </c>
      <c r="AO17" s="806">
        <f t="shared" si="9"/>
        <v>17879.425196850392</v>
      </c>
      <c r="AP17" s="804">
        <f t="shared" si="10"/>
        <v>341.79527559055117</v>
      </c>
      <c r="AQ17" s="804">
        <f t="shared" si="10"/>
        <v>827.4251968503936</v>
      </c>
      <c r="AR17" s="804">
        <f t="shared" si="16"/>
        <v>1169.2204724409448</v>
      </c>
      <c r="AS17" s="807" t="e">
        <f>+AR17-#REF!</f>
        <v>#REF!</v>
      </c>
      <c r="AT17" s="1158">
        <f t="shared" si="11"/>
        <v>28069.220472440946</v>
      </c>
    </row>
    <row r="18" spans="1:48" s="804" customFormat="1" ht="39" customHeight="1" thickBot="1" x14ac:dyDescent="0.6">
      <c r="B18" s="844">
        <f t="shared" si="23"/>
        <v>45514</v>
      </c>
      <c r="C18" s="899">
        <f t="shared" si="12"/>
        <v>53100</v>
      </c>
      <c r="D18" s="899">
        <v>40000</v>
      </c>
      <c r="E18" s="899">
        <f t="shared" si="17"/>
        <v>380000</v>
      </c>
      <c r="F18" s="845" t="s">
        <v>226</v>
      </c>
      <c r="G18" s="809">
        <v>16052</v>
      </c>
      <c r="H18" s="846">
        <v>5</v>
      </c>
      <c r="I18" s="1037" t="s">
        <v>112</v>
      </c>
      <c r="J18" s="809">
        <v>13930</v>
      </c>
      <c r="K18" s="846">
        <v>5</v>
      </c>
      <c r="L18" s="1037" t="s">
        <v>112</v>
      </c>
      <c r="M18" s="812">
        <f t="shared" si="0"/>
        <v>29982</v>
      </c>
      <c r="N18" s="810">
        <f t="shared" si="1"/>
        <v>0.74955000000000005</v>
      </c>
      <c r="O18" s="810">
        <f t="shared" si="13"/>
        <v>0.74955000000000005</v>
      </c>
      <c r="P18" s="1038">
        <f t="shared" si="24"/>
        <v>-10018</v>
      </c>
      <c r="Q18" s="899">
        <f t="shared" si="18"/>
        <v>24375</v>
      </c>
      <c r="R18" s="899">
        <v>2500</v>
      </c>
      <c r="S18" s="899">
        <f t="shared" si="20"/>
        <v>24375</v>
      </c>
      <c r="T18" s="811">
        <v>338.14</v>
      </c>
      <c r="U18" s="811">
        <v>593.77</v>
      </c>
      <c r="V18" s="811">
        <f t="shared" si="19"/>
        <v>931.91</v>
      </c>
      <c r="W18" s="810">
        <f t="shared" si="2"/>
        <v>0.37276399999999998</v>
      </c>
      <c r="X18" s="1040">
        <f t="shared" si="21"/>
        <v>-1568.0900000000001</v>
      </c>
      <c r="Y18" s="1040">
        <f t="shared" si="22"/>
        <v>14609.240000000002</v>
      </c>
      <c r="Z18" s="813">
        <v>16645</v>
      </c>
      <c r="AA18" s="813">
        <v>14409</v>
      </c>
      <c r="AB18" s="1041">
        <f t="shared" si="14"/>
        <v>31054</v>
      </c>
      <c r="AC18" s="1042">
        <v>14</v>
      </c>
      <c r="AD18" s="1042">
        <f t="shared" si="4"/>
        <v>32.17263469648357</v>
      </c>
      <c r="AE18" s="810"/>
      <c r="AF18" s="1043">
        <f t="shared" si="5"/>
        <v>1.0200234701686628</v>
      </c>
      <c r="AG18" s="1043">
        <f t="shared" si="6"/>
        <v>1.0007962867660529</v>
      </c>
      <c r="AH18" s="1043">
        <f t="shared" si="7"/>
        <v>1.0110110346188899</v>
      </c>
      <c r="AI18" s="814">
        <v>0</v>
      </c>
      <c r="AJ18" s="814">
        <v>0</v>
      </c>
      <c r="AK18" s="805">
        <v>447</v>
      </c>
      <c r="AL18" s="1349"/>
      <c r="AM18" s="806">
        <f t="shared" si="15"/>
        <v>30715.787401574802</v>
      </c>
      <c r="AN18" s="806">
        <f t="shared" ref="AN18:AN34" si="25">+AP18+G18</f>
        <v>16318.251968503937</v>
      </c>
      <c r="AO18" s="806">
        <f t="shared" ref="AO18:AO34" si="26">+AQ18+J18</f>
        <v>14397.535433070867</v>
      </c>
      <c r="AP18" s="804">
        <f t="shared" si="10"/>
        <v>266.25196850393701</v>
      </c>
      <c r="AQ18" s="804">
        <f t="shared" si="10"/>
        <v>467.53543307086613</v>
      </c>
      <c r="AR18" s="804">
        <f t="shared" si="16"/>
        <v>733.7874015748032</v>
      </c>
      <c r="AS18" s="807" t="e">
        <f>+AR18-#REF!</f>
        <v>#REF!</v>
      </c>
      <c r="AT18" s="1348">
        <f t="shared" si="11"/>
        <v>30715.787401574802</v>
      </c>
    </row>
    <row r="19" spans="1:48" s="804" customFormat="1" ht="39" customHeight="1" thickBot="1" x14ac:dyDescent="0.6">
      <c r="B19" s="844">
        <f t="shared" si="23"/>
        <v>45515</v>
      </c>
      <c r="C19" s="899">
        <f t="shared" si="12"/>
        <v>30018</v>
      </c>
      <c r="D19" s="899">
        <v>20000</v>
      </c>
      <c r="E19" s="899">
        <f t="shared" si="17"/>
        <v>400000</v>
      </c>
      <c r="F19" s="845" t="s">
        <v>226</v>
      </c>
      <c r="G19" s="809">
        <v>3982</v>
      </c>
      <c r="H19" s="846">
        <v>1</v>
      </c>
      <c r="I19" s="1037" t="s">
        <v>112</v>
      </c>
      <c r="J19" s="809">
        <v>14480</v>
      </c>
      <c r="K19" s="846">
        <v>5</v>
      </c>
      <c r="L19" s="1037" t="s">
        <v>112</v>
      </c>
      <c r="M19" s="812">
        <f t="shared" si="0"/>
        <v>18462</v>
      </c>
      <c r="N19" s="810">
        <f t="shared" si="1"/>
        <v>0.92310000000000003</v>
      </c>
      <c r="O19" s="810">
        <f t="shared" si="13"/>
        <v>0.92310000000000003</v>
      </c>
      <c r="P19" s="1038">
        <f t="shared" si="24"/>
        <v>-1538</v>
      </c>
      <c r="Q19" s="899">
        <f t="shared" si="18"/>
        <v>26250</v>
      </c>
      <c r="R19" s="899">
        <v>1875</v>
      </c>
      <c r="S19" s="899">
        <f t="shared" si="20"/>
        <v>26250</v>
      </c>
      <c r="T19" s="811">
        <v>557.17999999999995</v>
      </c>
      <c r="U19" s="811">
        <v>597.41999999999996</v>
      </c>
      <c r="V19" s="811">
        <f>U19+T19</f>
        <v>1154.5999999999999</v>
      </c>
      <c r="W19" s="810">
        <f t="shared" si="2"/>
        <v>0.61578666666666659</v>
      </c>
      <c r="X19" s="1040">
        <f t="shared" si="21"/>
        <v>-720.40000000000009</v>
      </c>
      <c r="Y19" s="1040">
        <f t="shared" si="22"/>
        <v>15763.840000000002</v>
      </c>
      <c r="Z19" s="813">
        <v>6273</v>
      </c>
      <c r="AA19" s="813">
        <v>13772</v>
      </c>
      <c r="AB19" s="1041">
        <f t="shared" si="14"/>
        <v>20045</v>
      </c>
      <c r="AC19" s="1042">
        <v>14</v>
      </c>
      <c r="AD19" s="1042">
        <f t="shared" si="4"/>
        <v>15.989953230556038</v>
      </c>
      <c r="AE19" s="810"/>
      <c r="AF19" s="1043">
        <f t="shared" si="5"/>
        <v>1.4189982045911171</v>
      </c>
      <c r="AG19" s="1043">
        <f t="shared" si="6"/>
        <v>0.92117878424313027</v>
      </c>
      <c r="AH19" s="1043">
        <f t="shared" si="7"/>
        <v>1.0347871294815649</v>
      </c>
      <c r="AI19" s="814">
        <v>0</v>
      </c>
      <c r="AJ19" s="814">
        <v>0</v>
      </c>
      <c r="AK19" s="805">
        <v>1012</v>
      </c>
      <c r="AL19" s="1349"/>
      <c r="AM19" s="806">
        <f t="shared" si="15"/>
        <v>19371.133858267716</v>
      </c>
      <c r="AN19" s="806">
        <f t="shared" si="25"/>
        <v>4420.7244094488187</v>
      </c>
      <c r="AO19" s="806">
        <f t="shared" si="26"/>
        <v>14950.409448818898</v>
      </c>
      <c r="AP19" s="804">
        <f t="shared" si="10"/>
        <v>438.72440944881885</v>
      </c>
      <c r="AQ19" s="804">
        <f t="shared" si="10"/>
        <v>470.4094488188976</v>
      </c>
      <c r="AR19" s="804">
        <f t="shared" si="16"/>
        <v>909.1338582677165</v>
      </c>
      <c r="AS19" s="807" t="e">
        <f>+AR19-#REF!</f>
        <v>#REF!</v>
      </c>
      <c r="AT19" s="1348">
        <f t="shared" si="11"/>
        <v>19371.133858267716</v>
      </c>
      <c r="AV19" s="804">
        <v>20.100000000000001</v>
      </c>
    </row>
    <row r="20" spans="1:48" s="804" customFormat="1" ht="39" customHeight="1" thickBot="1" x14ac:dyDescent="0.6">
      <c r="B20" s="844">
        <f t="shared" si="23"/>
        <v>45516</v>
      </c>
      <c r="C20" s="899">
        <f t="shared" si="12"/>
        <v>41538</v>
      </c>
      <c r="D20" s="899">
        <v>40000</v>
      </c>
      <c r="E20" s="899">
        <f t="shared" si="17"/>
        <v>440000</v>
      </c>
      <c r="F20" s="845" t="s">
        <v>226</v>
      </c>
      <c r="G20" s="809">
        <v>15138</v>
      </c>
      <c r="H20" s="846">
        <v>5</v>
      </c>
      <c r="I20" s="1037" t="s">
        <v>112</v>
      </c>
      <c r="J20" s="809">
        <v>14112</v>
      </c>
      <c r="K20" s="846">
        <v>5</v>
      </c>
      <c r="L20" s="1037" t="s">
        <v>112</v>
      </c>
      <c r="M20" s="812">
        <f t="shared" si="0"/>
        <v>29250</v>
      </c>
      <c r="N20" s="810">
        <f t="shared" si="1"/>
        <v>0.73124999999999996</v>
      </c>
      <c r="O20" s="810">
        <f t="shared" si="13"/>
        <v>0.73124999999999996</v>
      </c>
      <c r="P20" s="1038">
        <f t="shared" si="24"/>
        <v>-10750</v>
      </c>
      <c r="Q20" s="899">
        <f t="shared" si="18"/>
        <v>28750</v>
      </c>
      <c r="R20" s="899">
        <v>2500</v>
      </c>
      <c r="S20" s="899">
        <f t="shared" si="20"/>
        <v>28750</v>
      </c>
      <c r="T20" s="811">
        <v>543.5</v>
      </c>
      <c r="U20" s="811">
        <v>812.26</v>
      </c>
      <c r="V20" s="811">
        <f t="shared" si="19"/>
        <v>1355.76</v>
      </c>
      <c r="W20" s="810">
        <f t="shared" si="2"/>
        <v>0.54230400000000001</v>
      </c>
      <c r="X20" s="1040">
        <f t="shared" si="21"/>
        <v>-1144.24</v>
      </c>
      <c r="Y20" s="1040">
        <f t="shared" si="22"/>
        <v>17119.600000000002</v>
      </c>
      <c r="Z20" s="813">
        <v>17534.5</v>
      </c>
      <c r="AA20" s="813">
        <v>13903.5</v>
      </c>
      <c r="AB20" s="1041">
        <f t="shared" si="14"/>
        <v>31438</v>
      </c>
      <c r="AC20" s="1042">
        <v>14</v>
      </c>
      <c r="AD20" s="1042">
        <f t="shared" si="4"/>
        <v>21.574614976101966</v>
      </c>
      <c r="AE20" s="810"/>
      <c r="AF20" s="1043">
        <f t="shared" si="5"/>
        <v>1.1264649376086311</v>
      </c>
      <c r="AG20" s="1043">
        <f t="shared" si="6"/>
        <v>0.94250954122074249</v>
      </c>
      <c r="AH20" s="1043">
        <f t="shared" si="7"/>
        <v>1.0369579095380494</v>
      </c>
      <c r="AI20" s="814">
        <v>0</v>
      </c>
      <c r="AJ20" s="814">
        <v>0</v>
      </c>
      <c r="AK20" s="805">
        <v>446</v>
      </c>
      <c r="AL20" s="1365"/>
      <c r="AM20" s="806">
        <f t="shared" si="15"/>
        <v>30317.527559055117</v>
      </c>
      <c r="AN20" s="806">
        <f t="shared" si="25"/>
        <v>15565.952755905511</v>
      </c>
      <c r="AO20" s="806">
        <f t="shared" si="26"/>
        <v>14751.574803149606</v>
      </c>
      <c r="AP20" s="804">
        <f t="shared" si="10"/>
        <v>427.95275590551182</v>
      </c>
      <c r="AQ20" s="804">
        <f t="shared" si="10"/>
        <v>639.57480314960628</v>
      </c>
      <c r="AR20" s="804">
        <f t="shared" si="16"/>
        <v>1067.5275590551182</v>
      </c>
      <c r="AS20" s="807" t="e">
        <f>+AR20-#REF!</f>
        <v>#REF!</v>
      </c>
      <c r="AT20" s="1364">
        <f t="shared" si="11"/>
        <v>30317.527559055117</v>
      </c>
      <c r="AV20" s="804">
        <v>19.760000000000002</v>
      </c>
    </row>
    <row r="21" spans="1:48" s="1259" customFormat="1" ht="39" hidden="1" customHeight="1" x14ac:dyDescent="0.55000000000000004">
      <c r="A21" s="1259" t="s">
        <v>114</v>
      </c>
      <c r="B21" s="1248">
        <f t="shared" si="23"/>
        <v>45517</v>
      </c>
      <c r="C21" s="1126">
        <f t="shared" si="12"/>
        <v>50750</v>
      </c>
      <c r="D21" s="1126">
        <v>40000</v>
      </c>
      <c r="E21" s="1126">
        <f t="shared" si="17"/>
        <v>480000</v>
      </c>
      <c r="F21" s="1249" t="s">
        <v>226</v>
      </c>
      <c r="G21" s="1250"/>
      <c r="H21" s="1251"/>
      <c r="I21" s="1260" t="s">
        <v>112</v>
      </c>
      <c r="J21" s="1250"/>
      <c r="K21" s="1261"/>
      <c r="L21" s="1260" t="s">
        <v>112</v>
      </c>
      <c r="M21" s="1252">
        <f t="shared" si="0"/>
        <v>0</v>
      </c>
      <c r="N21" s="1127">
        <f t="shared" si="1"/>
        <v>0</v>
      </c>
      <c r="O21" s="1253">
        <f t="shared" si="13"/>
        <v>0</v>
      </c>
      <c r="P21" s="1262">
        <f>M21-D21</f>
        <v>-40000</v>
      </c>
      <c r="Q21" s="1126">
        <f t="shared" si="18"/>
        <v>31250</v>
      </c>
      <c r="R21" s="1126">
        <v>2500</v>
      </c>
      <c r="S21" s="1126">
        <f t="shared" si="20"/>
        <v>31250</v>
      </c>
      <c r="T21" s="1254"/>
      <c r="U21" s="1254"/>
      <c r="V21" s="1254">
        <f>U21+T21</f>
        <v>0</v>
      </c>
      <c r="W21" s="1127">
        <f t="shared" si="2"/>
        <v>0</v>
      </c>
      <c r="X21" s="1128">
        <f t="shared" si="21"/>
        <v>-2500</v>
      </c>
      <c r="Y21" s="1255"/>
      <c r="Z21" s="1256"/>
      <c r="AA21" s="1256"/>
      <c r="AB21" s="1257">
        <f t="shared" si="14"/>
        <v>0</v>
      </c>
      <c r="AC21" s="1258">
        <v>14</v>
      </c>
      <c r="AD21" s="1263">
        <f>+IFERROR(M21/V21,0)</f>
        <v>0</v>
      </c>
      <c r="AE21" s="1127"/>
      <c r="AF21" s="1129" t="e">
        <f t="shared" si="5"/>
        <v>#DIV/0!</v>
      </c>
      <c r="AG21" s="1129" t="e">
        <f t="shared" si="6"/>
        <v>#DIV/0!</v>
      </c>
      <c r="AH21" s="1129" t="e">
        <f>+AB21/(M21+(V21/1.27))</f>
        <v>#DIV/0!</v>
      </c>
      <c r="AI21" s="1130"/>
      <c r="AJ21" s="1130"/>
      <c r="AK21" s="1264">
        <v>20</v>
      </c>
      <c r="AL21" s="1265">
        <f>49+43</f>
        <v>92</v>
      </c>
      <c r="AM21" s="1266">
        <f t="shared" si="15"/>
        <v>0</v>
      </c>
      <c r="AN21" s="1266">
        <f t="shared" si="25"/>
        <v>0</v>
      </c>
      <c r="AO21" s="1266">
        <f t="shared" si="26"/>
        <v>0</v>
      </c>
      <c r="AP21" s="1259">
        <f t="shared" si="10"/>
        <v>0</v>
      </c>
      <c r="AQ21" s="1259">
        <f t="shared" si="10"/>
        <v>0</v>
      </c>
      <c r="AR21" s="1259">
        <f t="shared" si="16"/>
        <v>0</v>
      </c>
      <c r="AS21" s="1267" t="e">
        <f>+AR21-#REF!</f>
        <v>#REF!</v>
      </c>
      <c r="AT21" s="1268">
        <f t="shared" si="11"/>
        <v>0</v>
      </c>
      <c r="AV21" s="1259">
        <v>20.059999999999999</v>
      </c>
    </row>
    <row r="22" spans="1:48" s="1259" customFormat="1" ht="39" hidden="1" customHeight="1" x14ac:dyDescent="0.55000000000000004">
      <c r="B22" s="1248">
        <f t="shared" si="23"/>
        <v>45518</v>
      </c>
      <c r="C22" s="1126">
        <f t="shared" si="12"/>
        <v>80000</v>
      </c>
      <c r="D22" s="1126">
        <v>40000</v>
      </c>
      <c r="E22" s="1126">
        <f t="shared" si="17"/>
        <v>520000</v>
      </c>
      <c r="F22" s="1249" t="s">
        <v>226</v>
      </c>
      <c r="G22" s="1250"/>
      <c r="H22" s="1251"/>
      <c r="I22" s="1260" t="s">
        <v>112</v>
      </c>
      <c r="J22" s="1250"/>
      <c r="K22" s="1261"/>
      <c r="L22" s="1260" t="s">
        <v>112</v>
      </c>
      <c r="M22" s="1252">
        <f>+J22+G22</f>
        <v>0</v>
      </c>
      <c r="N22" s="1127">
        <f t="shared" si="1"/>
        <v>0</v>
      </c>
      <c r="O22" s="1253">
        <f t="shared" si="13"/>
        <v>0</v>
      </c>
      <c r="P22" s="1262">
        <f t="shared" si="24"/>
        <v>-40000</v>
      </c>
      <c r="Q22" s="1126">
        <f t="shared" si="18"/>
        <v>33750</v>
      </c>
      <c r="R22" s="1126">
        <v>2500</v>
      </c>
      <c r="S22" s="1126">
        <f t="shared" si="20"/>
        <v>33750</v>
      </c>
      <c r="T22" s="1254"/>
      <c r="U22" s="1254"/>
      <c r="V22" s="1254">
        <f>U22+T22</f>
        <v>0</v>
      </c>
      <c r="W22" s="1127">
        <f t="shared" si="2"/>
        <v>0</v>
      </c>
      <c r="X22" s="1128">
        <f t="shared" si="21"/>
        <v>-2500</v>
      </c>
      <c r="Y22" s="1255"/>
      <c r="Z22" s="1256"/>
      <c r="AA22" s="1256"/>
      <c r="AB22" s="1257">
        <f t="shared" si="14"/>
        <v>0</v>
      </c>
      <c r="AC22" s="1258">
        <v>14</v>
      </c>
      <c r="AD22" s="1263">
        <f t="shared" si="4"/>
        <v>0</v>
      </c>
      <c r="AE22" s="1127"/>
      <c r="AF22" s="1129" t="e">
        <f t="shared" si="5"/>
        <v>#DIV/0!</v>
      </c>
      <c r="AG22" s="1129" t="e">
        <f t="shared" si="6"/>
        <v>#DIV/0!</v>
      </c>
      <c r="AH22" s="1129" t="e">
        <f t="shared" si="7"/>
        <v>#DIV/0!</v>
      </c>
      <c r="AI22" s="1130"/>
      <c r="AJ22" s="1130"/>
      <c r="AK22" s="1264">
        <v>0</v>
      </c>
      <c r="AL22" s="1265">
        <f>+AL21/60</f>
        <v>1.5333333333333334</v>
      </c>
      <c r="AM22" s="1266">
        <f t="shared" si="15"/>
        <v>0</v>
      </c>
      <c r="AN22" s="1266">
        <f t="shared" si="25"/>
        <v>0</v>
      </c>
      <c r="AO22" s="1266">
        <f t="shared" si="26"/>
        <v>0</v>
      </c>
      <c r="AP22" s="1259">
        <f t="shared" si="10"/>
        <v>0</v>
      </c>
      <c r="AQ22" s="1259">
        <f t="shared" si="10"/>
        <v>0</v>
      </c>
      <c r="AR22" s="1259">
        <f t="shared" si="16"/>
        <v>0</v>
      </c>
      <c r="AS22" s="1267" t="e">
        <f>+AR22-#REF!</f>
        <v>#REF!</v>
      </c>
      <c r="AT22" s="1268">
        <f t="shared" si="11"/>
        <v>0</v>
      </c>
      <c r="AV22" s="1259">
        <v>20.97</v>
      </c>
    </row>
    <row r="23" spans="1:48" s="1259" customFormat="1" ht="39" hidden="1" customHeight="1" x14ac:dyDescent="0.55000000000000004">
      <c r="B23" s="1248">
        <f t="shared" si="23"/>
        <v>45519</v>
      </c>
      <c r="C23" s="1126">
        <f t="shared" si="12"/>
        <v>80000</v>
      </c>
      <c r="D23" s="1126">
        <v>40000</v>
      </c>
      <c r="E23" s="1126">
        <f t="shared" si="17"/>
        <v>560000</v>
      </c>
      <c r="F23" s="1249" t="s">
        <v>226</v>
      </c>
      <c r="G23" s="1250"/>
      <c r="H23" s="1251"/>
      <c r="I23" s="1260" t="s">
        <v>112</v>
      </c>
      <c r="J23" s="1250"/>
      <c r="K23" s="1261"/>
      <c r="L23" s="1260" t="s">
        <v>112</v>
      </c>
      <c r="M23" s="1252">
        <f>+J23+G23</f>
        <v>0</v>
      </c>
      <c r="N23" s="1127">
        <f t="shared" si="1"/>
        <v>0</v>
      </c>
      <c r="O23" s="1253">
        <f t="shared" si="13"/>
        <v>0</v>
      </c>
      <c r="P23" s="1262">
        <f t="shared" si="24"/>
        <v>-40000</v>
      </c>
      <c r="Q23" s="1126">
        <f t="shared" si="18"/>
        <v>36250</v>
      </c>
      <c r="R23" s="1126">
        <v>2500</v>
      </c>
      <c r="S23" s="1126">
        <f t="shared" si="20"/>
        <v>36250</v>
      </c>
      <c r="T23" s="1254"/>
      <c r="U23" s="1254"/>
      <c r="V23" s="1254">
        <f t="shared" si="19"/>
        <v>0</v>
      </c>
      <c r="W23" s="1127">
        <f t="shared" si="2"/>
        <v>0</v>
      </c>
      <c r="X23" s="1128">
        <f t="shared" si="21"/>
        <v>-2500</v>
      </c>
      <c r="Y23" s="1255"/>
      <c r="Z23" s="1256"/>
      <c r="AA23" s="1256"/>
      <c r="AB23" s="1257">
        <f t="shared" si="14"/>
        <v>0</v>
      </c>
      <c r="AC23" s="1258">
        <v>14</v>
      </c>
      <c r="AD23" s="1263">
        <f t="shared" si="4"/>
        <v>0</v>
      </c>
      <c r="AE23" s="1127"/>
      <c r="AF23" s="1129" t="e">
        <f t="shared" si="5"/>
        <v>#DIV/0!</v>
      </c>
      <c r="AG23" s="1129" t="e">
        <f t="shared" si="6"/>
        <v>#DIV/0!</v>
      </c>
      <c r="AH23" s="1129" t="e">
        <f t="shared" si="7"/>
        <v>#DIV/0!</v>
      </c>
      <c r="AI23" s="1130"/>
      <c r="AJ23" s="1130"/>
      <c r="AK23" s="1264">
        <v>871</v>
      </c>
      <c r="AL23" s="1265">
        <f>1.34+2.05</f>
        <v>3.3899999999999997</v>
      </c>
      <c r="AM23" s="1266">
        <f t="shared" si="15"/>
        <v>0</v>
      </c>
      <c r="AN23" s="1266">
        <f t="shared" si="25"/>
        <v>0</v>
      </c>
      <c r="AO23" s="1266">
        <f t="shared" si="26"/>
        <v>0</v>
      </c>
      <c r="AP23" s="1259">
        <f t="shared" si="10"/>
        <v>0</v>
      </c>
      <c r="AQ23" s="1259">
        <f t="shared" si="10"/>
        <v>0</v>
      </c>
      <c r="AR23" s="1259">
        <f t="shared" si="16"/>
        <v>0</v>
      </c>
      <c r="AS23" s="1267" t="e">
        <f>+AR23-#REF!</f>
        <v>#REF!</v>
      </c>
      <c r="AT23" s="1268">
        <f t="shared" si="11"/>
        <v>0</v>
      </c>
      <c r="AV23" s="1259">
        <v>19.559999999999999</v>
      </c>
    </row>
    <row r="24" spans="1:48" s="1259" customFormat="1" ht="39" hidden="1" customHeight="1" x14ac:dyDescent="0.55000000000000004">
      <c r="B24" s="1248">
        <f t="shared" si="23"/>
        <v>45520</v>
      </c>
      <c r="C24" s="1126">
        <f t="shared" ref="C24:C30" si="27">-P23+D24</f>
        <v>80000</v>
      </c>
      <c r="D24" s="1126">
        <v>40000</v>
      </c>
      <c r="E24" s="1126">
        <f t="shared" si="17"/>
        <v>600000</v>
      </c>
      <c r="F24" s="1249" t="s">
        <v>226</v>
      </c>
      <c r="G24" s="1250"/>
      <c r="H24" s="1251"/>
      <c r="I24" s="1260" t="s">
        <v>112</v>
      </c>
      <c r="J24" s="1250"/>
      <c r="K24" s="1261"/>
      <c r="L24" s="1260" t="s">
        <v>112</v>
      </c>
      <c r="M24" s="1252">
        <f t="shared" si="0"/>
        <v>0</v>
      </c>
      <c r="N24" s="1127">
        <f t="shared" si="1"/>
        <v>0</v>
      </c>
      <c r="O24" s="1253">
        <f t="shared" si="13"/>
        <v>0</v>
      </c>
      <c r="P24" s="1262">
        <f t="shared" si="24"/>
        <v>-40000</v>
      </c>
      <c r="Q24" s="1126">
        <f t="shared" si="18"/>
        <v>38750</v>
      </c>
      <c r="R24" s="1126">
        <v>2500</v>
      </c>
      <c r="S24" s="1126">
        <f t="shared" si="20"/>
        <v>38750</v>
      </c>
      <c r="T24" s="1254"/>
      <c r="U24" s="1254"/>
      <c r="V24" s="1254">
        <f t="shared" si="19"/>
        <v>0</v>
      </c>
      <c r="W24" s="1127">
        <f t="shared" si="2"/>
        <v>0</v>
      </c>
      <c r="X24" s="1128">
        <f t="shared" si="21"/>
        <v>-2500</v>
      </c>
      <c r="Y24" s="1255"/>
      <c r="Z24" s="1256"/>
      <c r="AA24" s="1256"/>
      <c r="AB24" s="1257">
        <f t="shared" si="14"/>
        <v>0</v>
      </c>
      <c r="AC24" s="1258">
        <v>14</v>
      </c>
      <c r="AD24" s="1263">
        <f t="shared" si="4"/>
        <v>0</v>
      </c>
      <c r="AE24" s="1127"/>
      <c r="AF24" s="1129" t="e">
        <f t="shared" si="5"/>
        <v>#DIV/0!</v>
      </c>
      <c r="AG24" s="1129" t="e">
        <f t="shared" si="6"/>
        <v>#DIV/0!</v>
      </c>
      <c r="AH24" s="1129" t="e">
        <f t="shared" si="7"/>
        <v>#DIV/0!</v>
      </c>
      <c r="AI24" s="1130"/>
      <c r="AJ24" s="1130"/>
      <c r="AK24" s="1264">
        <f>+'[2]Daily All PIT'!$AF$23</f>
        <v>366</v>
      </c>
      <c r="AL24" s="1265"/>
      <c r="AM24" s="1266">
        <f t="shared" si="15"/>
        <v>0</v>
      </c>
      <c r="AN24" s="1266">
        <f t="shared" si="25"/>
        <v>0</v>
      </c>
      <c r="AO24" s="1266">
        <f t="shared" si="26"/>
        <v>0</v>
      </c>
      <c r="AP24" s="1259">
        <f t="shared" si="10"/>
        <v>0</v>
      </c>
      <c r="AQ24" s="1259">
        <f t="shared" si="10"/>
        <v>0</v>
      </c>
      <c r="AR24" s="1259">
        <f t="shared" si="16"/>
        <v>0</v>
      </c>
      <c r="AS24" s="1267" t="e">
        <f>+AR24-#REF!</f>
        <v>#REF!</v>
      </c>
      <c r="AT24" s="1268">
        <f t="shared" si="11"/>
        <v>0</v>
      </c>
      <c r="AV24" s="1259">
        <v>22.16</v>
      </c>
    </row>
    <row r="25" spans="1:48" s="1259" customFormat="1" ht="39" hidden="1" customHeight="1" x14ac:dyDescent="0.55000000000000004">
      <c r="B25" s="1248">
        <f t="shared" si="23"/>
        <v>45521</v>
      </c>
      <c r="C25" s="1126">
        <f t="shared" si="27"/>
        <v>80000</v>
      </c>
      <c r="D25" s="1126">
        <v>40000</v>
      </c>
      <c r="E25" s="1126">
        <f t="shared" si="17"/>
        <v>640000</v>
      </c>
      <c r="F25" s="1249" t="s">
        <v>226</v>
      </c>
      <c r="G25" s="1250"/>
      <c r="H25" s="1251"/>
      <c r="I25" s="1260" t="s">
        <v>112</v>
      </c>
      <c r="J25" s="1250"/>
      <c r="K25" s="1261"/>
      <c r="L25" s="1260" t="s">
        <v>112</v>
      </c>
      <c r="M25" s="1252">
        <f t="shared" si="0"/>
        <v>0</v>
      </c>
      <c r="N25" s="1127">
        <f t="shared" si="1"/>
        <v>0</v>
      </c>
      <c r="O25" s="1253">
        <f t="shared" si="13"/>
        <v>0</v>
      </c>
      <c r="P25" s="1262">
        <f t="shared" si="24"/>
        <v>-40000</v>
      </c>
      <c r="Q25" s="1126">
        <f t="shared" si="18"/>
        <v>41250</v>
      </c>
      <c r="R25" s="1126">
        <v>2500</v>
      </c>
      <c r="S25" s="1126">
        <f t="shared" si="20"/>
        <v>41250</v>
      </c>
      <c r="T25" s="1254"/>
      <c r="U25" s="1254"/>
      <c r="V25" s="1254">
        <f t="shared" si="19"/>
        <v>0</v>
      </c>
      <c r="W25" s="1127">
        <f t="shared" si="2"/>
        <v>0</v>
      </c>
      <c r="X25" s="1128">
        <f t="shared" si="21"/>
        <v>-2500</v>
      </c>
      <c r="Y25" s="1255"/>
      <c r="Z25" s="1256"/>
      <c r="AA25" s="1256"/>
      <c r="AB25" s="1257">
        <f t="shared" si="14"/>
        <v>0</v>
      </c>
      <c r="AC25" s="1258">
        <v>14</v>
      </c>
      <c r="AD25" s="1263">
        <f t="shared" si="4"/>
        <v>0</v>
      </c>
      <c r="AE25" s="1127"/>
      <c r="AF25" s="1129" t="e">
        <f t="shared" si="5"/>
        <v>#DIV/0!</v>
      </c>
      <c r="AG25" s="1129" t="e">
        <f t="shared" si="6"/>
        <v>#DIV/0!</v>
      </c>
      <c r="AH25" s="1129" t="e">
        <f t="shared" si="7"/>
        <v>#DIV/0!</v>
      </c>
      <c r="AI25" s="1130"/>
      <c r="AJ25" s="1130"/>
      <c r="AK25" s="1264">
        <v>900</v>
      </c>
      <c r="AL25" s="1265"/>
      <c r="AM25" s="1266">
        <f t="shared" si="15"/>
        <v>0</v>
      </c>
      <c r="AN25" s="1266">
        <f t="shared" si="25"/>
        <v>0</v>
      </c>
      <c r="AO25" s="1266">
        <f t="shared" si="26"/>
        <v>0</v>
      </c>
      <c r="AP25" s="1259">
        <f t="shared" si="10"/>
        <v>0</v>
      </c>
      <c r="AQ25" s="1259">
        <f t="shared" si="10"/>
        <v>0</v>
      </c>
      <c r="AR25" s="1259">
        <f t="shared" si="16"/>
        <v>0</v>
      </c>
      <c r="AS25" s="1267" t="e">
        <f>+AR25-#REF!</f>
        <v>#REF!</v>
      </c>
      <c r="AT25" s="1268">
        <f t="shared" si="11"/>
        <v>0</v>
      </c>
      <c r="AV25" s="1259">
        <v>21.71</v>
      </c>
    </row>
    <row r="26" spans="1:48" s="1259" customFormat="1" ht="39" hidden="1" customHeight="1" x14ac:dyDescent="0.55000000000000004">
      <c r="B26" s="1248">
        <f t="shared" si="23"/>
        <v>45522</v>
      </c>
      <c r="C26" s="1126">
        <f t="shared" si="27"/>
        <v>60000</v>
      </c>
      <c r="D26" s="1126">
        <v>20000</v>
      </c>
      <c r="E26" s="1126">
        <f t="shared" si="17"/>
        <v>660000</v>
      </c>
      <c r="F26" s="1249" t="s">
        <v>226</v>
      </c>
      <c r="G26" s="1250"/>
      <c r="H26" s="1251"/>
      <c r="I26" s="1260" t="s">
        <v>112</v>
      </c>
      <c r="J26" s="1250"/>
      <c r="K26" s="1261"/>
      <c r="L26" s="1260" t="s">
        <v>112</v>
      </c>
      <c r="M26" s="1252">
        <f t="shared" si="0"/>
        <v>0</v>
      </c>
      <c r="N26" s="1127">
        <f t="shared" si="1"/>
        <v>0</v>
      </c>
      <c r="O26" s="1253">
        <f t="shared" si="13"/>
        <v>0</v>
      </c>
      <c r="P26" s="1262">
        <f t="shared" si="24"/>
        <v>-20000</v>
      </c>
      <c r="Q26" s="1126">
        <f t="shared" si="18"/>
        <v>43125</v>
      </c>
      <c r="R26" s="1126">
        <v>1875</v>
      </c>
      <c r="S26" s="1126">
        <f t="shared" si="20"/>
        <v>43125</v>
      </c>
      <c r="T26" s="1254"/>
      <c r="U26" s="1254"/>
      <c r="V26" s="1254">
        <f t="shared" si="19"/>
        <v>0</v>
      </c>
      <c r="W26" s="1127">
        <f t="shared" si="2"/>
        <v>0</v>
      </c>
      <c r="X26" s="1128">
        <f t="shared" si="21"/>
        <v>-1875</v>
      </c>
      <c r="Y26" s="1255"/>
      <c r="Z26" s="1256"/>
      <c r="AA26" s="1256"/>
      <c r="AB26" s="1257">
        <f t="shared" si="14"/>
        <v>0</v>
      </c>
      <c r="AC26" s="1258">
        <v>14</v>
      </c>
      <c r="AD26" s="1263">
        <f t="shared" si="4"/>
        <v>0</v>
      </c>
      <c r="AE26" s="1127"/>
      <c r="AF26" s="1129" t="e">
        <f t="shared" si="5"/>
        <v>#DIV/0!</v>
      </c>
      <c r="AG26" s="1129" t="e">
        <f t="shared" si="6"/>
        <v>#DIV/0!</v>
      </c>
      <c r="AH26" s="1129" t="e">
        <f t="shared" si="7"/>
        <v>#DIV/0!</v>
      </c>
      <c r="AI26" s="1130"/>
      <c r="AJ26" s="1130"/>
      <c r="AK26" s="1264">
        <v>275</v>
      </c>
      <c r="AL26" s="1265"/>
      <c r="AM26" s="1266">
        <f t="shared" si="15"/>
        <v>0</v>
      </c>
      <c r="AN26" s="1266">
        <f t="shared" si="25"/>
        <v>0</v>
      </c>
      <c r="AO26" s="1266">
        <f t="shared" si="26"/>
        <v>0</v>
      </c>
      <c r="AP26" s="1259">
        <f t="shared" si="10"/>
        <v>0</v>
      </c>
      <c r="AQ26" s="1259">
        <f t="shared" si="10"/>
        <v>0</v>
      </c>
      <c r="AR26" s="1259">
        <f t="shared" si="16"/>
        <v>0</v>
      </c>
      <c r="AS26" s="1267" t="e">
        <f>+AR26-#REF!</f>
        <v>#REF!</v>
      </c>
      <c r="AT26" s="1268">
        <f t="shared" si="11"/>
        <v>0</v>
      </c>
      <c r="AV26" s="1259">
        <v>22.24</v>
      </c>
    </row>
    <row r="27" spans="1:48" s="1259" customFormat="1" ht="39" hidden="1" customHeight="1" x14ac:dyDescent="0.55000000000000004">
      <c r="A27" s="1259">
        <v>0</v>
      </c>
      <c r="B27" s="1248">
        <f t="shared" si="23"/>
        <v>45523</v>
      </c>
      <c r="C27" s="1126">
        <f t="shared" si="27"/>
        <v>60000</v>
      </c>
      <c r="D27" s="1126">
        <v>40000</v>
      </c>
      <c r="E27" s="1126">
        <f t="shared" si="17"/>
        <v>700000</v>
      </c>
      <c r="F27" s="1249" t="s">
        <v>226</v>
      </c>
      <c r="G27" s="1250"/>
      <c r="H27" s="1251"/>
      <c r="I27" s="1260" t="s">
        <v>112</v>
      </c>
      <c r="J27" s="1250"/>
      <c r="K27" s="1261"/>
      <c r="L27" s="1260" t="s">
        <v>112</v>
      </c>
      <c r="M27" s="1252">
        <f t="shared" si="0"/>
        <v>0</v>
      </c>
      <c r="N27" s="1127">
        <f t="shared" si="1"/>
        <v>0</v>
      </c>
      <c r="O27" s="1253">
        <f t="shared" si="13"/>
        <v>0</v>
      </c>
      <c r="P27" s="1262">
        <f t="shared" si="24"/>
        <v>-40000</v>
      </c>
      <c r="Q27" s="1126">
        <f t="shared" si="18"/>
        <v>45625</v>
      </c>
      <c r="R27" s="1126">
        <v>2500</v>
      </c>
      <c r="S27" s="1126">
        <f t="shared" si="20"/>
        <v>45625</v>
      </c>
      <c r="T27" s="1254"/>
      <c r="U27" s="1254"/>
      <c r="V27" s="1254">
        <f t="shared" si="19"/>
        <v>0</v>
      </c>
      <c r="W27" s="1127">
        <f t="shared" si="2"/>
        <v>0</v>
      </c>
      <c r="X27" s="1128">
        <f t="shared" si="21"/>
        <v>-2500</v>
      </c>
      <c r="Y27" s="1255"/>
      <c r="Z27" s="1256"/>
      <c r="AA27" s="1256"/>
      <c r="AB27" s="1257">
        <f t="shared" si="14"/>
        <v>0</v>
      </c>
      <c r="AC27" s="1258">
        <v>14</v>
      </c>
      <c r="AD27" s="1263">
        <f t="shared" si="4"/>
        <v>0</v>
      </c>
      <c r="AE27" s="1127"/>
      <c r="AF27" s="1129" t="e">
        <f t="shared" si="5"/>
        <v>#DIV/0!</v>
      </c>
      <c r="AG27" s="1129" t="e">
        <f t="shared" si="6"/>
        <v>#DIV/0!</v>
      </c>
      <c r="AH27" s="1129" t="e">
        <f t="shared" si="7"/>
        <v>#DIV/0!</v>
      </c>
      <c r="AI27" s="1130"/>
      <c r="AJ27" s="1130"/>
      <c r="AK27" s="1264"/>
      <c r="AL27" s="1265"/>
      <c r="AM27" s="1266">
        <f t="shared" si="15"/>
        <v>0</v>
      </c>
      <c r="AN27" s="1266">
        <f t="shared" si="25"/>
        <v>0</v>
      </c>
      <c r="AO27" s="1266">
        <f t="shared" si="26"/>
        <v>0</v>
      </c>
      <c r="AP27" s="1259">
        <f t="shared" si="10"/>
        <v>0</v>
      </c>
      <c r="AQ27" s="1259">
        <f t="shared" si="10"/>
        <v>0</v>
      </c>
      <c r="AR27" s="1259">
        <f t="shared" si="16"/>
        <v>0</v>
      </c>
      <c r="AS27" s="1267" t="e">
        <f>+AR27-#REF!</f>
        <v>#REF!</v>
      </c>
      <c r="AT27" s="1268">
        <f t="shared" si="11"/>
        <v>0</v>
      </c>
      <c r="AV27" s="1259">
        <v>21.9</v>
      </c>
    </row>
    <row r="28" spans="1:48" s="1259" customFormat="1" ht="39" hidden="1" customHeight="1" x14ac:dyDescent="0.55000000000000004">
      <c r="B28" s="1248">
        <f t="shared" si="23"/>
        <v>45524</v>
      </c>
      <c r="C28" s="1126">
        <f t="shared" si="27"/>
        <v>80000</v>
      </c>
      <c r="D28" s="1126">
        <v>40000</v>
      </c>
      <c r="E28" s="1126">
        <f t="shared" si="17"/>
        <v>740000</v>
      </c>
      <c r="F28" s="1249" t="s">
        <v>226</v>
      </c>
      <c r="G28" s="1250"/>
      <c r="H28" s="1251"/>
      <c r="I28" s="1260" t="s">
        <v>112</v>
      </c>
      <c r="J28" s="1250"/>
      <c r="K28" s="1261"/>
      <c r="L28" s="1260" t="s">
        <v>112</v>
      </c>
      <c r="M28" s="1252">
        <f t="shared" si="0"/>
        <v>0</v>
      </c>
      <c r="N28" s="1127">
        <f t="shared" si="1"/>
        <v>0</v>
      </c>
      <c r="O28" s="1253">
        <f t="shared" si="13"/>
        <v>0</v>
      </c>
      <c r="P28" s="1262">
        <f>M28-D28</f>
        <v>-40000</v>
      </c>
      <c r="Q28" s="1126">
        <f t="shared" si="18"/>
        <v>48125</v>
      </c>
      <c r="R28" s="1126">
        <v>2500</v>
      </c>
      <c r="S28" s="1126">
        <f t="shared" si="20"/>
        <v>48125</v>
      </c>
      <c r="T28" s="1254"/>
      <c r="U28" s="1254"/>
      <c r="V28" s="1254">
        <f t="shared" si="19"/>
        <v>0</v>
      </c>
      <c r="W28" s="1127">
        <f t="shared" si="2"/>
        <v>0</v>
      </c>
      <c r="X28" s="1128">
        <f t="shared" si="21"/>
        <v>-2500</v>
      </c>
      <c r="Y28" s="1255"/>
      <c r="Z28" s="1256"/>
      <c r="AA28" s="1256"/>
      <c r="AB28" s="1257">
        <f t="shared" si="14"/>
        <v>0</v>
      </c>
      <c r="AC28" s="1258">
        <v>14</v>
      </c>
      <c r="AD28" s="1263">
        <f t="shared" si="4"/>
        <v>0</v>
      </c>
      <c r="AE28" s="1127"/>
      <c r="AF28" s="1129" t="e">
        <f t="shared" si="5"/>
        <v>#DIV/0!</v>
      </c>
      <c r="AG28" s="1129" t="e">
        <f t="shared" si="6"/>
        <v>#DIV/0!</v>
      </c>
      <c r="AH28" s="1129" t="e">
        <f t="shared" si="7"/>
        <v>#DIV/0!</v>
      </c>
      <c r="AI28" s="1130"/>
      <c r="AJ28" s="1130"/>
      <c r="AK28" s="1264"/>
      <c r="AL28" s="1265"/>
      <c r="AM28" s="1266">
        <f t="shared" si="15"/>
        <v>0</v>
      </c>
      <c r="AN28" s="1266">
        <f t="shared" si="25"/>
        <v>0</v>
      </c>
      <c r="AO28" s="1266">
        <f t="shared" si="26"/>
        <v>0</v>
      </c>
      <c r="AP28" s="1259">
        <f t="shared" si="10"/>
        <v>0</v>
      </c>
      <c r="AQ28" s="1259">
        <f t="shared" si="10"/>
        <v>0</v>
      </c>
      <c r="AR28" s="1259">
        <f t="shared" si="16"/>
        <v>0</v>
      </c>
      <c r="AS28" s="1267" t="e">
        <f>+AR28-#REF!</f>
        <v>#REF!</v>
      </c>
      <c r="AT28" s="1268">
        <f t="shared" si="11"/>
        <v>0</v>
      </c>
      <c r="AV28" s="1259">
        <f>34.75-13.11</f>
        <v>21.64</v>
      </c>
    </row>
    <row r="29" spans="1:48" s="1259" customFormat="1" ht="39" hidden="1" customHeight="1" x14ac:dyDescent="0.55000000000000004">
      <c r="B29" s="1248">
        <f t="shared" si="23"/>
        <v>45525</v>
      </c>
      <c r="C29" s="1126">
        <f t="shared" si="27"/>
        <v>80000</v>
      </c>
      <c r="D29" s="1126">
        <v>40000</v>
      </c>
      <c r="E29" s="1126">
        <f t="shared" si="17"/>
        <v>780000</v>
      </c>
      <c r="F29" s="1249" t="s">
        <v>226</v>
      </c>
      <c r="G29" s="1250"/>
      <c r="H29" s="1251"/>
      <c r="I29" s="1260" t="s">
        <v>112</v>
      </c>
      <c r="J29" s="1250"/>
      <c r="K29" s="1261"/>
      <c r="L29" s="1260" t="s">
        <v>112</v>
      </c>
      <c r="M29" s="1252">
        <f>+J29+G29</f>
        <v>0</v>
      </c>
      <c r="N29" s="1127">
        <f t="shared" si="1"/>
        <v>0</v>
      </c>
      <c r="O29" s="1253">
        <f t="shared" si="13"/>
        <v>0</v>
      </c>
      <c r="P29" s="1262">
        <f t="shared" si="24"/>
        <v>-40000</v>
      </c>
      <c r="Q29" s="1126">
        <f t="shared" si="18"/>
        <v>50625</v>
      </c>
      <c r="R29" s="1126">
        <v>2500</v>
      </c>
      <c r="S29" s="1126">
        <f t="shared" si="20"/>
        <v>50625</v>
      </c>
      <c r="T29" s="1254"/>
      <c r="U29" s="1254"/>
      <c r="V29" s="1254">
        <f t="shared" si="19"/>
        <v>0</v>
      </c>
      <c r="W29" s="1127">
        <f t="shared" si="2"/>
        <v>0</v>
      </c>
      <c r="X29" s="1128">
        <f t="shared" si="21"/>
        <v>-2500</v>
      </c>
      <c r="Y29" s="1255"/>
      <c r="Z29" s="1256"/>
      <c r="AA29" s="1256"/>
      <c r="AB29" s="1257">
        <f t="shared" si="14"/>
        <v>0</v>
      </c>
      <c r="AC29" s="1258">
        <v>14</v>
      </c>
      <c r="AD29" s="1263">
        <f t="shared" si="4"/>
        <v>0</v>
      </c>
      <c r="AE29" s="1127"/>
      <c r="AF29" s="1129" t="e">
        <f t="shared" si="5"/>
        <v>#DIV/0!</v>
      </c>
      <c r="AG29" s="1129" t="e">
        <f t="shared" si="6"/>
        <v>#DIV/0!</v>
      </c>
      <c r="AH29" s="1129" t="e">
        <f t="shared" si="7"/>
        <v>#DIV/0!</v>
      </c>
      <c r="AI29" s="1130"/>
      <c r="AJ29" s="1130"/>
      <c r="AK29" s="1264"/>
      <c r="AL29" s="1265"/>
      <c r="AM29" s="1266">
        <f t="shared" si="15"/>
        <v>0</v>
      </c>
      <c r="AN29" s="1266">
        <f t="shared" si="25"/>
        <v>0</v>
      </c>
      <c r="AO29" s="1266">
        <f t="shared" si="26"/>
        <v>0</v>
      </c>
      <c r="AP29" s="1259">
        <f t="shared" si="10"/>
        <v>0</v>
      </c>
      <c r="AQ29" s="1259">
        <f t="shared" si="10"/>
        <v>0</v>
      </c>
      <c r="AR29" s="1259">
        <f t="shared" si="16"/>
        <v>0</v>
      </c>
      <c r="AS29" s="1267" t="e">
        <f>+AR29-#REF!</f>
        <v>#REF!</v>
      </c>
      <c r="AT29" s="1268">
        <f t="shared" si="11"/>
        <v>0</v>
      </c>
      <c r="AV29" s="1259">
        <v>21</v>
      </c>
    </row>
    <row r="30" spans="1:48" s="1259" customFormat="1" ht="39" hidden="1" customHeight="1" x14ac:dyDescent="0.55000000000000004">
      <c r="B30" s="1248">
        <f t="shared" si="23"/>
        <v>45526</v>
      </c>
      <c r="C30" s="1126">
        <f t="shared" si="27"/>
        <v>80000</v>
      </c>
      <c r="D30" s="1126">
        <v>40000</v>
      </c>
      <c r="E30" s="1126">
        <f t="shared" si="17"/>
        <v>820000</v>
      </c>
      <c r="F30" s="1249" t="s">
        <v>226</v>
      </c>
      <c r="G30" s="1250"/>
      <c r="H30" s="1251"/>
      <c r="I30" s="1260" t="s">
        <v>112</v>
      </c>
      <c r="J30" s="1250"/>
      <c r="K30" s="1261"/>
      <c r="L30" s="1260" t="s">
        <v>112</v>
      </c>
      <c r="M30" s="1252">
        <f t="shared" si="0"/>
        <v>0</v>
      </c>
      <c r="N30" s="1127">
        <f t="shared" si="1"/>
        <v>0</v>
      </c>
      <c r="O30" s="1253">
        <f t="shared" si="13"/>
        <v>0</v>
      </c>
      <c r="P30" s="1262">
        <f t="shared" si="24"/>
        <v>-40000</v>
      </c>
      <c r="Q30" s="1126">
        <f t="shared" si="18"/>
        <v>53125</v>
      </c>
      <c r="R30" s="1126">
        <v>2500</v>
      </c>
      <c r="S30" s="1126">
        <f t="shared" si="20"/>
        <v>53125</v>
      </c>
      <c r="T30" s="1254"/>
      <c r="U30" s="1254"/>
      <c r="V30" s="1254">
        <f>+U30+T30</f>
        <v>0</v>
      </c>
      <c r="W30" s="1127">
        <f t="shared" si="2"/>
        <v>0</v>
      </c>
      <c r="X30" s="1128">
        <f t="shared" si="21"/>
        <v>-2500</v>
      </c>
      <c r="Y30" s="1255"/>
      <c r="Z30" s="1256"/>
      <c r="AA30" s="1256"/>
      <c r="AB30" s="1257">
        <f t="shared" si="14"/>
        <v>0</v>
      </c>
      <c r="AC30" s="1258">
        <v>14</v>
      </c>
      <c r="AD30" s="1263">
        <f t="shared" si="4"/>
        <v>0</v>
      </c>
      <c r="AE30" s="1127"/>
      <c r="AF30" s="1129" t="e">
        <f t="shared" si="5"/>
        <v>#DIV/0!</v>
      </c>
      <c r="AG30" s="1129" t="e">
        <f t="shared" si="6"/>
        <v>#DIV/0!</v>
      </c>
      <c r="AH30" s="1129" t="e">
        <f t="shared" si="7"/>
        <v>#DIV/0!</v>
      </c>
      <c r="AI30" s="1130"/>
      <c r="AJ30" s="1130"/>
      <c r="AK30" s="1264"/>
      <c r="AL30" s="1265"/>
      <c r="AM30" s="1266">
        <f t="shared" si="15"/>
        <v>0</v>
      </c>
      <c r="AN30" s="1266">
        <f t="shared" si="25"/>
        <v>0</v>
      </c>
      <c r="AO30" s="1266">
        <f t="shared" si="26"/>
        <v>0</v>
      </c>
      <c r="AP30" s="1259">
        <f t="shared" si="10"/>
        <v>0</v>
      </c>
      <c r="AQ30" s="1259">
        <f t="shared" si="10"/>
        <v>0</v>
      </c>
      <c r="AR30" s="1259">
        <f t="shared" si="16"/>
        <v>0</v>
      </c>
      <c r="AS30" s="1267" t="e">
        <f>+AR30-#REF!</f>
        <v>#REF!</v>
      </c>
      <c r="AT30" s="1268">
        <f t="shared" si="11"/>
        <v>0</v>
      </c>
      <c r="AV30" s="1259">
        <v>19.649999999999999</v>
      </c>
    </row>
    <row r="31" spans="1:48" s="1259" customFormat="1" ht="39" hidden="1" customHeight="1" x14ac:dyDescent="0.55000000000000004">
      <c r="B31" s="1248">
        <f t="shared" si="23"/>
        <v>45527</v>
      </c>
      <c r="C31" s="1126"/>
      <c r="D31" s="1126">
        <v>40000</v>
      </c>
      <c r="E31" s="1126">
        <f t="shared" si="17"/>
        <v>860000</v>
      </c>
      <c r="F31" s="1249" t="s">
        <v>226</v>
      </c>
      <c r="G31" s="1250"/>
      <c r="H31" s="1251"/>
      <c r="I31" s="1260" t="s">
        <v>112</v>
      </c>
      <c r="J31" s="1250"/>
      <c r="K31" s="1261"/>
      <c r="L31" s="1260" t="s">
        <v>112</v>
      </c>
      <c r="M31" s="1252">
        <f t="shared" si="0"/>
        <v>0</v>
      </c>
      <c r="N31" s="1127">
        <f t="shared" si="1"/>
        <v>0</v>
      </c>
      <c r="O31" s="1253">
        <f t="shared" si="13"/>
        <v>0</v>
      </c>
      <c r="P31" s="1262">
        <f t="shared" si="24"/>
        <v>-40000</v>
      </c>
      <c r="Q31" s="1126"/>
      <c r="R31" s="1126">
        <v>2500</v>
      </c>
      <c r="S31" s="1126">
        <f t="shared" si="20"/>
        <v>55625</v>
      </c>
      <c r="T31" s="1254"/>
      <c r="U31" s="1254"/>
      <c r="V31" s="1254">
        <f t="shared" si="19"/>
        <v>0</v>
      </c>
      <c r="W31" s="1127">
        <f t="shared" si="2"/>
        <v>0</v>
      </c>
      <c r="X31" s="1128">
        <f t="shared" si="21"/>
        <v>-2500</v>
      </c>
      <c r="Y31" s="1255"/>
      <c r="Z31" s="1256"/>
      <c r="AA31" s="1256"/>
      <c r="AB31" s="1257">
        <f t="shared" si="14"/>
        <v>0</v>
      </c>
      <c r="AC31" s="1258">
        <v>14</v>
      </c>
      <c r="AD31" s="1263">
        <f t="shared" si="4"/>
        <v>0</v>
      </c>
      <c r="AE31" s="1127"/>
      <c r="AF31" s="1129" t="e">
        <f t="shared" si="5"/>
        <v>#DIV/0!</v>
      </c>
      <c r="AG31" s="1129" t="e">
        <f t="shared" si="6"/>
        <v>#DIV/0!</v>
      </c>
      <c r="AH31" s="1129" t="e">
        <f t="shared" si="7"/>
        <v>#DIV/0!</v>
      </c>
      <c r="AI31" s="1130"/>
      <c r="AJ31" s="1130"/>
      <c r="AK31" s="1264"/>
      <c r="AL31" s="1265"/>
      <c r="AM31" s="1266">
        <f t="shared" si="15"/>
        <v>0</v>
      </c>
      <c r="AN31" s="1266">
        <f t="shared" si="25"/>
        <v>0</v>
      </c>
      <c r="AO31" s="1266">
        <f t="shared" si="26"/>
        <v>0</v>
      </c>
      <c r="AP31" s="1259">
        <f t="shared" si="10"/>
        <v>0</v>
      </c>
      <c r="AQ31" s="1259">
        <f t="shared" si="10"/>
        <v>0</v>
      </c>
      <c r="AR31" s="1259">
        <f t="shared" si="16"/>
        <v>0</v>
      </c>
      <c r="AS31" s="1267" t="e">
        <f>+AR31-#REF!</f>
        <v>#REF!</v>
      </c>
      <c r="AT31" s="1268">
        <f t="shared" si="11"/>
        <v>0</v>
      </c>
      <c r="AV31" s="1259">
        <v>20.07</v>
      </c>
    </row>
    <row r="32" spans="1:48" s="1259" customFormat="1" ht="39" hidden="1" customHeight="1" x14ac:dyDescent="0.55000000000000004">
      <c r="B32" s="1248">
        <f t="shared" si="23"/>
        <v>45528</v>
      </c>
      <c r="C32" s="1126"/>
      <c r="D32" s="1126">
        <v>40000</v>
      </c>
      <c r="E32" s="1126">
        <f t="shared" si="17"/>
        <v>900000</v>
      </c>
      <c r="F32" s="1249" t="s">
        <v>226</v>
      </c>
      <c r="G32" s="1250"/>
      <c r="H32" s="1251"/>
      <c r="I32" s="1260" t="s">
        <v>112</v>
      </c>
      <c r="J32" s="1250"/>
      <c r="K32" s="1261"/>
      <c r="L32" s="1260" t="s">
        <v>112</v>
      </c>
      <c r="M32" s="1252">
        <f t="shared" si="0"/>
        <v>0</v>
      </c>
      <c r="N32" s="1127">
        <f t="shared" si="1"/>
        <v>0</v>
      </c>
      <c r="O32" s="1253">
        <f t="shared" si="13"/>
        <v>0</v>
      </c>
      <c r="P32" s="1262">
        <f t="shared" si="24"/>
        <v>-40000</v>
      </c>
      <c r="Q32" s="1126"/>
      <c r="R32" s="1126">
        <v>2500</v>
      </c>
      <c r="S32" s="1126">
        <f t="shared" si="20"/>
        <v>58125</v>
      </c>
      <c r="T32" s="1254"/>
      <c r="U32" s="1254"/>
      <c r="V32" s="1254">
        <f t="shared" si="19"/>
        <v>0</v>
      </c>
      <c r="W32" s="1127">
        <f t="shared" si="2"/>
        <v>0</v>
      </c>
      <c r="X32" s="1128">
        <f t="shared" si="21"/>
        <v>-2500</v>
      </c>
      <c r="Y32" s="1255"/>
      <c r="Z32" s="1256"/>
      <c r="AA32" s="1256"/>
      <c r="AB32" s="1257">
        <f t="shared" si="14"/>
        <v>0</v>
      </c>
      <c r="AC32" s="1258">
        <v>14</v>
      </c>
      <c r="AD32" s="1263">
        <f t="shared" si="4"/>
        <v>0</v>
      </c>
      <c r="AE32" s="1127"/>
      <c r="AF32" s="1129" t="e">
        <f t="shared" si="5"/>
        <v>#DIV/0!</v>
      </c>
      <c r="AG32" s="1129" t="e">
        <f t="shared" si="6"/>
        <v>#DIV/0!</v>
      </c>
      <c r="AH32" s="1129" t="e">
        <f t="shared" si="7"/>
        <v>#DIV/0!</v>
      </c>
      <c r="AI32" s="1130"/>
      <c r="AJ32" s="1130"/>
      <c r="AK32" s="1264"/>
      <c r="AL32" s="1265"/>
      <c r="AM32" s="1266">
        <f t="shared" si="15"/>
        <v>0</v>
      </c>
      <c r="AN32" s="1266">
        <f t="shared" si="25"/>
        <v>0</v>
      </c>
      <c r="AO32" s="1266">
        <f t="shared" si="26"/>
        <v>0</v>
      </c>
      <c r="AP32" s="1259">
        <f t="shared" si="10"/>
        <v>0</v>
      </c>
      <c r="AQ32" s="1259">
        <f t="shared" si="10"/>
        <v>0</v>
      </c>
      <c r="AR32" s="1259">
        <f t="shared" si="16"/>
        <v>0</v>
      </c>
      <c r="AS32" s="1267" t="e">
        <f>+AR32-#REF!</f>
        <v>#REF!</v>
      </c>
      <c r="AT32" s="1268">
        <f t="shared" si="11"/>
        <v>0</v>
      </c>
      <c r="AV32" s="1259">
        <v>20.65</v>
      </c>
    </row>
    <row r="33" spans="2:49" s="1259" customFormat="1" ht="39" hidden="1" customHeight="1" x14ac:dyDescent="0.55000000000000004">
      <c r="B33" s="1248">
        <f t="shared" si="23"/>
        <v>45529</v>
      </c>
      <c r="C33" s="1126"/>
      <c r="D33" s="1126">
        <v>20000</v>
      </c>
      <c r="E33" s="1126">
        <f t="shared" si="17"/>
        <v>920000</v>
      </c>
      <c r="F33" s="1249" t="s">
        <v>226</v>
      </c>
      <c r="G33" s="1250"/>
      <c r="H33" s="1251"/>
      <c r="I33" s="1260" t="s">
        <v>112</v>
      </c>
      <c r="J33" s="1250"/>
      <c r="K33" s="1261"/>
      <c r="L33" s="1260" t="s">
        <v>112</v>
      </c>
      <c r="M33" s="1252">
        <f>+J33+G33</f>
        <v>0</v>
      </c>
      <c r="N33" s="1127">
        <f t="shared" si="1"/>
        <v>0</v>
      </c>
      <c r="O33" s="1253">
        <f t="shared" si="13"/>
        <v>0</v>
      </c>
      <c r="P33" s="1262">
        <f t="shared" si="24"/>
        <v>-20000</v>
      </c>
      <c r="Q33" s="1126"/>
      <c r="R33" s="1126">
        <v>1875</v>
      </c>
      <c r="S33" s="1126">
        <f t="shared" si="20"/>
        <v>60000</v>
      </c>
      <c r="T33" s="1254"/>
      <c r="U33" s="1254"/>
      <c r="V33" s="1254">
        <f t="shared" si="19"/>
        <v>0</v>
      </c>
      <c r="W33" s="1127">
        <f t="shared" si="2"/>
        <v>0</v>
      </c>
      <c r="X33" s="1128">
        <f t="shared" si="21"/>
        <v>-1875</v>
      </c>
      <c r="Y33" s="1255"/>
      <c r="Z33" s="1256"/>
      <c r="AA33" s="1256"/>
      <c r="AB33" s="1257">
        <f t="shared" si="14"/>
        <v>0</v>
      </c>
      <c r="AC33" s="1258">
        <v>14</v>
      </c>
      <c r="AD33" s="1263">
        <f t="shared" si="4"/>
        <v>0</v>
      </c>
      <c r="AE33" s="1127"/>
      <c r="AF33" s="1129" t="e">
        <f t="shared" si="5"/>
        <v>#DIV/0!</v>
      </c>
      <c r="AG33" s="1129" t="e">
        <f t="shared" si="6"/>
        <v>#DIV/0!</v>
      </c>
      <c r="AH33" s="1129" t="e">
        <f t="shared" si="7"/>
        <v>#DIV/0!</v>
      </c>
      <c r="AI33" s="1130"/>
      <c r="AJ33" s="1130"/>
      <c r="AK33" s="1264"/>
      <c r="AL33" s="1265"/>
      <c r="AM33" s="1266">
        <f t="shared" si="15"/>
        <v>0</v>
      </c>
      <c r="AN33" s="1266">
        <f t="shared" si="25"/>
        <v>0</v>
      </c>
      <c r="AO33" s="1266">
        <f t="shared" si="26"/>
        <v>0</v>
      </c>
      <c r="AP33" s="1259">
        <f t="shared" si="10"/>
        <v>0</v>
      </c>
      <c r="AQ33" s="1259">
        <f t="shared" si="10"/>
        <v>0</v>
      </c>
      <c r="AR33" s="1259">
        <f t="shared" si="16"/>
        <v>0</v>
      </c>
      <c r="AS33" s="1267"/>
      <c r="AT33" s="1268">
        <f t="shared" si="11"/>
        <v>0</v>
      </c>
    </row>
    <row r="34" spans="2:49" s="1259" customFormat="1" ht="39" hidden="1" customHeight="1" x14ac:dyDescent="0.55000000000000004">
      <c r="B34" s="1248">
        <f t="shared" si="23"/>
        <v>45530</v>
      </c>
      <c r="C34" s="1126"/>
      <c r="D34" s="1126">
        <v>40000</v>
      </c>
      <c r="E34" s="1126">
        <f t="shared" si="17"/>
        <v>960000</v>
      </c>
      <c r="F34" s="1249" t="s">
        <v>226</v>
      </c>
      <c r="G34" s="1250"/>
      <c r="H34" s="1251"/>
      <c r="I34" s="1260" t="s">
        <v>112</v>
      </c>
      <c r="J34" s="1250"/>
      <c r="K34" s="1261"/>
      <c r="L34" s="1260" t="s">
        <v>112</v>
      </c>
      <c r="M34" s="1252">
        <f t="shared" si="0"/>
        <v>0</v>
      </c>
      <c r="N34" s="1127">
        <v>0</v>
      </c>
      <c r="O34" s="1253">
        <f t="shared" si="13"/>
        <v>0</v>
      </c>
      <c r="P34" s="1262">
        <f t="shared" si="24"/>
        <v>-40000</v>
      </c>
      <c r="Q34" s="1126"/>
      <c r="R34" s="1126">
        <v>2500</v>
      </c>
      <c r="S34" s="1126">
        <f t="shared" si="20"/>
        <v>62500</v>
      </c>
      <c r="T34" s="1254"/>
      <c r="U34" s="1254"/>
      <c r="V34" s="1254">
        <f t="shared" si="19"/>
        <v>0</v>
      </c>
      <c r="W34" s="1127">
        <f t="shared" si="2"/>
        <v>0</v>
      </c>
      <c r="X34" s="1128">
        <f t="shared" si="21"/>
        <v>-2500</v>
      </c>
      <c r="Y34" s="1255"/>
      <c r="Z34" s="1256"/>
      <c r="AA34" s="1256"/>
      <c r="AB34" s="1257">
        <f t="shared" si="14"/>
        <v>0</v>
      </c>
      <c r="AC34" s="1258">
        <v>14</v>
      </c>
      <c r="AD34" s="1263">
        <f t="shared" si="4"/>
        <v>0</v>
      </c>
      <c r="AE34" s="1127"/>
      <c r="AF34" s="1129" t="e">
        <f t="shared" si="5"/>
        <v>#DIV/0!</v>
      </c>
      <c r="AG34" s="1129" t="e">
        <f t="shared" si="6"/>
        <v>#DIV/0!</v>
      </c>
      <c r="AH34" s="1129" t="e">
        <f t="shared" si="7"/>
        <v>#DIV/0!</v>
      </c>
      <c r="AI34" s="1130"/>
      <c r="AJ34" s="1130"/>
      <c r="AK34" s="1264"/>
      <c r="AL34" s="1265"/>
      <c r="AM34" s="1266">
        <f t="shared" si="15"/>
        <v>0</v>
      </c>
      <c r="AN34" s="1266">
        <f t="shared" si="25"/>
        <v>0</v>
      </c>
      <c r="AO34" s="1266">
        <f t="shared" si="26"/>
        <v>0</v>
      </c>
      <c r="AP34" s="1259">
        <f t="shared" si="10"/>
        <v>0</v>
      </c>
      <c r="AQ34" s="1259">
        <f t="shared" si="10"/>
        <v>0</v>
      </c>
      <c r="AR34" s="1259">
        <f t="shared" si="16"/>
        <v>0</v>
      </c>
      <c r="AS34" s="1267" t="e">
        <f>+AR34-#REF!</f>
        <v>#REF!</v>
      </c>
      <c r="AT34" s="1268">
        <f t="shared" si="11"/>
        <v>0</v>
      </c>
      <c r="AV34" s="1259">
        <v>21.9</v>
      </c>
    </row>
    <row r="35" spans="2:49" s="1259" customFormat="1" ht="39" hidden="1" customHeight="1" x14ac:dyDescent="0.55000000000000004">
      <c r="B35" s="1248">
        <f t="shared" si="23"/>
        <v>45531</v>
      </c>
      <c r="C35" s="1126"/>
      <c r="D35" s="1126">
        <v>40000</v>
      </c>
      <c r="E35" s="1126">
        <f t="shared" si="17"/>
        <v>1000000</v>
      </c>
      <c r="F35" s="1249" t="s">
        <v>226</v>
      </c>
      <c r="G35" s="1250"/>
      <c r="H35" s="1251"/>
      <c r="I35" s="1260" t="s">
        <v>112</v>
      </c>
      <c r="J35" s="1250"/>
      <c r="K35" s="1261"/>
      <c r="L35" s="1260" t="s">
        <v>112</v>
      </c>
      <c r="M35" s="1252">
        <f t="shared" si="0"/>
        <v>0</v>
      </c>
      <c r="N35" s="1127">
        <v>0.4894474449522227</v>
      </c>
      <c r="O35" s="1253">
        <f t="shared" si="13"/>
        <v>0</v>
      </c>
      <c r="P35" s="1262">
        <f t="shared" si="24"/>
        <v>-40000</v>
      </c>
      <c r="Q35" s="1126"/>
      <c r="R35" s="1126">
        <v>2500</v>
      </c>
      <c r="S35" s="1126">
        <f t="shared" si="20"/>
        <v>65000</v>
      </c>
      <c r="T35" s="1254"/>
      <c r="U35" s="1269"/>
      <c r="V35" s="1254">
        <f t="shared" si="19"/>
        <v>0</v>
      </c>
      <c r="W35" s="1127">
        <f t="shared" si="2"/>
        <v>0</v>
      </c>
      <c r="X35" s="1128">
        <f t="shared" si="21"/>
        <v>-2500</v>
      </c>
      <c r="Y35" s="1255"/>
      <c r="Z35" s="1256"/>
      <c r="AA35" s="1256"/>
      <c r="AB35" s="1257">
        <f t="shared" si="14"/>
        <v>0</v>
      </c>
      <c r="AC35" s="1258">
        <v>14</v>
      </c>
      <c r="AD35" s="1263">
        <f t="shared" si="4"/>
        <v>0</v>
      </c>
      <c r="AE35" s="1127"/>
      <c r="AF35" s="1129" t="e">
        <f t="shared" si="5"/>
        <v>#DIV/0!</v>
      </c>
      <c r="AG35" s="1129" t="e">
        <f t="shared" si="6"/>
        <v>#DIV/0!</v>
      </c>
      <c r="AH35" s="1129" t="e">
        <f t="shared" si="7"/>
        <v>#DIV/0!</v>
      </c>
      <c r="AI35" s="1130"/>
      <c r="AJ35" s="1130"/>
      <c r="AK35" s="1264"/>
      <c r="AL35" s="1265"/>
      <c r="AM35" s="1266">
        <v>24473.622047244098</v>
      </c>
      <c r="AN35" s="1266">
        <v>7022.4251968503941</v>
      </c>
      <c r="AO35" s="1266">
        <v>17451.196850393702</v>
      </c>
      <c r="AP35" s="1259">
        <v>312.42519685039366</v>
      </c>
      <c r="AQ35" s="1259">
        <v>599.19685039370074</v>
      </c>
      <c r="AR35" s="1259">
        <v>911.62204724409435</v>
      </c>
      <c r="AS35" s="1267" t="e">
        <v>#REF!</v>
      </c>
      <c r="AT35" s="1268">
        <v>24473.622047244095</v>
      </c>
      <c r="AV35" s="1259">
        <v>20.98</v>
      </c>
    </row>
    <row r="36" spans="2:49" s="1259" customFormat="1" ht="39" hidden="1" customHeight="1" x14ac:dyDescent="0.55000000000000004">
      <c r="B36" s="1248">
        <f t="shared" si="23"/>
        <v>45532</v>
      </c>
      <c r="C36" s="1126"/>
      <c r="D36" s="1126">
        <v>40000</v>
      </c>
      <c r="E36" s="1126">
        <f t="shared" si="17"/>
        <v>1040000</v>
      </c>
      <c r="F36" s="1249" t="s">
        <v>226</v>
      </c>
      <c r="G36" s="1250"/>
      <c r="H36" s="1251"/>
      <c r="I36" s="1260" t="s">
        <v>112</v>
      </c>
      <c r="J36" s="1250"/>
      <c r="K36" s="1261"/>
      <c r="L36" s="1260" t="s">
        <v>112</v>
      </c>
      <c r="M36" s="1252">
        <f t="shared" si="0"/>
        <v>0</v>
      </c>
      <c r="N36" s="1127">
        <v>0.28562525965932695</v>
      </c>
      <c r="O36" s="1253">
        <f t="shared" si="13"/>
        <v>0</v>
      </c>
      <c r="P36" s="1262">
        <f t="shared" si="24"/>
        <v>-40000</v>
      </c>
      <c r="Q36" s="1126"/>
      <c r="R36" s="1126">
        <v>2500</v>
      </c>
      <c r="S36" s="1126">
        <f t="shared" si="20"/>
        <v>67500</v>
      </c>
      <c r="T36" s="1254"/>
      <c r="U36" s="1254"/>
      <c r="V36" s="1254">
        <f t="shared" si="19"/>
        <v>0</v>
      </c>
      <c r="W36" s="1127">
        <f t="shared" si="2"/>
        <v>0</v>
      </c>
      <c r="X36" s="1128">
        <f t="shared" si="21"/>
        <v>-2500</v>
      </c>
      <c r="Y36" s="1255"/>
      <c r="Z36" s="1256"/>
      <c r="AA36" s="1256"/>
      <c r="AB36" s="1257">
        <f t="shared" si="14"/>
        <v>0</v>
      </c>
      <c r="AC36" s="1258">
        <v>14</v>
      </c>
      <c r="AD36" s="1263">
        <f t="shared" si="4"/>
        <v>0</v>
      </c>
      <c r="AE36" s="1127"/>
      <c r="AF36" s="1129" t="e">
        <f t="shared" si="5"/>
        <v>#DIV/0!</v>
      </c>
      <c r="AG36" s="1129" t="e">
        <f t="shared" si="6"/>
        <v>#DIV/0!</v>
      </c>
      <c r="AH36" s="1129" t="e">
        <f t="shared" si="7"/>
        <v>#DIV/0!</v>
      </c>
      <c r="AI36" s="1130"/>
      <c r="AJ36" s="1130"/>
      <c r="AK36" s="1264"/>
      <c r="AL36" s="1265"/>
      <c r="AM36" s="1266">
        <v>14714.433070866142</v>
      </c>
      <c r="AN36" s="1266">
        <v>5716.0787401574798</v>
      </c>
      <c r="AO36" s="1266">
        <v>8998.354330708662</v>
      </c>
      <c r="AP36" s="1259">
        <v>546.0787401574803</v>
      </c>
      <c r="AQ36" s="1259">
        <v>418.35433070866139</v>
      </c>
      <c r="AR36" s="1259">
        <v>964.43307086614163</v>
      </c>
      <c r="AS36" s="1267" t="e">
        <v>#REF!</v>
      </c>
      <c r="AT36" s="1268">
        <v>14714.433070866142</v>
      </c>
      <c r="AV36" s="1259">
        <v>21.08</v>
      </c>
    </row>
    <row r="37" spans="2:49" s="1259" customFormat="1" ht="39" hidden="1" customHeight="1" x14ac:dyDescent="0.55000000000000004">
      <c r="B37" s="1248">
        <f t="shared" si="23"/>
        <v>45533</v>
      </c>
      <c r="C37" s="1126"/>
      <c r="D37" s="1126">
        <v>40000</v>
      </c>
      <c r="E37" s="1126">
        <f t="shared" si="17"/>
        <v>1080000</v>
      </c>
      <c r="F37" s="1249" t="s">
        <v>226</v>
      </c>
      <c r="G37" s="1250"/>
      <c r="H37" s="1251"/>
      <c r="I37" s="1260" t="s">
        <v>112</v>
      </c>
      <c r="J37" s="1250"/>
      <c r="K37" s="1261"/>
      <c r="L37" s="1260" t="s">
        <v>112</v>
      </c>
      <c r="M37" s="1252">
        <f t="shared" si="0"/>
        <v>0</v>
      </c>
      <c r="N37" s="1127"/>
      <c r="O37" s="1253">
        <f t="shared" si="13"/>
        <v>0</v>
      </c>
      <c r="P37" s="1262">
        <f t="shared" si="24"/>
        <v>-40000</v>
      </c>
      <c r="Q37" s="1126"/>
      <c r="R37" s="1126">
        <v>2500</v>
      </c>
      <c r="S37" s="1126">
        <f t="shared" si="20"/>
        <v>70000</v>
      </c>
      <c r="T37" s="1254"/>
      <c r="U37" s="1254"/>
      <c r="V37" s="1254">
        <f t="shared" si="19"/>
        <v>0</v>
      </c>
      <c r="W37" s="1127">
        <f t="shared" si="2"/>
        <v>0</v>
      </c>
      <c r="X37" s="1128">
        <f t="shared" si="21"/>
        <v>-2500</v>
      </c>
      <c r="Y37" s="1255"/>
      <c r="Z37" s="1256"/>
      <c r="AA37" s="1256"/>
      <c r="AB37" s="1257">
        <f t="shared" si="14"/>
        <v>0</v>
      </c>
      <c r="AC37" s="1258">
        <v>14</v>
      </c>
      <c r="AD37" s="1263">
        <f t="shared" si="4"/>
        <v>0</v>
      </c>
      <c r="AE37" s="1127"/>
      <c r="AF37" s="1129" t="e">
        <f t="shared" si="5"/>
        <v>#DIV/0!</v>
      </c>
      <c r="AG37" s="1129" t="e">
        <f t="shared" si="6"/>
        <v>#DIV/0!</v>
      </c>
      <c r="AH37" s="1129" t="e">
        <f t="shared" si="7"/>
        <v>#DIV/0!</v>
      </c>
      <c r="AI37" s="1130"/>
      <c r="AJ37" s="1130"/>
      <c r="AK37" s="1264"/>
      <c r="AL37" s="1265"/>
      <c r="AM37" s="1266">
        <v>24472.653543307089</v>
      </c>
      <c r="AN37" s="1266">
        <v>12843.165354330709</v>
      </c>
      <c r="AO37" s="1266">
        <v>11629.488188976378</v>
      </c>
      <c r="AP37" s="1259">
        <v>369.16535433070862</v>
      </c>
      <c r="AQ37" s="1259">
        <v>431.48818897637796</v>
      </c>
      <c r="AR37" s="1259">
        <v>800.65354330708658</v>
      </c>
      <c r="AS37" s="1267"/>
      <c r="AT37" s="1268">
        <v>24472.653543307086</v>
      </c>
    </row>
    <row r="38" spans="2:49" s="1259" customFormat="1" ht="39" hidden="1" customHeight="1" x14ac:dyDescent="0.55000000000000004">
      <c r="B38" s="1248">
        <f t="shared" si="23"/>
        <v>45534</v>
      </c>
      <c r="C38" s="1126"/>
      <c r="D38" s="1126">
        <v>40000</v>
      </c>
      <c r="E38" s="1126">
        <f t="shared" si="17"/>
        <v>1120000</v>
      </c>
      <c r="F38" s="1249" t="s">
        <v>226</v>
      </c>
      <c r="G38" s="1250"/>
      <c r="H38" s="1251"/>
      <c r="I38" s="1260" t="s">
        <v>112</v>
      </c>
      <c r="J38" s="1250"/>
      <c r="K38" s="1261"/>
      <c r="L38" s="1260" t="s">
        <v>112</v>
      </c>
      <c r="M38" s="1252">
        <f t="shared" si="0"/>
        <v>0</v>
      </c>
      <c r="N38" s="1127"/>
      <c r="O38" s="1253">
        <f t="shared" si="13"/>
        <v>0</v>
      </c>
      <c r="P38" s="1262">
        <f t="shared" si="24"/>
        <v>-40000</v>
      </c>
      <c r="Q38" s="1126"/>
      <c r="R38" s="1126">
        <v>2500</v>
      </c>
      <c r="S38" s="1126">
        <f t="shared" si="20"/>
        <v>72500</v>
      </c>
      <c r="T38" s="1254"/>
      <c r="U38" s="1254"/>
      <c r="V38" s="1254">
        <f t="shared" si="19"/>
        <v>0</v>
      </c>
      <c r="W38" s="1127">
        <f t="shared" si="2"/>
        <v>0</v>
      </c>
      <c r="X38" s="1128">
        <f t="shared" si="21"/>
        <v>-2500</v>
      </c>
      <c r="Y38" s="1255"/>
      <c r="Z38" s="1256"/>
      <c r="AA38" s="1256"/>
      <c r="AB38" s="1257">
        <f t="shared" si="14"/>
        <v>0</v>
      </c>
      <c r="AC38" s="1258">
        <v>14</v>
      </c>
      <c r="AD38" s="1263">
        <f>+IFERROR(M38/V38,0)</f>
        <v>0</v>
      </c>
      <c r="AE38" s="1127"/>
      <c r="AF38" s="1129" t="e">
        <f t="shared" si="5"/>
        <v>#DIV/0!</v>
      </c>
      <c r="AG38" s="1129" t="e">
        <f t="shared" si="6"/>
        <v>#DIV/0!</v>
      </c>
      <c r="AH38" s="1129" t="e">
        <f t="shared" si="7"/>
        <v>#DIV/0!</v>
      </c>
      <c r="AI38" s="1130"/>
      <c r="AJ38" s="1130"/>
      <c r="AK38" s="1264"/>
      <c r="AL38" s="1265"/>
      <c r="AM38" s="1266"/>
      <c r="AN38" s="1266"/>
      <c r="AO38" s="1266"/>
      <c r="AS38" s="1267"/>
      <c r="AT38" s="1268"/>
    </row>
    <row r="39" spans="2:49" s="1259" customFormat="1" ht="39" hidden="1" customHeight="1" thickBot="1" x14ac:dyDescent="0.6">
      <c r="B39" s="1248">
        <f t="shared" si="23"/>
        <v>45535</v>
      </c>
      <c r="C39" s="1126"/>
      <c r="D39" s="1126">
        <v>40000</v>
      </c>
      <c r="E39" s="1126">
        <f t="shared" ref="E39" si="28">+E38+D39</f>
        <v>1160000</v>
      </c>
      <c r="F39" s="1249" t="s">
        <v>226</v>
      </c>
      <c r="G39" s="1250"/>
      <c r="H39" s="1251"/>
      <c r="I39" s="1260" t="s">
        <v>112</v>
      </c>
      <c r="J39" s="1250"/>
      <c r="K39" s="1261"/>
      <c r="L39" s="1260" t="s">
        <v>112</v>
      </c>
      <c r="M39" s="1252">
        <f t="shared" ref="M39" si="29">+J39+G39</f>
        <v>0</v>
      </c>
      <c r="N39" s="1127"/>
      <c r="O39" s="1253">
        <f t="shared" ref="O39" si="30">IFERROR(+M39/D39,"")</f>
        <v>0</v>
      </c>
      <c r="P39" s="1262">
        <f t="shared" ref="P39" si="31">M39-D39</f>
        <v>-40000</v>
      </c>
      <c r="Q39" s="1126"/>
      <c r="R39" s="1126">
        <v>2500</v>
      </c>
      <c r="S39" s="1126">
        <f t="shared" ref="S39" si="32">+S38+R39</f>
        <v>75000</v>
      </c>
      <c r="T39" s="1254"/>
      <c r="U39" s="1254"/>
      <c r="V39" s="1254">
        <f t="shared" ref="V39" si="33">+U39+T39</f>
        <v>0</v>
      </c>
      <c r="W39" s="1127">
        <f t="shared" ref="W39" si="34">IFERROR(+V39/R39,"")</f>
        <v>0</v>
      </c>
      <c r="X39" s="1128">
        <f t="shared" ref="X39" si="35">V39-R39</f>
        <v>-2500</v>
      </c>
      <c r="Y39" s="1255"/>
      <c r="Z39" s="1256"/>
      <c r="AA39" s="1256"/>
      <c r="AB39" s="1257">
        <f t="shared" ref="AB39" si="36">Z39+AA39</f>
        <v>0</v>
      </c>
      <c r="AC39" s="1258">
        <v>14</v>
      </c>
      <c r="AD39" s="1263">
        <f>+IFERROR(M39/V39,0)</f>
        <v>0</v>
      </c>
      <c r="AE39" s="1127"/>
      <c r="AF39" s="1129" t="e">
        <f t="shared" ref="AF39" si="37">+Z39/(G39+(T39/1.27))</f>
        <v>#DIV/0!</v>
      </c>
      <c r="AG39" s="1129" t="e">
        <f t="shared" ref="AG39" si="38">+AA39/(J39+(U39/1.27))</f>
        <v>#DIV/0!</v>
      </c>
      <c r="AH39" s="1129" t="e">
        <f t="shared" ref="AH39" si="39">+AB39/(M39+(V39/1.27))</f>
        <v>#DIV/0!</v>
      </c>
      <c r="AI39" s="1130"/>
      <c r="AJ39" s="1130"/>
      <c r="AK39" s="1264"/>
      <c r="AL39" s="1265"/>
      <c r="AM39" s="1266"/>
      <c r="AN39" s="1266"/>
      <c r="AO39" s="1266"/>
      <c r="AS39" s="1267"/>
      <c r="AT39" s="1268"/>
    </row>
    <row r="40" spans="2:49" s="808" customFormat="1" ht="57.75" customHeight="1" thickBot="1" x14ac:dyDescent="0.6">
      <c r="B40" s="866"/>
      <c r="C40" s="867"/>
      <c r="D40" s="867">
        <f>SUM(D9:D39)</f>
        <v>1160000</v>
      </c>
      <c r="E40" s="867"/>
      <c r="F40" s="867"/>
      <c r="G40" s="867">
        <f>SUM(G9:G39)</f>
        <v>140572</v>
      </c>
      <c r="H40" s="868">
        <f>AVERAGE(H9:H39)</f>
        <v>4.083333333333333</v>
      </c>
      <c r="I40" s="867" t="s">
        <v>112</v>
      </c>
      <c r="J40" s="867">
        <f>SUM(J9:J39)</f>
        <v>155636</v>
      </c>
      <c r="K40" s="868">
        <f>AVERAGE(K9:K39)</f>
        <v>4.666666666666667</v>
      </c>
      <c r="L40" s="869" t="s">
        <v>112</v>
      </c>
      <c r="M40" s="867">
        <f>SUM(M9:M39)</f>
        <v>296208</v>
      </c>
      <c r="N40" s="870">
        <f>IFERROR(+M40/D40,"")</f>
        <v>0.25535172413793106</v>
      </c>
      <c r="O40" s="840">
        <f t="shared" si="13"/>
        <v>0.25535172413793106</v>
      </c>
      <c r="P40" s="871">
        <f>+M40-D40</f>
        <v>-863792</v>
      </c>
      <c r="Q40" s="867"/>
      <c r="R40" s="867">
        <f>SUM(R9:R39)</f>
        <v>75000</v>
      </c>
      <c r="S40" s="841"/>
      <c r="T40" s="841">
        <f>SUM(T9:T39)</f>
        <v>9146.4599999999991</v>
      </c>
      <c r="U40" s="841">
        <f>SUM(U9:U39)</f>
        <v>9797.08</v>
      </c>
      <c r="V40" s="841">
        <f>SUM(V9:V39)</f>
        <v>18943.539999999997</v>
      </c>
      <c r="W40" s="870">
        <f>IFERROR(+V40/R40,"")</f>
        <v>0.2525805333333333</v>
      </c>
      <c r="X40" s="872">
        <f>+V40-R40</f>
        <v>-56056.460000000006</v>
      </c>
      <c r="Y40" s="872"/>
      <c r="Z40" s="867">
        <f>SUM(Z9:Z39)</f>
        <v>171439.5</v>
      </c>
      <c r="AA40" s="867">
        <f>SUM(AA9:AA39)</f>
        <v>177177.5</v>
      </c>
      <c r="AB40" s="867">
        <f>SUM(AB9:AB39)</f>
        <v>348617</v>
      </c>
      <c r="AC40" s="872">
        <f t="shared" ref="AC40" si="40">+IFERROR(D40/R40,0)</f>
        <v>15.466666666666667</v>
      </c>
      <c r="AD40" s="872">
        <f>+IFERROR(M40/V40,"")</f>
        <v>15.636359413288121</v>
      </c>
      <c r="AE40" s="873"/>
      <c r="AF40" s="842">
        <f t="shared" si="5"/>
        <v>1.1601470697154463</v>
      </c>
      <c r="AG40" s="842">
        <f>+AA40/(J40+(U40/1.27))</f>
        <v>1.0846479570489571</v>
      </c>
      <c r="AH40" s="872">
        <f>+AB40/(M40+(V40/1.27))</f>
        <v>1.1205075979234056</v>
      </c>
      <c r="AI40" s="874">
        <f>SUM(AI9:AI39)</f>
        <v>0.29444444444444445</v>
      </c>
      <c r="AJ40" s="874">
        <f>SUM(AJ9:AJ39)</f>
        <v>8.3333333333333329E-2</v>
      </c>
      <c r="AK40" s="875">
        <f>SUM(AK9:AK37)</f>
        <v>10816</v>
      </c>
      <c r="AL40" s="1162">
        <v>15</v>
      </c>
      <c r="AM40" s="834">
        <f>SUM(AM9:AM37)</f>
        <v>374784.88188976387</v>
      </c>
      <c r="AN40" s="834">
        <f>SUM(AN9:AN37)</f>
        <v>173355.60629921258</v>
      </c>
      <c r="AO40" s="834">
        <f>SUM(AO9:AO37)</f>
        <v>201429.27559055114</v>
      </c>
      <c r="AP40" s="808">
        <f>+T40/1.27</f>
        <v>7201.9370078740149</v>
      </c>
      <c r="AQ40" s="808">
        <f>+U40/1.27</f>
        <v>7714.2362204724404</v>
      </c>
      <c r="AR40" s="808">
        <f>+AQ40+AP40</f>
        <v>14916.173228346455</v>
      </c>
      <c r="AS40" s="817" t="e">
        <f>+AR40-#REF!</f>
        <v>#REF!</v>
      </c>
      <c r="AT40" s="818">
        <f>+AR40+M40</f>
        <v>311124.17322834645</v>
      </c>
      <c r="AV40" s="808">
        <v>19.71</v>
      </c>
    </row>
    <row r="41" spans="2:49" s="804" customFormat="1" ht="39" customHeight="1" thickTop="1" x14ac:dyDescent="0.55000000000000004">
      <c r="C41" s="1160"/>
      <c r="D41" s="1160"/>
      <c r="E41" s="1663"/>
      <c r="F41" s="1663"/>
      <c r="J41" s="1160"/>
      <c r="K41" s="1160"/>
      <c r="L41" s="1160"/>
      <c r="M41" s="1162"/>
      <c r="O41" s="819"/>
      <c r="Q41" s="1157"/>
      <c r="R41" s="1157"/>
      <c r="S41" s="1157"/>
      <c r="T41" s="1160"/>
      <c r="U41" s="1160"/>
      <c r="V41" s="865">
        <f>1500*3</f>
        <v>4500</v>
      </c>
      <c r="W41" s="1586">
        <f>+V41+V40</f>
        <v>23443.539999999997</v>
      </c>
      <c r="X41" s="1586"/>
      <c r="Y41" s="1156"/>
      <c r="Z41" s="1156"/>
      <c r="AA41" s="1156"/>
      <c r="AB41" s="900" t="b">
        <f>+AB40/(M40+(V40/1.27))=AH40</f>
        <v>1</v>
      </c>
      <c r="AH41" s="1160"/>
      <c r="AK41" s="1157"/>
      <c r="AL41" s="1157"/>
      <c r="AV41" s="804">
        <v>20.07</v>
      </c>
    </row>
    <row r="42" spans="2:49" s="804" customFormat="1" ht="39" customHeight="1" x14ac:dyDescent="0.55000000000000004">
      <c r="D42" s="1590" t="s">
        <v>27</v>
      </c>
      <c r="E42" s="1590"/>
      <c r="F42" s="1590"/>
      <c r="G42" s="1606">
        <f>M40</f>
        <v>296208</v>
      </c>
      <c r="H42" s="1607"/>
      <c r="I42" s="930"/>
      <c r="J42" s="1590" t="s">
        <v>24</v>
      </c>
      <c r="K42" s="1590"/>
      <c r="L42" s="1590"/>
      <c r="M42" s="1590"/>
      <c r="N42" s="1172">
        <f>+G40</f>
        <v>140572</v>
      </c>
      <c r="O42" s="1587">
        <f>+G40</f>
        <v>140572</v>
      </c>
      <c r="P42" s="1587"/>
      <c r="Q42" s="1069"/>
      <c r="R42" s="1588" t="s">
        <v>7</v>
      </c>
      <c r="S42" s="1589"/>
      <c r="T42" s="837">
        <f>+AI40</f>
        <v>0.29444444444444445</v>
      </c>
      <c r="U42" s="877" t="s">
        <v>31</v>
      </c>
      <c r="V42" s="878" t="s">
        <v>32</v>
      </c>
      <c r="W42" s="1156"/>
      <c r="AB42" s="901" t="s">
        <v>103</v>
      </c>
      <c r="AC42" s="1157"/>
      <c r="AF42" s="902"/>
      <c r="AG42" s="902"/>
      <c r="AV42" s="804">
        <v>20.170000000000002</v>
      </c>
    </row>
    <row r="43" spans="2:49" s="804" customFormat="1" ht="39" customHeight="1" x14ac:dyDescent="0.55000000000000004">
      <c r="D43" s="1590" t="s">
        <v>28</v>
      </c>
      <c r="E43" s="1590"/>
      <c r="F43" s="1590"/>
      <c r="G43" s="1579">
        <f>V40</f>
        <v>18943.539999999997</v>
      </c>
      <c r="H43" s="1592"/>
      <c r="I43" s="1161"/>
      <c r="J43" s="1590" t="s">
        <v>25</v>
      </c>
      <c r="K43" s="1590"/>
      <c r="L43" s="1590"/>
      <c r="M43" s="1590"/>
      <c r="N43" s="1172">
        <f>+J40</f>
        <v>155636</v>
      </c>
      <c r="O43" s="1587">
        <f>+J40</f>
        <v>155636</v>
      </c>
      <c r="P43" s="1587"/>
      <c r="Q43" s="1069"/>
      <c r="R43" s="1588" t="s">
        <v>8</v>
      </c>
      <c r="S43" s="1589"/>
      <c r="T43" s="837">
        <f>+AJ40</f>
        <v>8.3333333333333329E-2</v>
      </c>
      <c r="U43" s="1169" t="s">
        <v>48</v>
      </c>
      <c r="V43" s="847">
        <f>SUM(D9:D39)</f>
        <v>1160000</v>
      </c>
      <c r="W43" s="879">
        <f>IFERROR(+G42/V43,0)</f>
        <v>0.25535172413793106</v>
      </c>
      <c r="X43" s="880"/>
      <c r="Y43" s="880"/>
      <c r="Z43" s="880"/>
      <c r="AA43" s="880"/>
      <c r="AB43" s="881" t="s">
        <v>104</v>
      </c>
      <c r="AC43" s="1592" t="s">
        <v>14</v>
      </c>
      <c r="AD43" s="1593"/>
      <c r="AE43" s="1592" t="s">
        <v>17</v>
      </c>
      <c r="AF43" s="1656"/>
      <c r="AG43" s="1656"/>
      <c r="AH43" s="1593"/>
      <c r="AI43" s="1168" t="s">
        <v>105</v>
      </c>
      <c r="AJ43" s="1168" t="s">
        <v>106</v>
      </c>
      <c r="AM43" s="1185" t="s">
        <v>109</v>
      </c>
      <c r="AN43" s="1185" t="s">
        <v>110</v>
      </c>
      <c r="AV43" s="804">
        <v>19.059999999999999</v>
      </c>
    </row>
    <row r="44" spans="2:49" s="804" customFormat="1" ht="39" customHeight="1" x14ac:dyDescent="0.55000000000000004">
      <c r="D44" s="1590" t="s">
        <v>46</v>
      </c>
      <c r="E44" s="1590"/>
      <c r="F44" s="1590"/>
      <c r="G44" s="1579">
        <f>AH20</f>
        <v>1.0369579095380494</v>
      </c>
      <c r="H44" s="1592"/>
      <c r="I44" s="1161"/>
      <c r="J44" s="1590" t="s">
        <v>26</v>
      </c>
      <c r="K44" s="1590"/>
      <c r="L44" s="1590"/>
      <c r="M44" s="1590"/>
      <c r="N44" s="1172">
        <f>+T40</f>
        <v>9146.4599999999991</v>
      </c>
      <c r="O44" s="1587">
        <f>+T40</f>
        <v>9146.4599999999991</v>
      </c>
      <c r="P44" s="1587"/>
      <c r="Q44" s="926"/>
      <c r="R44" s="926"/>
      <c r="S44" s="927"/>
      <c r="T44" s="950"/>
      <c r="U44" s="1163" t="s">
        <v>49</v>
      </c>
      <c r="V44" s="847">
        <f>SUM((R9:R39))</f>
        <v>75000</v>
      </c>
      <c r="W44" s="879">
        <f>IFERROR(+G43/V44,0)</f>
        <v>0.2525805333333333</v>
      </c>
      <c r="X44" s="902"/>
      <c r="Y44" s="902"/>
      <c r="Z44" s="902"/>
      <c r="AA44" s="902"/>
      <c r="AB44" s="881" t="s">
        <v>107</v>
      </c>
      <c r="AC44" s="1594">
        <f>SUM(D9:D39)</f>
        <v>1160000</v>
      </c>
      <c r="AD44" s="1595"/>
      <c r="AE44" s="1592">
        <f>+G42</f>
        <v>296208</v>
      </c>
      <c r="AF44" s="1656"/>
      <c r="AG44" s="1656"/>
      <c r="AH44" s="1593"/>
      <c r="AI44" s="903">
        <f>+IFERROR(AE44/AC44,0)</f>
        <v>0.25535172413793106</v>
      </c>
      <c r="AJ44" s="1171">
        <f>+IFERROR(AE44-AC44,0)</f>
        <v>-863792</v>
      </c>
      <c r="AM44" s="950">
        <v>27.5</v>
      </c>
      <c r="AN44" s="882">
        <f>AM44-11</f>
        <v>16.5</v>
      </c>
      <c r="AP44" s="804">
        <f>285340+270534</f>
        <v>555874</v>
      </c>
      <c r="AV44" s="804">
        <v>19.28</v>
      </c>
      <c r="AW44" s="804">
        <v>967306</v>
      </c>
    </row>
    <row r="45" spans="2:49" s="804" customFormat="1" ht="39" customHeight="1" x14ac:dyDescent="0.55000000000000004">
      <c r="D45" s="1590" t="s">
        <v>47</v>
      </c>
      <c r="E45" s="1590"/>
      <c r="F45" s="1590"/>
      <c r="G45" s="1579">
        <f>AH40</f>
        <v>1.1205075979234056</v>
      </c>
      <c r="H45" s="1592"/>
      <c r="I45" s="1161"/>
      <c r="J45" s="1590" t="s">
        <v>23</v>
      </c>
      <c r="K45" s="1590"/>
      <c r="L45" s="1590"/>
      <c r="M45" s="1590"/>
      <c r="N45" s="1172">
        <f>+U40</f>
        <v>9797.08</v>
      </c>
      <c r="O45" s="1587">
        <f>+U40</f>
        <v>9797.08</v>
      </c>
      <c r="P45" s="1587"/>
      <c r="Q45" s="926"/>
      <c r="R45" s="926"/>
      <c r="S45" s="927"/>
      <c r="T45" s="950"/>
      <c r="U45" s="1163" t="s">
        <v>5</v>
      </c>
      <c r="V45" s="820">
        <v>14</v>
      </c>
      <c r="W45" s="879">
        <f>IFERROR(+G47/V45,0)</f>
        <v>1.1168828152348658</v>
      </c>
      <c r="X45" s="902"/>
      <c r="Y45" s="902"/>
      <c r="Z45" s="902"/>
      <c r="AA45" s="902"/>
      <c r="AB45" s="881" t="s">
        <v>108</v>
      </c>
      <c r="AC45" s="1594">
        <f>SUM(R9:R39)</f>
        <v>75000</v>
      </c>
      <c r="AD45" s="1595"/>
      <c r="AE45" s="1592">
        <f>+G43</f>
        <v>18943.539999999997</v>
      </c>
      <c r="AF45" s="1656"/>
      <c r="AG45" s="1656"/>
      <c r="AH45" s="1593"/>
      <c r="AI45" s="903">
        <f>+IFERROR(AE45/AC45,0)</f>
        <v>0.2525805333333333</v>
      </c>
      <c r="AJ45" s="1171">
        <f>+IFERROR(AE45-AC45,0)</f>
        <v>-56056.460000000006</v>
      </c>
      <c r="AM45" s="863" t="s">
        <v>111</v>
      </c>
      <c r="AP45" s="804">
        <f>8671.4+17238.09</f>
        <v>25909.489999999998</v>
      </c>
      <c r="AV45" s="804">
        <v>20.190000000000001</v>
      </c>
      <c r="AW45" s="804">
        <v>72018</v>
      </c>
    </row>
    <row r="46" spans="2:49" s="804" customFormat="1" ht="39" customHeight="1" x14ac:dyDescent="0.55000000000000004">
      <c r="D46" s="1590" t="s">
        <v>30</v>
      </c>
      <c r="E46" s="1590"/>
      <c r="F46" s="1590"/>
      <c r="G46" s="1579">
        <f>+AD20</f>
        <v>21.574614976101966</v>
      </c>
      <c r="H46" s="1592"/>
      <c r="I46" s="1161"/>
      <c r="J46" s="1603"/>
      <c r="K46" s="1604"/>
      <c r="L46" s="1604"/>
      <c r="M46" s="1605"/>
      <c r="N46" s="1172"/>
      <c r="O46" s="1591"/>
      <c r="P46" s="1591"/>
      <c r="Q46" s="926"/>
      <c r="R46" s="926"/>
      <c r="S46" s="927"/>
      <c r="T46" s="950"/>
      <c r="U46" s="1163" t="s">
        <v>6</v>
      </c>
      <c r="V46" s="838">
        <v>1.1000000000000001</v>
      </c>
      <c r="W46" s="879">
        <f>IFERROR(+G45/V46,0)</f>
        <v>1.0186432708394595</v>
      </c>
      <c r="AB46" s="881" t="s">
        <v>5</v>
      </c>
      <c r="AC46" s="1594">
        <v>14</v>
      </c>
      <c r="AD46" s="1595"/>
      <c r="AE46" s="1594">
        <f>+IFERROR(AE44/AE45,0)</f>
        <v>15.636359413288121</v>
      </c>
      <c r="AF46" s="1664"/>
      <c r="AG46" s="1664"/>
      <c r="AH46" s="1595"/>
      <c r="AI46" s="904"/>
      <c r="AJ46" s="1168">
        <f>+IFERROR(AE46-AC46,0)</f>
        <v>1.6363594132881207</v>
      </c>
      <c r="AM46" s="950" t="s">
        <v>107</v>
      </c>
      <c r="AN46" s="1168">
        <f>IFERROR((D40-AE44)/AN44,"")</f>
        <v>52351.030303030304</v>
      </c>
      <c r="AP46" s="804">
        <f>+AP44/AP45</f>
        <v>21.45445549101893</v>
      </c>
      <c r="AV46" s="804">
        <v>20.61</v>
      </c>
    </row>
    <row r="47" spans="2:49" s="804" customFormat="1" ht="42.75" customHeight="1" x14ac:dyDescent="0.55000000000000004">
      <c r="D47" s="1657" t="s">
        <v>29</v>
      </c>
      <c r="E47" s="1657"/>
      <c r="F47" s="1657"/>
      <c r="G47" s="1579">
        <f>+AD40</f>
        <v>15.636359413288121</v>
      </c>
      <c r="H47" s="1592"/>
      <c r="I47" s="1161"/>
      <c r="J47" s="1594"/>
      <c r="K47" s="1664"/>
      <c r="L47" s="1664"/>
      <c r="M47" s="1595"/>
      <c r="N47" s="1172"/>
      <c r="O47" s="1591"/>
      <c r="P47" s="1591"/>
      <c r="Q47" s="928"/>
      <c r="R47" s="928"/>
      <c r="S47" s="929"/>
      <c r="T47" s="950"/>
      <c r="U47" s="1160"/>
      <c r="V47" s="865"/>
      <c r="X47" s="863"/>
      <c r="AB47" s="905" t="s">
        <v>6</v>
      </c>
      <c r="AC47" s="1665">
        <v>1.1000000000000001</v>
      </c>
      <c r="AD47" s="1666"/>
      <c r="AE47" s="1165"/>
      <c r="AF47" s="1657">
        <f>G45</f>
        <v>1.1205075979234056</v>
      </c>
      <c r="AG47" s="1657"/>
      <c r="AH47" s="1657"/>
      <c r="AI47" s="950"/>
      <c r="AJ47" s="1168">
        <f>+IFERROR(AF47-AC47,0)</f>
        <v>2.0507597923405507E-2</v>
      </c>
      <c r="AM47" s="950" t="s">
        <v>108</v>
      </c>
      <c r="AN47" s="1168">
        <f>IFERROR((R40-AE45)/AN44,"")</f>
        <v>3397.3612121212127</v>
      </c>
      <c r="AP47" s="804">
        <f>285340/8671.4</f>
        <v>32.905874483935698</v>
      </c>
      <c r="AV47" s="804">
        <v>18.77</v>
      </c>
    </row>
    <row r="48" spans="2:49" s="804" customFormat="1" ht="27" x14ac:dyDescent="0.55000000000000004">
      <c r="C48" s="1160"/>
      <c r="D48" s="1160"/>
      <c r="E48" s="1160"/>
      <c r="F48" s="1160"/>
      <c r="H48" s="902"/>
      <c r="I48" s="902"/>
      <c r="J48" s="1160"/>
      <c r="K48" s="1160"/>
      <c r="L48" s="1160"/>
      <c r="M48" s="1162"/>
      <c r="N48" s="1160"/>
      <c r="O48" s="1160"/>
      <c r="P48" s="1160"/>
      <c r="Q48" s="1157"/>
      <c r="R48" s="1157"/>
      <c r="S48" s="1157"/>
      <c r="U48" s="1160"/>
      <c r="V48" s="865"/>
      <c r="W48" s="1225"/>
      <c r="X48" s="1225"/>
      <c r="Y48" s="1156"/>
      <c r="Z48" s="1156"/>
      <c r="AA48" s="1156"/>
      <c r="AB48" s="808"/>
      <c r="AH48" s="1160"/>
      <c r="AK48" s="1157"/>
      <c r="AL48" s="1157"/>
      <c r="AV48" s="804">
        <v>21.13</v>
      </c>
    </row>
    <row r="49" spans="3:48" s="1157" customFormat="1" ht="27" x14ac:dyDescent="0.55000000000000004">
      <c r="G49" s="1160"/>
      <c r="H49" s="804"/>
      <c r="I49" s="804"/>
      <c r="J49" s="804"/>
      <c r="K49" s="1160"/>
      <c r="L49" s="1160"/>
      <c r="M49" s="865"/>
      <c r="N49" s="804"/>
      <c r="O49" s="804"/>
      <c r="P49" s="804"/>
      <c r="Q49" s="1160"/>
      <c r="R49" s="1160"/>
      <c r="S49" s="1160"/>
      <c r="T49" s="1160"/>
      <c r="U49" s="1160"/>
      <c r="V49" s="865"/>
      <c r="W49" s="804"/>
      <c r="X49" s="1156"/>
      <c r="Y49" s="1156"/>
      <c r="Z49" s="1156"/>
      <c r="AA49" s="1156"/>
      <c r="AB49" s="901" t="s">
        <v>241</v>
      </c>
      <c r="AD49" s="804"/>
      <c r="AE49" s="804"/>
      <c r="AF49" s="902"/>
      <c r="AG49" s="902"/>
      <c r="AH49" s="804"/>
      <c r="AI49" s="804"/>
      <c r="AJ49" s="804"/>
      <c r="AV49" s="1157">
        <v>20.100000000000001</v>
      </c>
    </row>
    <row r="50" spans="3:48" s="804" customFormat="1" ht="27" x14ac:dyDescent="0.55000000000000004">
      <c r="F50" s="1164"/>
      <c r="G50" s="1660"/>
      <c r="H50" s="1660"/>
      <c r="K50" s="1160"/>
      <c r="L50" s="1160"/>
      <c r="M50" s="865"/>
      <c r="Q50" s="1157"/>
      <c r="R50" s="1157"/>
      <c r="S50" s="1157"/>
      <c r="T50" s="1160"/>
      <c r="U50" s="1160"/>
      <c r="V50" s="865"/>
      <c r="X50" s="1156"/>
      <c r="Y50" s="1667"/>
      <c r="Z50" s="1667"/>
      <c r="AA50" s="1156"/>
      <c r="AB50" s="881" t="s">
        <v>104</v>
      </c>
      <c r="AC50" s="1592" t="s">
        <v>14</v>
      </c>
      <c r="AD50" s="1593"/>
      <c r="AE50" s="1592" t="s">
        <v>17</v>
      </c>
      <c r="AF50" s="1656"/>
      <c r="AG50" s="1656"/>
      <c r="AH50" s="1593"/>
      <c r="AI50" s="1168" t="s">
        <v>105</v>
      </c>
      <c r="AJ50" s="1168" t="s">
        <v>106</v>
      </c>
      <c r="AK50" s="1157"/>
      <c r="AL50" s="1157"/>
      <c r="AV50" s="804">
        <v>18.760000000000002</v>
      </c>
    </row>
    <row r="51" spans="3:48" s="1157" customFormat="1" ht="27" x14ac:dyDescent="0.55000000000000004">
      <c r="G51" s="906"/>
      <c r="H51" s="907"/>
      <c r="I51" s="907"/>
      <c r="J51" s="907"/>
      <c r="K51" s="907"/>
      <c r="L51" s="1598"/>
      <c r="M51" s="1598"/>
      <c r="N51" s="1598"/>
      <c r="O51" s="1598"/>
      <c r="P51" s="1598"/>
      <c r="U51" s="908"/>
      <c r="V51" s="865"/>
      <c r="W51" s="804"/>
      <c r="X51" s="1156"/>
      <c r="Y51" s="1156"/>
      <c r="Z51" s="1156"/>
      <c r="AA51" s="1156"/>
      <c r="AB51" s="881" t="s">
        <v>107</v>
      </c>
      <c r="AC51" s="1594">
        <f>SUM(D9:D20)</f>
        <v>440000</v>
      </c>
      <c r="AD51" s="1595"/>
      <c r="AE51" s="1592">
        <f>SUM(M9:M39)</f>
        <v>296208</v>
      </c>
      <c r="AF51" s="1656"/>
      <c r="AG51" s="1656"/>
      <c r="AH51" s="1593"/>
      <c r="AI51" s="903">
        <f>+IFERROR(AE51/AC51,0)</f>
        <v>0.67320000000000002</v>
      </c>
      <c r="AJ51" s="1171">
        <f>+IFERROR(AE51-AC51,0)</f>
        <v>-143792</v>
      </c>
      <c r="AV51" s="1157">
        <v>17.260000000000002</v>
      </c>
    </row>
    <row r="52" spans="3:48" s="1157" customFormat="1" ht="27" x14ac:dyDescent="0.55000000000000004">
      <c r="D52" s="1157" t="s">
        <v>194</v>
      </c>
      <c r="G52" s="910"/>
      <c r="H52" s="804"/>
      <c r="I52" s="804"/>
      <c r="J52" s="804"/>
      <c r="K52" s="804"/>
      <c r="L52" s="1660" t="s">
        <v>208</v>
      </c>
      <c r="M52" s="1660"/>
      <c r="N52" s="1660"/>
      <c r="O52" s="1660"/>
      <c r="P52" s="1660"/>
      <c r="Q52" s="1660"/>
      <c r="R52" s="1660"/>
      <c r="S52" s="1660"/>
      <c r="T52" s="1660"/>
      <c r="U52" s="1660"/>
      <c r="V52" s="1660"/>
      <c r="W52" s="804"/>
      <c r="X52" s="1156"/>
      <c r="Y52" s="1156"/>
      <c r="Z52" s="1156"/>
      <c r="AA52" s="1156"/>
      <c r="AB52" s="881" t="s">
        <v>108</v>
      </c>
      <c r="AC52" s="1594">
        <f>SUM(R9:R20)</f>
        <v>28750</v>
      </c>
      <c r="AD52" s="1595"/>
      <c r="AE52" s="1592">
        <f>SUM(V9:V39)</f>
        <v>18943.539999999997</v>
      </c>
      <c r="AF52" s="1656"/>
      <c r="AG52" s="1656"/>
      <c r="AH52" s="1593"/>
      <c r="AI52" s="903">
        <f>+IFERROR(AE52/AC52,0)</f>
        <v>0.65890573913043471</v>
      </c>
      <c r="AJ52" s="1171">
        <f>+IFERROR(AE52-AC52,0)</f>
        <v>-9806.4600000000028</v>
      </c>
    </row>
    <row r="53" spans="3:48" s="1157" customFormat="1" ht="27" x14ac:dyDescent="0.55000000000000004">
      <c r="G53" s="910"/>
      <c r="H53" s="1659"/>
      <c r="I53" s="1659"/>
      <c r="J53" s="804"/>
      <c r="K53" s="804"/>
      <c r="L53" s="911"/>
      <c r="M53" s="808"/>
      <c r="N53" s="808"/>
      <c r="O53" s="808"/>
      <c r="P53" s="808"/>
      <c r="U53" s="1160"/>
      <c r="W53" s="804"/>
      <c r="X53" s="1156"/>
      <c r="Y53" s="1156"/>
      <c r="Z53" s="1156"/>
      <c r="AA53" s="1156"/>
      <c r="AB53" s="881" t="s">
        <v>5</v>
      </c>
      <c r="AC53" s="1594">
        <f>+IFERROR(AC51/AC52,0)</f>
        <v>15.304347826086957</v>
      </c>
      <c r="AD53" s="1595"/>
      <c r="AE53" s="1594">
        <f>+IFERROR(AE51/AE52,0)</f>
        <v>15.636359413288121</v>
      </c>
      <c r="AF53" s="1664"/>
      <c r="AG53" s="1664"/>
      <c r="AH53" s="1595"/>
      <c r="AI53" s="904"/>
      <c r="AJ53" s="1168">
        <f>+IFERROR(AE53-AC53,0)</f>
        <v>0.33201158720116375</v>
      </c>
    </row>
    <row r="54" spans="3:48" s="1157" customFormat="1" ht="27" x14ac:dyDescent="0.55000000000000004">
      <c r="G54" s="910"/>
      <c r="H54" s="804"/>
      <c r="I54" s="804"/>
      <c r="J54" s="804"/>
      <c r="K54" s="804"/>
      <c r="L54" s="911"/>
      <c r="M54" s="808"/>
      <c r="N54" s="808"/>
      <c r="O54" s="808"/>
      <c r="P54" s="808"/>
      <c r="U54" s="1160"/>
      <c r="W54" s="804"/>
      <c r="X54" s="1156"/>
      <c r="Y54" s="1156"/>
      <c r="Z54" s="1156"/>
      <c r="AA54" s="1156"/>
      <c r="AB54" s="905" t="s">
        <v>6</v>
      </c>
      <c r="AC54" s="1665">
        <v>1</v>
      </c>
      <c r="AD54" s="1666"/>
      <c r="AE54" s="1165"/>
      <c r="AF54" s="1657">
        <f>+G45</f>
        <v>1.1205075979234056</v>
      </c>
      <c r="AG54" s="1657"/>
      <c r="AH54" s="1657"/>
      <c r="AI54" s="950"/>
      <c r="AJ54" s="1168">
        <f>+IFERROR(AF54-AC54,0)</f>
        <v>0.1205075979234056</v>
      </c>
    </row>
    <row r="55" spans="3:48" s="1157" customFormat="1" ht="27" x14ac:dyDescent="0.55000000000000004">
      <c r="G55" s="910"/>
      <c r="H55" s="804"/>
      <c r="I55" s="804"/>
      <c r="J55" s="804"/>
      <c r="K55" s="804"/>
      <c r="L55" s="911"/>
      <c r="M55" s="808"/>
      <c r="N55" s="808"/>
      <c r="O55" s="808"/>
      <c r="P55" s="808"/>
      <c r="U55" s="1160"/>
      <c r="W55" s="804"/>
      <c r="X55" s="1156"/>
      <c r="Y55" s="1156"/>
      <c r="Z55" s="1156"/>
      <c r="AA55" s="1156"/>
      <c r="AB55" s="808"/>
      <c r="AC55" s="1234"/>
      <c r="AD55" s="1234"/>
      <c r="AE55" s="1160"/>
      <c r="AF55" s="1160"/>
      <c r="AG55" s="1160"/>
      <c r="AH55" s="1160"/>
      <c r="AI55" s="804"/>
      <c r="AJ55" s="902"/>
    </row>
    <row r="56" spans="3:48" s="1157" customFormat="1" ht="27" x14ac:dyDescent="0.55000000000000004">
      <c r="G56" s="804"/>
      <c r="H56" s="804"/>
      <c r="I56" s="804"/>
      <c r="J56" s="804"/>
      <c r="K56" s="804"/>
      <c r="L56" s="911"/>
      <c r="M56" s="808"/>
      <c r="N56" s="808"/>
      <c r="O56" s="808"/>
      <c r="P56" s="808"/>
      <c r="U56" s="1160"/>
      <c r="W56" s="804"/>
      <c r="X56" s="1156"/>
      <c r="Y56" s="1156"/>
      <c r="Z56" s="1156"/>
      <c r="AA56" s="1156"/>
      <c r="AB56" s="909"/>
      <c r="AC56" s="804"/>
      <c r="AD56" s="804"/>
      <c r="AE56" s="804"/>
      <c r="AF56" s="804"/>
      <c r="AG56" s="804"/>
      <c r="AH56" s="1160"/>
      <c r="AI56" s="804"/>
      <c r="AJ56" s="804"/>
    </row>
    <row r="57" spans="3:48" s="1157" customFormat="1" ht="27" x14ac:dyDescent="0.85">
      <c r="G57" s="1160"/>
      <c r="H57" s="804"/>
      <c r="I57" s="804"/>
      <c r="J57" s="1160"/>
      <c r="K57" s="1160"/>
      <c r="L57" s="911"/>
      <c r="M57" s="1162"/>
      <c r="N57" s="808"/>
      <c r="O57" s="808"/>
      <c r="P57" s="808"/>
      <c r="T57" s="1160"/>
      <c r="U57" s="1160"/>
      <c r="V57" s="1160"/>
      <c r="W57" s="804"/>
      <c r="X57" s="1156"/>
      <c r="Y57" s="1156"/>
      <c r="Z57" s="1156"/>
      <c r="AA57" s="1156"/>
      <c r="AB57" s="1220" t="s">
        <v>235</v>
      </c>
      <c r="AC57" s="1220"/>
      <c r="AD57" s="1220"/>
      <c r="AE57" s="804"/>
      <c r="AF57" s="804"/>
      <c r="AG57" s="804"/>
      <c r="AH57" s="1160"/>
      <c r="AI57" s="804"/>
      <c r="AJ57" s="804"/>
      <c r="AV57" s="1157">
        <v>20.16</v>
      </c>
    </row>
    <row r="58" spans="3:48" s="804" customFormat="1" ht="32.4" x14ac:dyDescent="0.85">
      <c r="C58" s="1160"/>
      <c r="D58" s="1160" t="s">
        <v>206</v>
      </c>
      <c r="E58" s="1160"/>
      <c r="F58" s="1159"/>
      <c r="G58" s="1159"/>
      <c r="I58" s="1577"/>
      <c r="J58" s="1577"/>
      <c r="K58" s="1577"/>
      <c r="L58" s="1160"/>
      <c r="M58" s="1160"/>
      <c r="N58" s="1160" t="s">
        <v>206</v>
      </c>
      <c r="O58" s="1160" t="s">
        <v>231</v>
      </c>
      <c r="P58" s="1160"/>
      <c r="T58" s="912"/>
      <c r="U58" s="1160"/>
      <c r="V58" s="1157" t="s">
        <v>230</v>
      </c>
      <c r="X58" s="1156"/>
      <c r="Y58" s="1156"/>
      <c r="Z58" s="1156"/>
      <c r="AA58" s="1156"/>
      <c r="AB58" s="1221" t="s">
        <v>207</v>
      </c>
      <c r="AC58" s="1596" t="s">
        <v>223</v>
      </c>
      <c r="AD58" s="1596"/>
      <c r="AE58" s="950"/>
      <c r="AF58" s="1576" t="s">
        <v>219</v>
      </c>
      <c r="AG58" s="1576"/>
      <c r="AH58" s="1580"/>
      <c r="AI58" s="1581"/>
      <c r="AK58" s="1157"/>
      <c r="AL58" s="1157"/>
      <c r="AV58" s="804">
        <v>20.09</v>
      </c>
    </row>
    <row r="59" spans="3:48" s="804" customFormat="1" ht="32.4" x14ac:dyDescent="0.85">
      <c r="C59" s="1160"/>
      <c r="D59" s="1160" t="s">
        <v>191</v>
      </c>
      <c r="E59" s="1160"/>
      <c r="F59" s="1159"/>
      <c r="G59" s="1159"/>
      <c r="I59" s="1577"/>
      <c r="J59" s="1577"/>
      <c r="K59" s="1577"/>
      <c r="L59" s="1160"/>
      <c r="M59" s="1160"/>
      <c r="N59" s="1160" t="s">
        <v>191</v>
      </c>
      <c r="O59" s="1160" t="s">
        <v>228</v>
      </c>
      <c r="P59" s="1160"/>
      <c r="T59" s="912"/>
      <c r="U59" s="1160"/>
      <c r="V59" s="1157" t="s">
        <v>229</v>
      </c>
      <c r="X59" s="1156"/>
      <c r="Y59" s="1156"/>
      <c r="Z59" s="1156"/>
      <c r="AA59" s="1156"/>
      <c r="AB59" s="1219">
        <v>55000</v>
      </c>
      <c r="AC59" s="1578">
        <f>+Y20</f>
        <v>17119.600000000002</v>
      </c>
      <c r="AD59" s="1578"/>
      <c r="AE59" s="950"/>
      <c r="AF59" s="1579">
        <f>+AC59-AB59</f>
        <v>-37880.399999999994</v>
      </c>
      <c r="AG59" s="1576"/>
      <c r="AH59" s="1582"/>
      <c r="AI59" s="1583"/>
      <c r="AJ59" s="902"/>
      <c r="AK59" s="1157"/>
      <c r="AL59" s="1157"/>
      <c r="AV59" s="804">
        <v>19.66</v>
      </c>
    </row>
    <row r="60" spans="3:48" s="804" customFormat="1" ht="27" x14ac:dyDescent="0.55000000000000004">
      <c r="C60" s="1160"/>
      <c r="D60" s="1160"/>
      <c r="E60" s="1160"/>
      <c r="F60" s="1160"/>
      <c r="J60" s="1160"/>
      <c r="K60" s="1160"/>
      <c r="L60" s="1160"/>
      <c r="M60" s="1162"/>
      <c r="Q60" s="1157"/>
      <c r="R60" s="1157"/>
      <c r="S60" s="1157"/>
      <c r="T60" s="1160"/>
      <c r="U60" s="1160"/>
      <c r="V60" s="865"/>
      <c r="X60" s="1156"/>
      <c r="Y60" s="1156"/>
      <c r="Z60" s="913"/>
      <c r="AA60" s="913"/>
      <c r="AB60" s="808" t="s">
        <v>236</v>
      </c>
      <c r="AC60" s="1585">
        <v>54147.732000000004</v>
      </c>
      <c r="AD60" s="1585"/>
      <c r="AH60" s="1160"/>
      <c r="AK60" s="1157"/>
      <c r="AL60" s="1157"/>
      <c r="AV60" s="804">
        <v>18.27</v>
      </c>
    </row>
    <row r="61" spans="3:48" s="804" customFormat="1" ht="27" x14ac:dyDescent="0.55000000000000004">
      <c r="C61" s="1160"/>
      <c r="D61" s="1160"/>
      <c r="E61" s="1160"/>
      <c r="F61" s="1160"/>
      <c r="J61" s="1160"/>
      <c r="K61" s="1160"/>
      <c r="L61" s="1160"/>
      <c r="M61" s="1162"/>
      <c r="Q61" s="1157"/>
      <c r="R61" s="1157"/>
      <c r="S61" s="1157"/>
      <c r="T61" s="1160"/>
      <c r="U61" s="1160"/>
      <c r="V61" s="865"/>
      <c r="X61" s="1156"/>
      <c r="Y61" s="1156"/>
      <c r="Z61" s="914"/>
      <c r="AA61" s="914"/>
      <c r="AB61" s="1226"/>
      <c r="AH61" s="1160"/>
      <c r="AK61" s="1157"/>
      <c r="AL61" s="1157"/>
      <c r="AV61" s="804">
        <v>19.07</v>
      </c>
    </row>
    <row r="62" spans="3:48" s="804" customFormat="1" ht="27" x14ac:dyDescent="0.55000000000000004">
      <c r="C62" s="1160"/>
      <c r="D62" s="1160"/>
      <c r="E62" s="1160"/>
      <c r="F62" s="1160"/>
      <c r="J62" s="1160"/>
      <c r="K62" s="1160"/>
      <c r="L62" s="1160"/>
      <c r="M62" s="1162"/>
      <c r="Q62" s="1157"/>
      <c r="R62" s="1157"/>
      <c r="S62" s="1157"/>
      <c r="T62" s="1160"/>
      <c r="U62" s="1160"/>
      <c r="V62" s="865"/>
      <c r="X62" s="1156"/>
      <c r="Y62" s="1156"/>
      <c r="Z62" s="914"/>
      <c r="AA62" s="1245"/>
      <c r="AB62" s="1575"/>
      <c r="AC62" s="1575"/>
      <c r="AD62" s="1575"/>
      <c r="AE62" s="1575"/>
      <c r="AF62" s="1575"/>
      <c r="AG62" s="1575"/>
      <c r="AH62" s="1575"/>
      <c r="AI62" s="1246"/>
      <c r="AK62" s="1157"/>
      <c r="AL62" s="1157"/>
      <c r="AV62" s="804">
        <v>20.13</v>
      </c>
    </row>
    <row r="63" spans="3:48" s="804" customFormat="1" ht="27" x14ac:dyDescent="0.55000000000000004">
      <c r="M63" s="808"/>
      <c r="V63" s="808"/>
      <c r="Y63" s="1156"/>
      <c r="Z63" s="914"/>
      <c r="AA63" s="1245"/>
      <c r="AB63" s="1246" t="s">
        <v>107</v>
      </c>
      <c r="AC63" s="1584">
        <f>+AC44-AE44</f>
        <v>863792</v>
      </c>
      <c r="AD63" s="1584"/>
      <c r="AE63" s="1246"/>
      <c r="AF63" s="1247">
        <v>11</v>
      </c>
      <c r="AG63" s="1574">
        <f>+AC63/AF63</f>
        <v>78526.545454545456</v>
      </c>
      <c r="AH63" s="1574"/>
      <c r="AI63" s="1246"/>
      <c r="AV63" s="804" t="e">
        <f>927.8-#REF!</f>
        <v>#REF!</v>
      </c>
    </row>
    <row r="64" spans="3:48" s="804" customFormat="1" ht="27" x14ac:dyDescent="0.55000000000000004">
      <c r="C64" s="1160"/>
      <c r="D64" s="1160"/>
      <c r="E64" s="1160"/>
      <c r="F64" s="1160"/>
      <c r="J64" s="1160"/>
      <c r="K64" s="1160"/>
      <c r="L64" s="1160"/>
      <c r="M64" s="1162"/>
      <c r="Q64" s="1157"/>
      <c r="R64" s="1157"/>
      <c r="S64" s="1157"/>
      <c r="T64" s="1160"/>
      <c r="U64" s="1160"/>
      <c r="V64" s="865"/>
      <c r="X64" s="1156"/>
      <c r="Y64" s="1156"/>
      <c r="Z64" s="914"/>
      <c r="AA64" s="1245"/>
      <c r="AB64" s="1246" t="s">
        <v>227</v>
      </c>
      <c r="AC64" s="1584">
        <f>+AC45-AE45</f>
        <v>56056.460000000006</v>
      </c>
      <c r="AD64" s="1584"/>
      <c r="AE64" s="1246"/>
      <c r="AF64" s="1247">
        <v>11</v>
      </c>
      <c r="AG64" s="1574">
        <f>+AC64/AF64</f>
        <v>5096.0418181818186</v>
      </c>
      <c r="AH64" s="1574"/>
      <c r="AI64" s="1246"/>
      <c r="AK64" s="1157"/>
      <c r="AL64" s="1157"/>
    </row>
    <row r="65" spans="1:50" s="804" customFormat="1" ht="27" x14ac:dyDescent="0.55000000000000004">
      <c r="C65" s="1160"/>
      <c r="D65" s="1160"/>
      <c r="E65" s="1160"/>
      <c r="F65" s="1160"/>
      <c r="J65" s="1160"/>
      <c r="K65" s="1160"/>
      <c r="L65" s="1160"/>
      <c r="M65" s="1162"/>
      <c r="Q65" s="1157"/>
      <c r="R65" s="1157"/>
      <c r="S65" s="1157"/>
      <c r="T65" s="1160"/>
      <c r="U65" s="1160"/>
      <c r="V65" s="865"/>
      <c r="X65" s="1156"/>
      <c r="Y65" s="1156"/>
      <c r="Z65" s="914"/>
      <c r="AA65" s="1245"/>
      <c r="AB65" s="1661"/>
      <c r="AC65" s="1662"/>
      <c r="AD65" s="1662"/>
      <c r="AE65" s="1662"/>
      <c r="AF65" s="1662"/>
      <c r="AG65" s="1662"/>
      <c r="AH65" s="1662"/>
      <c r="AI65" s="1662"/>
      <c r="AK65" s="1157"/>
      <c r="AL65" s="1157"/>
    </row>
    <row r="66" spans="1:50" s="804" customFormat="1" ht="27" x14ac:dyDescent="0.55000000000000004">
      <c r="C66" s="1160"/>
      <c r="D66" s="1160"/>
      <c r="E66" s="1070"/>
      <c r="F66" s="1160"/>
      <c r="H66" s="1658"/>
      <c r="I66" s="1658"/>
      <c r="J66" s="1157"/>
      <c r="K66" s="1160"/>
      <c r="L66" s="1160"/>
      <c r="M66" s="915"/>
      <c r="Q66" s="1157"/>
      <c r="R66" s="1157"/>
      <c r="S66" s="1157"/>
      <c r="T66" s="1160"/>
      <c r="U66" s="1160"/>
      <c r="V66" s="865"/>
      <c r="X66" s="1156"/>
      <c r="Y66" s="1156"/>
      <c r="Z66" s="914"/>
      <c r="AA66" s="1245"/>
      <c r="AB66" s="1662"/>
      <c r="AC66" s="1662"/>
      <c r="AD66" s="1662"/>
      <c r="AE66" s="1662"/>
      <c r="AF66" s="1662"/>
      <c r="AG66" s="1662"/>
      <c r="AH66" s="1662"/>
      <c r="AI66" s="1662"/>
      <c r="AK66" s="1157"/>
      <c r="AL66" s="1157"/>
    </row>
    <row r="67" spans="1:50" s="804" customFormat="1" ht="27" x14ac:dyDescent="0.55000000000000004">
      <c r="C67" s="1160"/>
      <c r="D67" s="1160"/>
      <c r="E67" s="1160"/>
      <c r="F67" s="1160"/>
      <c r="H67" s="1658"/>
      <c r="I67" s="1658"/>
      <c r="J67" s="1157"/>
      <c r="K67" s="1660"/>
      <c r="L67" s="1660"/>
      <c r="M67" s="1162"/>
      <c r="Q67" s="1157"/>
      <c r="R67" s="1157"/>
      <c r="S67" s="1157"/>
      <c r="T67" s="1160"/>
      <c r="U67" s="1160"/>
      <c r="V67" s="865"/>
      <c r="X67" s="1156"/>
      <c r="Y67" s="1156"/>
      <c r="Z67" s="914"/>
      <c r="AA67" s="1245"/>
      <c r="AB67" s="1662"/>
      <c r="AC67" s="1662"/>
      <c r="AD67" s="1662"/>
      <c r="AE67" s="1662"/>
      <c r="AF67" s="1662"/>
      <c r="AG67" s="1662"/>
      <c r="AH67" s="1662"/>
      <c r="AI67" s="1662"/>
      <c r="AK67" s="1157"/>
      <c r="AL67" s="1157"/>
    </row>
    <row r="68" spans="1:50" ht="27" x14ac:dyDescent="0.55000000000000004">
      <c r="H68" s="1658"/>
      <c r="I68" s="1658"/>
      <c r="J68" s="1157"/>
      <c r="Z68" s="1227"/>
      <c r="AA68" s="1227"/>
    </row>
    <row r="69" spans="1:50" x14ac:dyDescent="0.55000000000000004">
      <c r="Z69" s="1227"/>
      <c r="AA69" s="1227"/>
    </row>
    <row r="70" spans="1:50" x14ac:dyDescent="0.55000000000000004">
      <c r="Z70" s="1227"/>
      <c r="AA70" s="1227"/>
    </row>
    <row r="71" spans="1:50" x14ac:dyDescent="0.55000000000000004">
      <c r="Z71" s="1227"/>
      <c r="AA71" s="1227"/>
    </row>
    <row r="72" spans="1:50" x14ac:dyDescent="0.55000000000000004">
      <c r="Z72" s="1227"/>
      <c r="AA72" s="1227"/>
    </row>
    <row r="73" spans="1:50" x14ac:dyDescent="0.55000000000000004">
      <c r="Z73" s="1227"/>
      <c r="AA73" s="1227"/>
    </row>
    <row r="74" spans="1:50" s="917" customFormat="1" x14ac:dyDescent="0.55000000000000004">
      <c r="A74" s="883"/>
      <c r="B74" s="883"/>
      <c r="C74" s="884"/>
      <c r="D74" s="884"/>
      <c r="E74" s="884"/>
      <c r="F74" s="884"/>
      <c r="G74" s="883"/>
      <c r="H74" s="883"/>
      <c r="I74" s="883"/>
      <c r="J74" s="884"/>
      <c r="K74" s="884"/>
      <c r="L74" s="884"/>
      <c r="M74" s="885"/>
      <c r="N74" s="883"/>
      <c r="O74" s="883"/>
      <c r="P74" s="883"/>
      <c r="Q74" s="886"/>
      <c r="R74" s="886"/>
      <c r="S74" s="886"/>
      <c r="T74" s="884"/>
      <c r="U74" s="884"/>
      <c r="V74" s="887"/>
      <c r="W74" s="883"/>
      <c r="X74" s="888"/>
      <c r="Y74" s="888"/>
      <c r="Z74" s="1227"/>
      <c r="AA74" s="1227"/>
      <c r="AC74" s="883"/>
      <c r="AD74" s="883"/>
      <c r="AE74" s="883"/>
      <c r="AF74" s="883"/>
      <c r="AG74" s="883"/>
      <c r="AH74" s="884"/>
      <c r="AI74" s="883"/>
      <c r="AJ74" s="883"/>
      <c r="AK74" s="886"/>
      <c r="AL74" s="886"/>
      <c r="AM74" s="883"/>
      <c r="AN74" s="883"/>
      <c r="AO74" s="883"/>
      <c r="AP74" s="883"/>
      <c r="AQ74" s="883"/>
      <c r="AR74" s="883"/>
      <c r="AS74" s="883"/>
      <c r="AT74" s="883"/>
      <c r="AU74" s="883"/>
      <c r="AV74" s="883"/>
      <c r="AW74" s="883"/>
      <c r="AX74" s="883"/>
    </row>
    <row r="75" spans="1:50" s="917" customFormat="1" x14ac:dyDescent="0.55000000000000004">
      <c r="A75" s="883"/>
      <c r="B75" s="883"/>
      <c r="C75" s="884"/>
      <c r="D75" s="884"/>
      <c r="E75" s="884"/>
      <c r="F75" s="884"/>
      <c r="G75" s="883"/>
      <c r="H75" s="883"/>
      <c r="I75" s="883"/>
      <c r="J75" s="884"/>
      <c r="K75" s="884"/>
      <c r="L75" s="884"/>
      <c r="M75" s="885"/>
      <c r="N75" s="883"/>
      <c r="O75" s="883"/>
      <c r="P75" s="883"/>
      <c r="Q75" s="886"/>
      <c r="R75" s="886"/>
      <c r="S75" s="886"/>
      <c r="T75" s="884"/>
      <c r="U75" s="884"/>
      <c r="V75" s="887"/>
      <c r="W75" s="883"/>
      <c r="X75" s="888"/>
      <c r="Y75" s="888"/>
      <c r="Z75" s="1227"/>
      <c r="AA75" s="1227"/>
      <c r="AC75" s="883"/>
      <c r="AD75" s="883"/>
      <c r="AE75" s="883"/>
      <c r="AF75" s="883"/>
      <c r="AG75" s="883"/>
      <c r="AH75" s="884"/>
      <c r="AI75" s="883"/>
      <c r="AJ75" s="883"/>
      <c r="AK75" s="886"/>
      <c r="AL75" s="886"/>
      <c r="AM75" s="883"/>
      <c r="AN75" s="883"/>
      <c r="AO75" s="883"/>
      <c r="AP75" s="883"/>
      <c r="AQ75" s="883"/>
      <c r="AR75" s="883"/>
      <c r="AS75" s="883"/>
      <c r="AT75" s="883"/>
      <c r="AU75" s="883"/>
      <c r="AV75" s="883"/>
      <c r="AW75" s="883"/>
      <c r="AX75" s="883"/>
    </row>
    <row r="76" spans="1:50" s="917" customFormat="1" x14ac:dyDescent="0.55000000000000004">
      <c r="A76" s="883"/>
      <c r="B76" s="883"/>
      <c r="C76" s="884"/>
      <c r="D76" s="884"/>
      <c r="E76" s="884"/>
      <c r="F76" s="884"/>
      <c r="G76" s="883"/>
      <c r="H76" s="883"/>
      <c r="I76" s="883"/>
      <c r="J76" s="884"/>
      <c r="K76" s="884"/>
      <c r="L76" s="884"/>
      <c r="M76" s="885"/>
      <c r="N76" s="883"/>
      <c r="O76" s="883"/>
      <c r="P76" s="883"/>
      <c r="Q76" s="886"/>
      <c r="R76" s="886"/>
      <c r="S76" s="886"/>
      <c r="T76" s="884"/>
      <c r="U76" s="884"/>
      <c r="V76" s="887"/>
      <c r="W76" s="883"/>
      <c r="X76" s="888"/>
      <c r="Y76" s="888"/>
      <c r="Z76" s="1227"/>
      <c r="AA76" s="1227"/>
      <c r="AC76" s="883"/>
      <c r="AD76" s="883"/>
      <c r="AE76" s="883"/>
      <c r="AF76" s="883"/>
      <c r="AG76" s="883"/>
      <c r="AH76" s="884"/>
      <c r="AI76" s="883"/>
      <c r="AJ76" s="883"/>
      <c r="AK76" s="886"/>
      <c r="AL76" s="886"/>
      <c r="AM76" s="883"/>
      <c r="AN76" s="883"/>
      <c r="AO76" s="883"/>
      <c r="AP76" s="883"/>
      <c r="AQ76" s="883"/>
      <c r="AR76" s="883"/>
      <c r="AS76" s="883"/>
      <c r="AT76" s="883"/>
      <c r="AU76" s="883"/>
      <c r="AV76" s="883"/>
      <c r="AW76" s="883"/>
      <c r="AX76" s="883"/>
    </row>
    <row r="77" spans="1:50" s="917" customFormat="1" x14ac:dyDescent="0.55000000000000004">
      <c r="A77" s="883"/>
      <c r="B77" s="883"/>
      <c r="C77" s="884"/>
      <c r="D77" s="884"/>
      <c r="E77" s="884"/>
      <c r="F77" s="884"/>
      <c r="G77" s="883"/>
      <c r="H77" s="883"/>
      <c r="I77" s="883"/>
      <c r="J77" s="884"/>
      <c r="K77" s="884"/>
      <c r="L77" s="884"/>
      <c r="M77" s="885"/>
      <c r="N77" s="883"/>
      <c r="O77" s="883"/>
      <c r="P77" s="883"/>
      <c r="Q77" s="886"/>
      <c r="R77" s="886"/>
      <c r="S77" s="886"/>
      <c r="T77" s="884"/>
      <c r="U77" s="884"/>
      <c r="V77" s="887"/>
      <c r="W77" s="883"/>
      <c r="X77" s="888"/>
      <c r="Y77" s="888"/>
      <c r="Z77" s="1227"/>
      <c r="AA77" s="1227"/>
      <c r="AC77" s="883"/>
      <c r="AD77" s="883"/>
      <c r="AE77" s="883"/>
      <c r="AF77" s="883"/>
      <c r="AG77" s="883"/>
      <c r="AH77" s="884"/>
      <c r="AI77" s="883"/>
      <c r="AJ77" s="883"/>
      <c r="AK77" s="886"/>
      <c r="AL77" s="886"/>
      <c r="AM77" s="883"/>
      <c r="AN77" s="883"/>
      <c r="AO77" s="883"/>
      <c r="AP77" s="883"/>
      <c r="AQ77" s="883"/>
      <c r="AR77" s="883"/>
      <c r="AS77" s="883"/>
      <c r="AT77" s="883"/>
      <c r="AU77" s="883"/>
      <c r="AV77" s="883"/>
      <c r="AW77" s="883"/>
      <c r="AX77" s="883"/>
    </row>
    <row r="78" spans="1:50" s="917" customFormat="1" x14ac:dyDescent="0.55000000000000004">
      <c r="A78" s="883"/>
      <c r="B78" s="883"/>
      <c r="C78" s="884"/>
      <c r="D78" s="884"/>
      <c r="E78" s="884"/>
      <c r="F78" s="884"/>
      <c r="G78" s="883"/>
      <c r="H78" s="883"/>
      <c r="I78" s="883"/>
      <c r="J78" s="884"/>
      <c r="K78" s="884"/>
      <c r="L78" s="884"/>
      <c r="M78" s="885"/>
      <c r="N78" s="883"/>
      <c r="O78" s="883"/>
      <c r="P78" s="883"/>
      <c r="Q78" s="886"/>
      <c r="R78" s="886"/>
      <c r="S78" s="886"/>
      <c r="T78" s="884"/>
      <c r="U78" s="884"/>
      <c r="V78" s="887"/>
      <c r="W78" s="883"/>
      <c r="X78" s="888"/>
      <c r="Y78" s="888"/>
      <c r="Z78" s="1227"/>
      <c r="AA78" s="1227"/>
      <c r="AC78" s="883"/>
      <c r="AD78" s="883"/>
      <c r="AE78" s="883"/>
      <c r="AF78" s="883"/>
      <c r="AG78" s="883"/>
      <c r="AH78" s="884"/>
      <c r="AI78" s="883"/>
      <c r="AJ78" s="883"/>
      <c r="AK78" s="886"/>
      <c r="AL78" s="886"/>
      <c r="AM78" s="883"/>
      <c r="AN78" s="883"/>
      <c r="AO78" s="883"/>
      <c r="AP78" s="883"/>
      <c r="AQ78" s="883"/>
      <c r="AR78" s="883"/>
      <c r="AS78" s="883"/>
      <c r="AT78" s="883"/>
      <c r="AU78" s="883"/>
      <c r="AV78" s="883"/>
      <c r="AW78" s="883"/>
      <c r="AX78" s="883"/>
    </row>
    <row r="79" spans="1:50" s="917" customFormat="1" x14ac:dyDescent="0.55000000000000004">
      <c r="A79" s="883"/>
      <c r="B79" s="883"/>
      <c r="C79" s="884"/>
      <c r="D79" s="884"/>
      <c r="E79" s="884"/>
      <c r="F79" s="884"/>
      <c r="G79" s="883"/>
      <c r="H79" s="883"/>
      <c r="I79" s="883"/>
      <c r="J79" s="884"/>
      <c r="K79" s="884"/>
      <c r="L79" s="884"/>
      <c r="M79" s="885"/>
      <c r="N79" s="883"/>
      <c r="O79" s="883"/>
      <c r="P79" s="883"/>
      <c r="Q79" s="886"/>
      <c r="R79" s="886"/>
      <c r="S79" s="886"/>
      <c r="T79" s="884"/>
      <c r="U79" s="884"/>
      <c r="V79" s="887"/>
      <c r="W79" s="883"/>
      <c r="X79" s="888"/>
      <c r="Y79" s="888"/>
      <c r="Z79" s="1227"/>
      <c r="AA79" s="1227"/>
      <c r="AC79" s="883"/>
      <c r="AD79" s="883"/>
      <c r="AE79" s="883"/>
      <c r="AF79" s="883"/>
      <c r="AG79" s="883"/>
      <c r="AH79" s="884"/>
      <c r="AI79" s="883"/>
      <c r="AJ79" s="883"/>
      <c r="AK79" s="886"/>
      <c r="AL79" s="886"/>
      <c r="AM79" s="883"/>
      <c r="AN79" s="883"/>
      <c r="AO79" s="883"/>
      <c r="AP79" s="883"/>
      <c r="AQ79" s="883"/>
      <c r="AR79" s="883"/>
      <c r="AS79" s="883"/>
      <c r="AT79" s="883"/>
      <c r="AU79" s="883"/>
      <c r="AV79" s="883"/>
      <c r="AW79" s="883"/>
      <c r="AX79" s="883"/>
    </row>
    <row r="80" spans="1:50" s="917" customFormat="1" x14ac:dyDescent="0.55000000000000004">
      <c r="A80" s="883"/>
      <c r="B80" s="883"/>
      <c r="C80" s="884"/>
      <c r="D80" s="884"/>
      <c r="E80" s="884"/>
      <c r="F80" s="884"/>
      <c r="G80" s="883"/>
      <c r="H80" s="883"/>
      <c r="I80" s="883"/>
      <c r="J80" s="884"/>
      <c r="K80" s="884"/>
      <c r="L80" s="884"/>
      <c r="M80" s="885"/>
      <c r="N80" s="883"/>
      <c r="O80" s="883"/>
      <c r="P80" s="883"/>
      <c r="Q80" s="886"/>
      <c r="R80" s="886"/>
      <c r="S80" s="886"/>
      <c r="T80" s="884"/>
      <c r="U80" s="884"/>
      <c r="V80" s="887"/>
      <c r="W80" s="883"/>
      <c r="X80" s="888"/>
      <c r="Y80" s="888"/>
      <c r="Z80" s="1227"/>
      <c r="AA80" s="1227"/>
      <c r="AC80" s="883"/>
      <c r="AD80" s="883"/>
      <c r="AE80" s="883"/>
      <c r="AF80" s="883"/>
      <c r="AG80" s="883"/>
      <c r="AH80" s="884"/>
      <c r="AI80" s="883"/>
      <c r="AJ80" s="883"/>
      <c r="AK80" s="886"/>
      <c r="AL80" s="886"/>
      <c r="AM80" s="883"/>
      <c r="AN80" s="883"/>
      <c r="AO80" s="883"/>
      <c r="AP80" s="883"/>
      <c r="AQ80" s="883"/>
      <c r="AR80" s="883"/>
      <c r="AS80" s="883"/>
      <c r="AT80" s="883"/>
      <c r="AU80" s="883"/>
      <c r="AV80" s="883"/>
      <c r="AW80" s="883"/>
      <c r="AX80" s="883"/>
    </row>
    <row r="81" spans="1:50" s="917" customFormat="1" x14ac:dyDescent="0.55000000000000004">
      <c r="A81" s="883"/>
      <c r="B81" s="883"/>
      <c r="C81" s="884"/>
      <c r="D81" s="884"/>
      <c r="E81" s="884"/>
      <c r="F81" s="884"/>
      <c r="G81" s="883"/>
      <c r="H81" s="883"/>
      <c r="I81" s="883"/>
      <c r="J81" s="884"/>
      <c r="K81" s="884"/>
      <c r="L81" s="884"/>
      <c r="M81" s="885"/>
      <c r="N81" s="883"/>
      <c r="O81" s="883"/>
      <c r="P81" s="883"/>
      <c r="Q81" s="886"/>
      <c r="R81" s="886"/>
      <c r="S81" s="886"/>
      <c r="T81" s="884"/>
      <c r="U81" s="884"/>
      <c r="V81" s="887"/>
      <c r="W81" s="883"/>
      <c r="X81" s="888"/>
      <c r="Y81" s="888"/>
      <c r="Z81" s="1227"/>
      <c r="AA81" s="1227"/>
      <c r="AC81" s="883"/>
      <c r="AD81" s="883"/>
      <c r="AE81" s="883"/>
      <c r="AF81" s="883"/>
      <c r="AG81" s="883"/>
      <c r="AH81" s="884"/>
      <c r="AI81" s="883"/>
      <c r="AJ81" s="883"/>
      <c r="AK81" s="886"/>
      <c r="AL81" s="886"/>
      <c r="AM81" s="883"/>
      <c r="AN81" s="883"/>
      <c r="AO81" s="883"/>
      <c r="AP81" s="883"/>
      <c r="AQ81" s="883"/>
      <c r="AR81" s="883"/>
      <c r="AS81" s="883"/>
      <c r="AT81" s="883"/>
      <c r="AU81" s="883"/>
      <c r="AV81" s="883"/>
      <c r="AW81" s="883"/>
      <c r="AX81" s="883"/>
    </row>
    <row r="82" spans="1:50" s="917" customFormat="1" x14ac:dyDescent="0.55000000000000004">
      <c r="A82" s="883"/>
      <c r="B82" s="883"/>
      <c r="C82" s="884"/>
      <c r="D82" s="884"/>
      <c r="E82" s="884"/>
      <c r="F82" s="884"/>
      <c r="G82" s="883"/>
      <c r="H82" s="883"/>
      <c r="I82" s="883"/>
      <c r="J82" s="884"/>
      <c r="K82" s="884"/>
      <c r="L82" s="884"/>
      <c r="M82" s="885"/>
      <c r="N82" s="883"/>
      <c r="O82" s="883"/>
      <c r="P82" s="883"/>
      <c r="Q82" s="886"/>
      <c r="R82" s="886"/>
      <c r="S82" s="886"/>
      <c r="T82" s="884"/>
      <c r="U82" s="884"/>
      <c r="V82" s="887"/>
      <c r="W82" s="883"/>
      <c r="X82" s="888"/>
      <c r="Y82" s="888"/>
      <c r="Z82" s="1227"/>
      <c r="AA82" s="1227"/>
      <c r="AC82" s="883"/>
      <c r="AD82" s="883"/>
      <c r="AE82" s="883"/>
      <c r="AF82" s="883"/>
      <c r="AG82" s="883"/>
      <c r="AH82" s="884"/>
      <c r="AI82" s="883"/>
      <c r="AJ82" s="883"/>
      <c r="AK82" s="886"/>
      <c r="AL82" s="886"/>
      <c r="AM82" s="883"/>
      <c r="AN82" s="883"/>
      <c r="AO82" s="883"/>
      <c r="AP82" s="883"/>
      <c r="AQ82" s="883"/>
      <c r="AR82" s="883"/>
      <c r="AS82" s="883"/>
      <c r="AT82" s="883"/>
      <c r="AU82" s="883"/>
      <c r="AV82" s="883"/>
      <c r="AW82" s="883"/>
      <c r="AX82" s="883"/>
    </row>
    <row r="83" spans="1:50" s="917" customFormat="1" x14ac:dyDescent="0.55000000000000004">
      <c r="A83" s="883"/>
      <c r="B83" s="883"/>
      <c r="C83" s="884"/>
      <c r="D83" s="884"/>
      <c r="E83" s="884"/>
      <c r="F83" s="884"/>
      <c r="G83" s="883"/>
      <c r="H83" s="883"/>
      <c r="I83" s="883"/>
      <c r="J83" s="884"/>
      <c r="K83" s="884"/>
      <c r="L83" s="884"/>
      <c r="M83" s="885"/>
      <c r="N83" s="883"/>
      <c r="O83" s="883"/>
      <c r="P83" s="883"/>
      <c r="Q83" s="886"/>
      <c r="R83" s="886"/>
      <c r="S83" s="886"/>
      <c r="T83" s="884"/>
      <c r="U83" s="884"/>
      <c r="V83" s="887"/>
      <c r="W83" s="883"/>
      <c r="X83" s="888"/>
      <c r="Y83" s="888"/>
      <c r="Z83" s="1227"/>
      <c r="AA83" s="1227"/>
      <c r="AC83" s="883"/>
      <c r="AD83" s="883"/>
      <c r="AE83" s="883"/>
      <c r="AF83" s="883"/>
      <c r="AG83" s="883"/>
      <c r="AH83" s="884"/>
      <c r="AI83" s="883"/>
      <c r="AJ83" s="883"/>
      <c r="AK83" s="886"/>
      <c r="AL83" s="886"/>
      <c r="AM83" s="883"/>
      <c r="AN83" s="883"/>
      <c r="AO83" s="883"/>
      <c r="AP83" s="883"/>
      <c r="AQ83" s="883"/>
      <c r="AR83" s="883"/>
      <c r="AS83" s="883"/>
      <c r="AT83" s="883"/>
      <c r="AU83" s="883"/>
      <c r="AV83" s="883"/>
      <c r="AW83" s="883"/>
      <c r="AX83" s="883"/>
    </row>
    <row r="84" spans="1:50" s="917" customFormat="1" x14ac:dyDescent="0.55000000000000004">
      <c r="A84" s="883"/>
      <c r="B84" s="883"/>
      <c r="C84" s="884"/>
      <c r="D84" s="884"/>
      <c r="E84" s="884"/>
      <c r="F84" s="884"/>
      <c r="G84" s="883"/>
      <c r="H84" s="883"/>
      <c r="I84" s="883"/>
      <c r="J84" s="884"/>
      <c r="K84" s="884"/>
      <c r="L84" s="884"/>
      <c r="M84" s="885"/>
      <c r="N84" s="883"/>
      <c r="O84" s="883"/>
      <c r="P84" s="883"/>
      <c r="Q84" s="886"/>
      <c r="R84" s="886"/>
      <c r="S84" s="886"/>
      <c r="T84" s="884"/>
      <c r="U84" s="884"/>
      <c r="V84" s="887"/>
      <c r="W84" s="883"/>
      <c r="X84" s="888"/>
      <c r="Y84" s="888"/>
      <c r="Z84" s="1227"/>
      <c r="AA84" s="1227"/>
      <c r="AC84" s="883"/>
      <c r="AD84" s="883"/>
      <c r="AE84" s="883"/>
      <c r="AF84" s="883"/>
      <c r="AG84" s="883"/>
      <c r="AH84" s="884"/>
      <c r="AI84" s="883"/>
      <c r="AJ84" s="883"/>
      <c r="AK84" s="886"/>
      <c r="AL84" s="886"/>
      <c r="AM84" s="883"/>
      <c r="AN84" s="883"/>
      <c r="AO84" s="883"/>
      <c r="AP84" s="883"/>
      <c r="AQ84" s="883"/>
      <c r="AR84" s="883"/>
      <c r="AS84" s="883"/>
      <c r="AT84" s="883"/>
      <c r="AU84" s="883"/>
      <c r="AV84" s="883"/>
      <c r="AW84" s="883"/>
      <c r="AX84" s="883"/>
    </row>
    <row r="85" spans="1:50" s="917" customFormat="1" x14ac:dyDescent="0.55000000000000004">
      <c r="A85" s="883"/>
      <c r="B85" s="883"/>
      <c r="C85" s="884"/>
      <c r="D85" s="884"/>
      <c r="E85" s="884"/>
      <c r="F85" s="884"/>
      <c r="G85" s="883"/>
      <c r="H85" s="883"/>
      <c r="I85" s="883"/>
      <c r="J85" s="884"/>
      <c r="K85" s="884"/>
      <c r="L85" s="884"/>
      <c r="M85" s="885"/>
      <c r="N85" s="883"/>
      <c r="O85" s="883"/>
      <c r="P85" s="883"/>
      <c r="Q85" s="886"/>
      <c r="R85" s="886"/>
      <c r="S85" s="886"/>
      <c r="T85" s="884"/>
      <c r="U85" s="884"/>
      <c r="V85" s="887"/>
      <c r="W85" s="883"/>
      <c r="X85" s="888"/>
      <c r="Y85" s="888"/>
      <c r="Z85" s="1228"/>
      <c r="AA85" s="1228"/>
      <c r="AC85" s="883"/>
      <c r="AD85" s="883"/>
      <c r="AE85" s="883"/>
      <c r="AF85" s="883"/>
      <c r="AG85" s="883"/>
      <c r="AH85" s="884"/>
      <c r="AI85" s="883"/>
      <c r="AJ85" s="883"/>
      <c r="AK85" s="886"/>
      <c r="AL85" s="886"/>
      <c r="AM85" s="883"/>
      <c r="AN85" s="883"/>
      <c r="AO85" s="883"/>
      <c r="AP85" s="883"/>
      <c r="AQ85" s="883"/>
      <c r="AR85" s="883"/>
      <c r="AS85" s="883"/>
      <c r="AT85" s="883"/>
      <c r="AU85" s="883"/>
      <c r="AV85" s="883"/>
      <c r="AW85" s="883"/>
      <c r="AX85" s="883"/>
    </row>
    <row r="86" spans="1:50" s="917" customFormat="1" x14ac:dyDescent="0.55000000000000004">
      <c r="A86" s="883"/>
      <c r="B86" s="883"/>
      <c r="C86" s="884"/>
      <c r="D86" s="884"/>
      <c r="E86" s="884"/>
      <c r="F86" s="884"/>
      <c r="G86" s="883"/>
      <c r="H86" s="883"/>
      <c r="I86" s="883"/>
      <c r="J86" s="884"/>
      <c r="K86" s="884"/>
      <c r="L86" s="884"/>
      <c r="M86" s="885"/>
      <c r="N86" s="883"/>
      <c r="O86" s="883"/>
      <c r="P86" s="883"/>
      <c r="Q86" s="886"/>
      <c r="R86" s="886"/>
      <c r="S86" s="886"/>
      <c r="T86" s="884"/>
      <c r="U86" s="884"/>
      <c r="V86" s="887"/>
      <c r="W86" s="883"/>
      <c r="X86" s="888"/>
      <c r="Y86" s="888"/>
      <c r="Z86" s="1227"/>
      <c r="AA86" s="1227"/>
      <c r="AC86" s="883"/>
      <c r="AD86" s="883"/>
      <c r="AE86" s="883"/>
      <c r="AF86" s="883"/>
      <c r="AG86" s="883"/>
      <c r="AH86" s="884"/>
      <c r="AI86" s="883"/>
      <c r="AJ86" s="883"/>
      <c r="AK86" s="886"/>
      <c r="AL86" s="886"/>
      <c r="AM86" s="883"/>
      <c r="AN86" s="883"/>
      <c r="AO86" s="883"/>
      <c r="AP86" s="883"/>
      <c r="AQ86" s="883"/>
      <c r="AR86" s="883"/>
      <c r="AS86" s="883"/>
      <c r="AT86" s="883"/>
      <c r="AU86" s="883"/>
      <c r="AV86" s="883"/>
      <c r="AW86" s="883"/>
      <c r="AX86" s="883"/>
    </row>
    <row r="87" spans="1:50" s="917" customFormat="1" x14ac:dyDescent="0.55000000000000004">
      <c r="A87" s="883"/>
      <c r="B87" s="883"/>
      <c r="C87" s="884"/>
      <c r="D87" s="884"/>
      <c r="E87" s="884"/>
      <c r="F87" s="884"/>
      <c r="G87" s="883"/>
      <c r="H87" s="883"/>
      <c r="I87" s="883"/>
      <c r="J87" s="884"/>
      <c r="K87" s="884"/>
      <c r="L87" s="884"/>
      <c r="M87" s="885"/>
      <c r="N87" s="883"/>
      <c r="O87" s="883"/>
      <c r="P87" s="883"/>
      <c r="Q87" s="886"/>
      <c r="R87" s="886"/>
      <c r="S87" s="886"/>
      <c r="T87" s="884"/>
      <c r="U87" s="884"/>
      <c r="V87" s="887"/>
      <c r="W87" s="883"/>
      <c r="X87" s="888"/>
      <c r="Y87" s="888"/>
      <c r="Z87" s="1227"/>
      <c r="AA87" s="1227"/>
      <c r="AC87" s="883"/>
      <c r="AD87" s="883"/>
      <c r="AE87" s="883"/>
      <c r="AF87" s="883"/>
      <c r="AG87" s="883"/>
      <c r="AH87" s="884"/>
      <c r="AI87" s="883"/>
      <c r="AJ87" s="883"/>
      <c r="AK87" s="886"/>
      <c r="AL87" s="886"/>
      <c r="AM87" s="883"/>
      <c r="AN87" s="883"/>
      <c r="AO87" s="883"/>
      <c r="AP87" s="883"/>
      <c r="AQ87" s="883"/>
      <c r="AR87" s="883"/>
      <c r="AS87" s="883"/>
      <c r="AT87" s="883"/>
      <c r="AU87" s="883"/>
      <c r="AV87" s="883"/>
      <c r="AW87" s="883"/>
      <c r="AX87" s="883"/>
    </row>
    <row r="88" spans="1:50" s="917" customFormat="1" x14ac:dyDescent="0.55000000000000004">
      <c r="A88" s="883"/>
      <c r="B88" s="883"/>
      <c r="C88" s="884"/>
      <c r="D88" s="884"/>
      <c r="E88" s="884"/>
      <c r="F88" s="884"/>
      <c r="G88" s="883"/>
      <c r="H88" s="883"/>
      <c r="I88" s="883"/>
      <c r="J88" s="884"/>
      <c r="K88" s="884"/>
      <c r="L88" s="884"/>
      <c r="M88" s="885"/>
      <c r="N88" s="883"/>
      <c r="O88" s="883"/>
      <c r="P88" s="883"/>
      <c r="Q88" s="886"/>
      <c r="R88" s="886"/>
      <c r="S88" s="886"/>
      <c r="T88" s="884"/>
      <c r="U88" s="884"/>
      <c r="V88" s="887"/>
      <c r="W88" s="883"/>
      <c r="X88" s="888"/>
      <c r="Y88" s="888"/>
      <c r="Z88" s="1227"/>
      <c r="AA88" s="1227"/>
      <c r="AC88" s="883"/>
      <c r="AD88" s="883"/>
      <c r="AE88" s="883"/>
      <c r="AF88" s="883"/>
      <c r="AG88" s="883"/>
      <c r="AH88" s="884"/>
      <c r="AI88" s="883"/>
      <c r="AJ88" s="883"/>
      <c r="AK88" s="886"/>
      <c r="AL88" s="886"/>
      <c r="AM88" s="883"/>
      <c r="AN88" s="883"/>
      <c r="AO88" s="883"/>
      <c r="AP88" s="883"/>
      <c r="AQ88" s="883"/>
      <c r="AR88" s="883"/>
      <c r="AS88" s="883"/>
      <c r="AT88" s="883"/>
      <c r="AU88" s="883"/>
      <c r="AV88" s="883"/>
      <c r="AW88" s="883"/>
      <c r="AX88" s="883"/>
    </row>
    <row r="89" spans="1:50" s="917" customFormat="1" x14ac:dyDescent="0.55000000000000004">
      <c r="A89" s="883"/>
      <c r="B89" s="883"/>
      <c r="C89" s="884"/>
      <c r="D89" s="884"/>
      <c r="E89" s="884"/>
      <c r="F89" s="884"/>
      <c r="G89" s="883"/>
      <c r="H89" s="883"/>
      <c r="I89" s="883"/>
      <c r="J89" s="884"/>
      <c r="K89" s="884"/>
      <c r="L89" s="884"/>
      <c r="M89" s="885"/>
      <c r="N89" s="883"/>
      <c r="O89" s="883"/>
      <c r="P89" s="883"/>
      <c r="Q89" s="886"/>
      <c r="R89" s="886"/>
      <c r="S89" s="886"/>
      <c r="T89" s="884"/>
      <c r="U89" s="884"/>
      <c r="V89" s="887"/>
      <c r="W89" s="883"/>
      <c r="X89" s="888"/>
      <c r="Y89" s="888"/>
      <c r="Z89" s="1228"/>
      <c r="AA89" s="1228"/>
      <c r="AC89" s="883"/>
      <c r="AD89" s="883"/>
      <c r="AE89" s="883"/>
      <c r="AF89" s="883"/>
      <c r="AG89" s="883"/>
      <c r="AH89" s="884"/>
      <c r="AI89" s="883"/>
      <c r="AJ89" s="883"/>
      <c r="AK89" s="886"/>
      <c r="AL89" s="886"/>
      <c r="AM89" s="883"/>
      <c r="AN89" s="883"/>
      <c r="AO89" s="883"/>
      <c r="AP89" s="883"/>
      <c r="AQ89" s="883"/>
      <c r="AR89" s="883"/>
      <c r="AS89" s="883"/>
      <c r="AT89" s="883"/>
      <c r="AU89" s="883"/>
      <c r="AV89" s="883"/>
      <c r="AW89" s="883"/>
      <c r="AX89" s="883"/>
    </row>
    <row r="90" spans="1:50" s="917" customFormat="1" x14ac:dyDescent="0.55000000000000004">
      <c r="A90" s="883"/>
      <c r="B90" s="883"/>
      <c r="C90" s="884"/>
      <c r="D90" s="884"/>
      <c r="E90" s="884"/>
      <c r="F90" s="884"/>
      <c r="G90" s="883"/>
      <c r="H90" s="883"/>
      <c r="I90" s="883"/>
      <c r="J90" s="884"/>
      <c r="K90" s="884"/>
      <c r="L90" s="884"/>
      <c r="M90" s="885"/>
      <c r="N90" s="883"/>
      <c r="O90" s="883"/>
      <c r="P90" s="883"/>
      <c r="Q90" s="886"/>
      <c r="R90" s="886"/>
      <c r="S90" s="886"/>
      <c r="T90" s="884"/>
      <c r="U90" s="884"/>
      <c r="V90" s="887"/>
      <c r="W90" s="883"/>
      <c r="X90" s="888"/>
      <c r="Y90" s="888"/>
      <c r="Z90" s="1227"/>
      <c r="AA90" s="1227"/>
      <c r="AC90" s="883"/>
      <c r="AD90" s="883"/>
      <c r="AE90" s="883"/>
      <c r="AF90" s="883"/>
      <c r="AG90" s="883"/>
      <c r="AH90" s="884"/>
      <c r="AI90" s="883"/>
      <c r="AJ90" s="883"/>
      <c r="AK90" s="886"/>
      <c r="AL90" s="886"/>
      <c r="AM90" s="883"/>
      <c r="AN90" s="883"/>
      <c r="AO90" s="883"/>
      <c r="AP90" s="883"/>
      <c r="AQ90" s="883"/>
      <c r="AR90" s="883"/>
      <c r="AS90" s="883"/>
      <c r="AT90" s="883"/>
      <c r="AU90" s="883"/>
      <c r="AV90" s="883"/>
      <c r="AW90" s="883"/>
      <c r="AX90" s="883"/>
    </row>
    <row r="91" spans="1:50" s="917" customFormat="1" x14ac:dyDescent="0.55000000000000004">
      <c r="A91" s="883"/>
      <c r="B91" s="883"/>
      <c r="C91" s="884"/>
      <c r="D91" s="884"/>
      <c r="E91" s="884"/>
      <c r="F91" s="884"/>
      <c r="G91" s="883"/>
      <c r="H91" s="883"/>
      <c r="I91" s="883"/>
      <c r="J91" s="884"/>
      <c r="K91" s="884"/>
      <c r="L91" s="884"/>
      <c r="M91" s="885"/>
      <c r="N91" s="883"/>
      <c r="O91" s="883"/>
      <c r="P91" s="883"/>
      <c r="Q91" s="886"/>
      <c r="R91" s="886"/>
      <c r="S91" s="886"/>
      <c r="T91" s="884"/>
      <c r="U91" s="884"/>
      <c r="V91" s="887"/>
      <c r="W91" s="883"/>
      <c r="X91" s="888"/>
      <c r="Y91" s="888"/>
      <c r="Z91" s="1227"/>
      <c r="AA91" s="1227"/>
      <c r="AC91" s="883"/>
      <c r="AD91" s="883"/>
      <c r="AE91" s="883"/>
      <c r="AF91" s="883"/>
      <c r="AG91" s="883"/>
      <c r="AH91" s="884"/>
      <c r="AI91" s="883"/>
      <c r="AJ91" s="883"/>
      <c r="AK91" s="886"/>
      <c r="AL91" s="886"/>
      <c r="AM91" s="883"/>
      <c r="AN91" s="883"/>
      <c r="AO91" s="883"/>
      <c r="AP91" s="883"/>
      <c r="AQ91" s="883"/>
      <c r="AR91" s="883"/>
      <c r="AS91" s="883"/>
      <c r="AT91" s="883"/>
      <c r="AU91" s="883"/>
      <c r="AV91" s="883"/>
      <c r="AW91" s="883"/>
      <c r="AX91" s="883"/>
    </row>
    <row r="92" spans="1:50" s="917" customFormat="1" x14ac:dyDescent="0.55000000000000004">
      <c r="A92" s="883"/>
      <c r="B92" s="883"/>
      <c r="C92" s="884"/>
      <c r="D92" s="884"/>
      <c r="E92" s="884"/>
      <c r="F92" s="884"/>
      <c r="G92" s="883"/>
      <c r="H92" s="883"/>
      <c r="I92" s="883"/>
      <c r="J92" s="884"/>
      <c r="K92" s="884"/>
      <c r="L92" s="884"/>
      <c r="M92" s="885"/>
      <c r="N92" s="883"/>
      <c r="O92" s="883"/>
      <c r="P92" s="883"/>
      <c r="Q92" s="886"/>
      <c r="R92" s="886"/>
      <c r="S92" s="886"/>
      <c r="T92" s="884"/>
      <c r="U92" s="884"/>
      <c r="V92" s="887"/>
      <c r="W92" s="883"/>
      <c r="X92" s="888"/>
      <c r="Y92" s="888"/>
      <c r="Z92" s="1227"/>
      <c r="AA92" s="1227"/>
      <c r="AC92" s="883"/>
      <c r="AD92" s="883"/>
      <c r="AE92" s="883"/>
      <c r="AF92" s="883"/>
      <c r="AG92" s="883"/>
      <c r="AH92" s="884"/>
      <c r="AI92" s="883"/>
      <c r="AJ92" s="883"/>
      <c r="AK92" s="886"/>
      <c r="AL92" s="886"/>
      <c r="AM92" s="883"/>
      <c r="AN92" s="883"/>
      <c r="AO92" s="883"/>
      <c r="AP92" s="883"/>
      <c r="AQ92" s="883"/>
      <c r="AR92" s="883"/>
      <c r="AS92" s="883"/>
      <c r="AT92" s="883"/>
      <c r="AU92" s="883"/>
      <c r="AV92" s="883"/>
      <c r="AW92" s="883"/>
      <c r="AX92" s="883"/>
    </row>
    <row r="93" spans="1:50" s="917" customFormat="1" x14ac:dyDescent="0.55000000000000004">
      <c r="A93" s="883"/>
      <c r="B93" s="883"/>
      <c r="C93" s="884"/>
      <c r="D93" s="884"/>
      <c r="E93" s="884"/>
      <c r="F93" s="884"/>
      <c r="G93" s="883"/>
      <c r="H93" s="883"/>
      <c r="I93" s="883"/>
      <c r="J93" s="884"/>
      <c r="K93" s="884"/>
      <c r="L93" s="884"/>
      <c r="M93" s="885"/>
      <c r="N93" s="883"/>
      <c r="O93" s="883"/>
      <c r="P93" s="883"/>
      <c r="Q93" s="886"/>
      <c r="R93" s="886"/>
      <c r="S93" s="886"/>
      <c r="T93" s="884"/>
      <c r="U93" s="884"/>
      <c r="V93" s="887"/>
      <c r="W93" s="883"/>
      <c r="X93" s="888"/>
      <c r="Y93" s="888"/>
      <c r="Z93" s="1227"/>
      <c r="AA93" s="1227"/>
      <c r="AC93" s="883"/>
      <c r="AD93" s="883"/>
      <c r="AE93" s="883"/>
      <c r="AF93" s="883"/>
      <c r="AG93" s="883"/>
      <c r="AH93" s="884"/>
      <c r="AI93" s="883"/>
      <c r="AJ93" s="883"/>
      <c r="AK93" s="886"/>
      <c r="AL93" s="886"/>
      <c r="AM93" s="883"/>
      <c r="AN93" s="883"/>
      <c r="AO93" s="883"/>
      <c r="AP93" s="883"/>
      <c r="AQ93" s="883"/>
      <c r="AR93" s="883"/>
      <c r="AS93" s="883"/>
      <c r="AT93" s="883"/>
      <c r="AU93" s="883"/>
      <c r="AV93" s="883"/>
      <c r="AW93" s="883"/>
      <c r="AX93" s="883"/>
    </row>
    <row r="94" spans="1:50" s="917" customFormat="1" x14ac:dyDescent="0.55000000000000004">
      <c r="A94" s="883"/>
      <c r="B94" s="883"/>
      <c r="C94" s="884"/>
      <c r="D94" s="884"/>
      <c r="E94" s="884"/>
      <c r="F94" s="884"/>
      <c r="G94" s="883"/>
      <c r="H94" s="883"/>
      <c r="I94" s="883"/>
      <c r="J94" s="884"/>
      <c r="K94" s="884"/>
      <c r="L94" s="884"/>
      <c r="M94" s="885"/>
      <c r="N94" s="883"/>
      <c r="O94" s="883"/>
      <c r="P94" s="883"/>
      <c r="Q94" s="886"/>
      <c r="R94" s="886"/>
      <c r="S94" s="886"/>
      <c r="T94" s="884"/>
      <c r="U94" s="884"/>
      <c r="V94" s="887"/>
      <c r="W94" s="883"/>
      <c r="X94" s="888"/>
      <c r="Y94" s="888"/>
      <c r="Z94" s="1227"/>
      <c r="AA94" s="1227"/>
      <c r="AC94" s="883"/>
      <c r="AD94" s="883"/>
      <c r="AE94" s="883"/>
      <c r="AF94" s="883"/>
      <c r="AG94" s="883"/>
      <c r="AH94" s="884"/>
      <c r="AI94" s="883"/>
      <c r="AJ94" s="883"/>
      <c r="AK94" s="886"/>
      <c r="AL94" s="886"/>
      <c r="AM94" s="883"/>
      <c r="AN94" s="883"/>
      <c r="AO94" s="883"/>
      <c r="AP94" s="883"/>
      <c r="AQ94" s="883"/>
      <c r="AR94" s="883"/>
      <c r="AS94" s="883"/>
      <c r="AT94" s="883"/>
      <c r="AU94" s="883"/>
      <c r="AV94" s="883"/>
      <c r="AW94" s="883"/>
      <c r="AX94" s="883"/>
    </row>
    <row r="95" spans="1:50" s="917" customFormat="1" x14ac:dyDescent="0.55000000000000004">
      <c r="A95" s="883"/>
      <c r="B95" s="883"/>
      <c r="C95" s="884"/>
      <c r="D95" s="884"/>
      <c r="E95" s="884"/>
      <c r="F95" s="884"/>
      <c r="G95" s="883"/>
      <c r="H95" s="883"/>
      <c r="I95" s="883"/>
      <c r="J95" s="884"/>
      <c r="K95" s="884"/>
      <c r="L95" s="884"/>
      <c r="M95" s="885"/>
      <c r="N95" s="883"/>
      <c r="O95" s="883"/>
      <c r="P95" s="883"/>
      <c r="Q95" s="886"/>
      <c r="R95" s="886"/>
      <c r="S95" s="886"/>
      <c r="T95" s="884"/>
      <c r="U95" s="884"/>
      <c r="V95" s="887"/>
      <c r="W95" s="883"/>
      <c r="X95" s="888"/>
      <c r="Y95" s="888"/>
      <c r="Z95" s="1227"/>
      <c r="AA95" s="1227"/>
      <c r="AC95" s="883"/>
      <c r="AD95" s="883"/>
      <c r="AE95" s="883"/>
      <c r="AF95" s="883"/>
      <c r="AG95" s="883"/>
      <c r="AH95" s="884"/>
      <c r="AI95" s="883"/>
      <c r="AJ95" s="883"/>
      <c r="AK95" s="886"/>
      <c r="AL95" s="886"/>
      <c r="AM95" s="883"/>
      <c r="AN95" s="883"/>
      <c r="AO95" s="883"/>
      <c r="AP95" s="883"/>
      <c r="AQ95" s="883"/>
      <c r="AR95" s="883"/>
      <c r="AS95" s="883"/>
      <c r="AT95" s="883"/>
      <c r="AU95" s="883"/>
      <c r="AV95" s="883"/>
      <c r="AW95" s="883"/>
      <c r="AX95" s="883"/>
    </row>
    <row r="96" spans="1:50" s="917" customFormat="1" x14ac:dyDescent="0.55000000000000004">
      <c r="A96" s="883"/>
      <c r="B96" s="883"/>
      <c r="C96" s="884"/>
      <c r="D96" s="884"/>
      <c r="E96" s="884"/>
      <c r="F96" s="884"/>
      <c r="G96" s="883"/>
      <c r="H96" s="883"/>
      <c r="I96" s="883"/>
      <c r="J96" s="884"/>
      <c r="K96" s="884"/>
      <c r="L96" s="884"/>
      <c r="M96" s="885"/>
      <c r="N96" s="883"/>
      <c r="O96" s="883"/>
      <c r="P96" s="883"/>
      <c r="Q96" s="886"/>
      <c r="R96" s="886"/>
      <c r="S96" s="886"/>
      <c r="T96" s="884"/>
      <c r="U96" s="884"/>
      <c r="V96" s="887"/>
      <c r="W96" s="883"/>
      <c r="X96" s="888"/>
      <c r="Y96" s="888"/>
      <c r="Z96" s="1227"/>
      <c r="AA96" s="1227"/>
      <c r="AC96" s="883"/>
      <c r="AD96" s="883"/>
      <c r="AE96" s="883"/>
      <c r="AF96" s="883"/>
      <c r="AG96" s="883"/>
      <c r="AH96" s="884"/>
      <c r="AI96" s="883"/>
      <c r="AJ96" s="883"/>
      <c r="AK96" s="886"/>
      <c r="AL96" s="886"/>
      <c r="AM96" s="883"/>
      <c r="AN96" s="883"/>
      <c r="AO96" s="883"/>
      <c r="AP96" s="883"/>
      <c r="AQ96" s="883"/>
      <c r="AR96" s="883"/>
      <c r="AS96" s="883"/>
      <c r="AT96" s="883"/>
      <c r="AU96" s="883"/>
      <c r="AV96" s="883"/>
      <c r="AW96" s="883"/>
      <c r="AX96" s="883"/>
    </row>
    <row r="97" spans="1:50" s="917" customFormat="1" x14ac:dyDescent="0.55000000000000004">
      <c r="A97" s="883"/>
      <c r="B97" s="883"/>
      <c r="C97" s="884"/>
      <c r="D97" s="884"/>
      <c r="E97" s="884"/>
      <c r="F97" s="884"/>
      <c r="G97" s="883"/>
      <c r="H97" s="883"/>
      <c r="I97" s="883"/>
      <c r="J97" s="884"/>
      <c r="K97" s="884"/>
      <c r="L97" s="884"/>
      <c r="M97" s="885"/>
      <c r="N97" s="883"/>
      <c r="O97" s="883"/>
      <c r="P97" s="883"/>
      <c r="Q97" s="886"/>
      <c r="R97" s="886"/>
      <c r="S97" s="886"/>
      <c r="T97" s="884"/>
      <c r="U97" s="884"/>
      <c r="V97" s="887"/>
      <c r="W97" s="883"/>
      <c r="X97" s="888"/>
      <c r="Y97" s="888"/>
      <c r="Z97" s="1227"/>
      <c r="AA97" s="1227"/>
      <c r="AC97" s="883"/>
      <c r="AD97" s="883"/>
      <c r="AE97" s="883"/>
      <c r="AF97" s="883"/>
      <c r="AG97" s="883"/>
      <c r="AH97" s="884"/>
      <c r="AI97" s="883"/>
      <c r="AJ97" s="883"/>
      <c r="AK97" s="886"/>
      <c r="AL97" s="886"/>
      <c r="AM97" s="883"/>
      <c r="AN97" s="883"/>
      <c r="AO97" s="883"/>
      <c r="AP97" s="883"/>
      <c r="AQ97" s="883"/>
      <c r="AR97" s="883"/>
      <c r="AS97" s="883"/>
      <c r="AT97" s="883"/>
      <c r="AU97" s="883"/>
      <c r="AV97" s="883"/>
      <c r="AW97" s="883"/>
      <c r="AX97" s="883"/>
    </row>
    <row r="98" spans="1:50" s="917" customFormat="1" x14ac:dyDescent="0.55000000000000004">
      <c r="A98" s="883"/>
      <c r="B98" s="883"/>
      <c r="C98" s="884"/>
      <c r="D98" s="884"/>
      <c r="E98" s="884"/>
      <c r="F98" s="884"/>
      <c r="G98" s="883"/>
      <c r="H98" s="883"/>
      <c r="I98" s="883"/>
      <c r="J98" s="884"/>
      <c r="K98" s="884"/>
      <c r="L98" s="884"/>
      <c r="M98" s="885"/>
      <c r="N98" s="883"/>
      <c r="O98" s="883"/>
      <c r="P98" s="883"/>
      <c r="Q98" s="886"/>
      <c r="R98" s="886"/>
      <c r="S98" s="886"/>
      <c r="T98" s="884"/>
      <c r="U98" s="884"/>
      <c r="V98" s="887"/>
      <c r="W98" s="883"/>
      <c r="X98" s="888"/>
      <c r="Y98" s="888"/>
      <c r="Z98" s="1227"/>
      <c r="AA98" s="1227"/>
      <c r="AC98" s="883"/>
      <c r="AD98" s="883"/>
      <c r="AE98" s="883"/>
      <c r="AF98" s="883"/>
      <c r="AG98" s="883"/>
      <c r="AH98" s="884"/>
      <c r="AI98" s="883"/>
      <c r="AJ98" s="883"/>
      <c r="AK98" s="886"/>
      <c r="AL98" s="886"/>
      <c r="AM98" s="883"/>
      <c r="AN98" s="883"/>
      <c r="AO98" s="883"/>
      <c r="AP98" s="883"/>
      <c r="AQ98" s="883"/>
      <c r="AR98" s="883"/>
      <c r="AS98" s="883"/>
      <c r="AT98" s="883"/>
      <c r="AU98" s="883"/>
      <c r="AV98" s="883"/>
      <c r="AW98" s="883"/>
      <c r="AX98" s="883"/>
    </row>
    <row r="99" spans="1:50" s="917" customFormat="1" x14ac:dyDescent="0.55000000000000004">
      <c r="A99" s="883"/>
      <c r="B99" s="883"/>
      <c r="C99" s="884"/>
      <c r="D99" s="884"/>
      <c r="E99" s="884"/>
      <c r="F99" s="884"/>
      <c r="G99" s="883"/>
      <c r="H99" s="883"/>
      <c r="I99" s="883"/>
      <c r="J99" s="884"/>
      <c r="K99" s="884"/>
      <c r="L99" s="884"/>
      <c r="M99" s="885"/>
      <c r="N99" s="883"/>
      <c r="O99" s="883"/>
      <c r="P99" s="883"/>
      <c r="Q99" s="886"/>
      <c r="R99" s="886"/>
      <c r="S99" s="886"/>
      <c r="T99" s="884"/>
      <c r="U99" s="884"/>
      <c r="V99" s="887"/>
      <c r="W99" s="883"/>
      <c r="X99" s="888"/>
      <c r="Y99" s="888"/>
      <c r="Z99" s="1227"/>
      <c r="AA99" s="1227"/>
      <c r="AC99" s="883"/>
      <c r="AD99" s="883"/>
      <c r="AE99" s="883"/>
      <c r="AF99" s="883"/>
      <c r="AG99" s="883"/>
      <c r="AH99" s="884"/>
      <c r="AI99" s="883"/>
      <c r="AJ99" s="883"/>
      <c r="AK99" s="886"/>
      <c r="AL99" s="886"/>
      <c r="AM99" s="883"/>
      <c r="AN99" s="883"/>
      <c r="AO99" s="883"/>
      <c r="AP99" s="883"/>
      <c r="AQ99" s="883"/>
      <c r="AR99" s="883"/>
      <c r="AS99" s="883"/>
      <c r="AT99" s="883"/>
      <c r="AU99" s="883"/>
      <c r="AV99" s="883"/>
      <c r="AW99" s="883"/>
      <c r="AX99" s="883"/>
    </row>
    <row r="100" spans="1:50" s="917" customFormat="1" x14ac:dyDescent="0.55000000000000004">
      <c r="A100" s="883"/>
      <c r="B100" s="883"/>
      <c r="C100" s="884"/>
      <c r="D100" s="884"/>
      <c r="E100" s="884"/>
      <c r="F100" s="884"/>
      <c r="G100" s="883"/>
      <c r="H100" s="883"/>
      <c r="I100" s="883"/>
      <c r="J100" s="884"/>
      <c r="K100" s="884"/>
      <c r="L100" s="884"/>
      <c r="M100" s="885"/>
      <c r="N100" s="883"/>
      <c r="O100" s="883"/>
      <c r="P100" s="883"/>
      <c r="Q100" s="886"/>
      <c r="R100" s="886"/>
      <c r="S100" s="886"/>
      <c r="T100" s="884"/>
      <c r="U100" s="884"/>
      <c r="V100" s="887"/>
      <c r="W100" s="883"/>
      <c r="X100" s="888"/>
      <c r="Y100" s="888"/>
      <c r="Z100" s="1227"/>
      <c r="AA100" s="1227"/>
      <c r="AC100" s="883"/>
      <c r="AD100" s="883"/>
      <c r="AE100" s="883"/>
      <c r="AF100" s="883"/>
      <c r="AG100" s="883"/>
      <c r="AH100" s="884"/>
      <c r="AI100" s="883"/>
      <c r="AJ100" s="883"/>
      <c r="AK100" s="886"/>
      <c r="AL100" s="886"/>
      <c r="AM100" s="883"/>
      <c r="AN100" s="883"/>
      <c r="AO100" s="883"/>
      <c r="AP100" s="883"/>
      <c r="AQ100" s="883"/>
      <c r="AR100" s="883"/>
      <c r="AS100" s="883"/>
      <c r="AT100" s="883"/>
      <c r="AU100" s="883"/>
      <c r="AV100" s="883"/>
      <c r="AW100" s="883"/>
      <c r="AX100" s="883"/>
    </row>
    <row r="101" spans="1:50" s="917" customFormat="1" x14ac:dyDescent="0.55000000000000004">
      <c r="A101" s="883"/>
      <c r="B101" s="883"/>
      <c r="C101" s="884"/>
      <c r="D101" s="884"/>
      <c r="E101" s="884"/>
      <c r="F101" s="884"/>
      <c r="G101" s="883"/>
      <c r="H101" s="883"/>
      <c r="I101" s="883"/>
      <c r="J101" s="884"/>
      <c r="K101" s="884"/>
      <c r="L101" s="884"/>
      <c r="M101" s="885"/>
      <c r="N101" s="883"/>
      <c r="O101" s="883"/>
      <c r="P101" s="883"/>
      <c r="Q101" s="886"/>
      <c r="R101" s="886"/>
      <c r="S101" s="886"/>
      <c r="T101" s="884"/>
      <c r="U101" s="884"/>
      <c r="V101" s="887"/>
      <c r="W101" s="883"/>
      <c r="X101" s="888"/>
      <c r="Y101" s="888"/>
      <c r="Z101" s="1227"/>
      <c r="AA101" s="1227"/>
      <c r="AC101" s="883"/>
      <c r="AD101" s="883"/>
      <c r="AE101" s="883"/>
      <c r="AF101" s="883"/>
      <c r="AG101" s="883"/>
      <c r="AH101" s="884"/>
      <c r="AI101" s="883"/>
      <c r="AJ101" s="883"/>
      <c r="AK101" s="886"/>
      <c r="AL101" s="886"/>
      <c r="AM101" s="883"/>
      <c r="AN101" s="883"/>
      <c r="AO101" s="883"/>
      <c r="AP101" s="883"/>
      <c r="AQ101" s="883"/>
      <c r="AR101" s="883"/>
      <c r="AS101" s="883"/>
      <c r="AT101" s="883"/>
      <c r="AU101" s="883"/>
      <c r="AV101" s="883"/>
      <c r="AW101" s="883"/>
      <c r="AX101" s="883"/>
    </row>
    <row r="102" spans="1:50" s="917" customFormat="1" x14ac:dyDescent="0.55000000000000004">
      <c r="A102" s="883"/>
      <c r="B102" s="883"/>
      <c r="C102" s="884"/>
      <c r="D102" s="884"/>
      <c r="E102" s="884"/>
      <c r="F102" s="884"/>
      <c r="G102" s="883"/>
      <c r="H102" s="883"/>
      <c r="I102" s="883"/>
      <c r="J102" s="884"/>
      <c r="K102" s="884"/>
      <c r="L102" s="884"/>
      <c r="M102" s="885"/>
      <c r="N102" s="883"/>
      <c r="O102" s="883"/>
      <c r="P102" s="883"/>
      <c r="Q102" s="886"/>
      <c r="R102" s="886"/>
      <c r="S102" s="886"/>
      <c r="T102" s="884"/>
      <c r="U102" s="884"/>
      <c r="V102" s="887"/>
      <c r="W102" s="883"/>
      <c r="X102" s="888"/>
      <c r="Y102" s="888"/>
      <c r="Z102" s="1227"/>
      <c r="AA102" s="1227"/>
      <c r="AC102" s="883"/>
      <c r="AD102" s="883"/>
      <c r="AE102" s="883"/>
      <c r="AF102" s="883"/>
      <c r="AG102" s="883"/>
      <c r="AH102" s="884"/>
      <c r="AI102" s="883"/>
      <c r="AJ102" s="883"/>
      <c r="AK102" s="886"/>
      <c r="AL102" s="886"/>
      <c r="AM102" s="883"/>
      <c r="AN102" s="883"/>
      <c r="AO102" s="883"/>
      <c r="AP102" s="883"/>
      <c r="AQ102" s="883"/>
      <c r="AR102" s="883"/>
      <c r="AS102" s="883"/>
      <c r="AT102" s="883"/>
      <c r="AU102" s="883"/>
      <c r="AV102" s="883"/>
      <c r="AW102" s="883"/>
      <c r="AX102" s="883"/>
    </row>
    <row r="103" spans="1:50" s="917" customFormat="1" x14ac:dyDescent="0.55000000000000004">
      <c r="A103" s="883"/>
      <c r="B103" s="883"/>
      <c r="C103" s="884"/>
      <c r="D103" s="884"/>
      <c r="E103" s="884"/>
      <c r="F103" s="884"/>
      <c r="G103" s="883"/>
      <c r="H103" s="883"/>
      <c r="I103" s="883"/>
      <c r="J103" s="884"/>
      <c r="K103" s="884"/>
      <c r="L103" s="884"/>
      <c r="M103" s="885"/>
      <c r="N103" s="883"/>
      <c r="O103" s="883"/>
      <c r="P103" s="883"/>
      <c r="Q103" s="886"/>
      <c r="R103" s="886"/>
      <c r="S103" s="886"/>
      <c r="T103" s="884"/>
      <c r="U103" s="884"/>
      <c r="V103" s="887"/>
      <c r="W103" s="883"/>
      <c r="X103" s="888"/>
      <c r="Y103" s="888"/>
      <c r="Z103" s="1227"/>
      <c r="AA103" s="1227"/>
      <c r="AC103" s="883"/>
      <c r="AD103" s="883"/>
      <c r="AE103" s="883"/>
      <c r="AF103" s="883"/>
      <c r="AG103" s="883"/>
      <c r="AH103" s="884"/>
      <c r="AI103" s="883"/>
      <c r="AJ103" s="883"/>
      <c r="AK103" s="886"/>
      <c r="AL103" s="886"/>
      <c r="AM103" s="883"/>
      <c r="AN103" s="883"/>
      <c r="AO103" s="883"/>
      <c r="AP103" s="883"/>
      <c r="AQ103" s="883"/>
      <c r="AR103" s="883"/>
      <c r="AS103" s="883"/>
      <c r="AT103" s="883"/>
      <c r="AU103" s="883"/>
      <c r="AV103" s="883"/>
      <c r="AW103" s="883"/>
      <c r="AX103" s="883"/>
    </row>
    <row r="104" spans="1:50" s="917" customFormat="1" x14ac:dyDescent="0.55000000000000004">
      <c r="A104" s="883"/>
      <c r="B104" s="883"/>
      <c r="C104" s="884"/>
      <c r="D104" s="884"/>
      <c r="E104" s="884"/>
      <c r="F104" s="884"/>
      <c r="G104" s="883"/>
      <c r="H104" s="883"/>
      <c r="I104" s="883"/>
      <c r="J104" s="884"/>
      <c r="K104" s="884"/>
      <c r="L104" s="884"/>
      <c r="M104" s="885"/>
      <c r="N104" s="883"/>
      <c r="O104" s="883"/>
      <c r="P104" s="883"/>
      <c r="Q104" s="886"/>
      <c r="R104" s="886"/>
      <c r="S104" s="886"/>
      <c r="T104" s="884"/>
      <c r="U104" s="884"/>
      <c r="V104" s="887"/>
      <c r="W104" s="883"/>
      <c r="X104" s="888"/>
      <c r="Y104" s="888"/>
      <c r="Z104" s="1228"/>
      <c r="AA104" s="1228"/>
      <c r="AC104" s="883"/>
      <c r="AD104" s="883"/>
      <c r="AE104" s="883"/>
      <c r="AF104" s="883"/>
      <c r="AG104" s="883"/>
      <c r="AH104" s="884"/>
      <c r="AI104" s="883"/>
      <c r="AJ104" s="883"/>
      <c r="AK104" s="886"/>
      <c r="AL104" s="886"/>
      <c r="AM104" s="883"/>
      <c r="AN104" s="883"/>
      <c r="AO104" s="883"/>
      <c r="AP104" s="883"/>
      <c r="AQ104" s="883"/>
      <c r="AR104" s="883"/>
      <c r="AS104" s="883"/>
      <c r="AT104" s="883"/>
      <c r="AU104" s="883"/>
      <c r="AV104" s="883"/>
      <c r="AW104" s="883"/>
      <c r="AX104" s="883"/>
    </row>
    <row r="105" spans="1:50" s="917" customFormat="1" x14ac:dyDescent="0.55000000000000004">
      <c r="A105" s="883"/>
      <c r="B105" s="883"/>
      <c r="C105" s="884"/>
      <c r="D105" s="884"/>
      <c r="E105" s="884"/>
      <c r="F105" s="884"/>
      <c r="G105" s="883"/>
      <c r="H105" s="883"/>
      <c r="I105" s="883"/>
      <c r="J105" s="884"/>
      <c r="K105" s="884"/>
      <c r="L105" s="884"/>
      <c r="M105" s="885"/>
      <c r="N105" s="883"/>
      <c r="O105" s="883"/>
      <c r="P105" s="883"/>
      <c r="Q105" s="886"/>
      <c r="R105" s="886"/>
      <c r="S105" s="886"/>
      <c r="T105" s="884"/>
      <c r="U105" s="884"/>
      <c r="V105" s="887"/>
      <c r="W105" s="883"/>
      <c r="X105" s="888"/>
      <c r="Y105" s="888"/>
      <c r="Z105" s="1227"/>
      <c r="AA105" s="1227"/>
      <c r="AC105" s="883"/>
      <c r="AD105" s="883"/>
      <c r="AE105" s="883"/>
      <c r="AF105" s="883"/>
      <c r="AG105" s="883"/>
      <c r="AH105" s="884"/>
      <c r="AI105" s="883"/>
      <c r="AJ105" s="883"/>
      <c r="AK105" s="886"/>
      <c r="AL105" s="886"/>
      <c r="AM105" s="883"/>
      <c r="AN105" s="883"/>
      <c r="AO105" s="883"/>
      <c r="AP105" s="883"/>
      <c r="AQ105" s="883"/>
      <c r="AR105" s="883"/>
      <c r="AS105" s="883"/>
      <c r="AT105" s="883"/>
      <c r="AU105" s="883"/>
      <c r="AV105" s="883"/>
      <c r="AW105" s="883"/>
      <c r="AX105" s="883"/>
    </row>
    <row r="106" spans="1:50" s="917" customFormat="1" x14ac:dyDescent="0.55000000000000004">
      <c r="A106" s="883"/>
      <c r="B106" s="883"/>
      <c r="C106" s="884"/>
      <c r="D106" s="884"/>
      <c r="E106" s="884"/>
      <c r="F106" s="884"/>
      <c r="G106" s="883"/>
      <c r="H106" s="883"/>
      <c r="I106" s="883"/>
      <c r="J106" s="884"/>
      <c r="K106" s="884"/>
      <c r="L106" s="884"/>
      <c r="M106" s="885"/>
      <c r="N106" s="883"/>
      <c r="O106" s="883"/>
      <c r="P106" s="883"/>
      <c r="Q106" s="886"/>
      <c r="R106" s="886"/>
      <c r="S106" s="886"/>
      <c r="T106" s="884"/>
      <c r="U106" s="884"/>
      <c r="V106" s="887"/>
      <c r="W106" s="883"/>
      <c r="X106" s="888"/>
      <c r="Y106" s="888"/>
      <c r="Z106" s="1227"/>
      <c r="AA106" s="1227"/>
      <c r="AC106" s="883"/>
      <c r="AD106" s="883"/>
      <c r="AE106" s="883"/>
      <c r="AF106" s="883"/>
      <c r="AG106" s="883"/>
      <c r="AH106" s="884"/>
      <c r="AI106" s="883"/>
      <c r="AJ106" s="883"/>
      <c r="AK106" s="886"/>
      <c r="AL106" s="886"/>
      <c r="AM106" s="883"/>
      <c r="AN106" s="883"/>
      <c r="AO106" s="883"/>
      <c r="AP106" s="883"/>
      <c r="AQ106" s="883"/>
      <c r="AR106" s="883"/>
      <c r="AS106" s="883"/>
      <c r="AT106" s="883"/>
      <c r="AU106" s="883"/>
      <c r="AV106" s="883"/>
      <c r="AW106" s="883"/>
      <c r="AX106" s="883"/>
    </row>
    <row r="107" spans="1:50" s="917" customFormat="1" x14ac:dyDescent="0.55000000000000004">
      <c r="A107" s="883"/>
      <c r="B107" s="883"/>
      <c r="C107" s="884"/>
      <c r="D107" s="884"/>
      <c r="E107" s="884"/>
      <c r="F107" s="884"/>
      <c r="G107" s="883"/>
      <c r="H107" s="883"/>
      <c r="I107" s="883"/>
      <c r="J107" s="884"/>
      <c r="K107" s="884"/>
      <c r="L107" s="884"/>
      <c r="M107" s="885"/>
      <c r="N107" s="883"/>
      <c r="O107" s="883"/>
      <c r="P107" s="883"/>
      <c r="Q107" s="886"/>
      <c r="R107" s="886"/>
      <c r="S107" s="886"/>
      <c r="T107" s="884"/>
      <c r="U107" s="884"/>
      <c r="V107" s="887"/>
      <c r="W107" s="883"/>
      <c r="X107" s="888"/>
      <c r="Y107" s="888"/>
      <c r="Z107" s="1228"/>
      <c r="AA107" s="1228"/>
      <c r="AC107" s="883"/>
      <c r="AD107" s="883"/>
      <c r="AE107" s="883"/>
      <c r="AF107" s="883"/>
      <c r="AG107" s="883"/>
      <c r="AH107" s="884"/>
      <c r="AI107" s="883"/>
      <c r="AJ107" s="883"/>
      <c r="AK107" s="886"/>
      <c r="AL107" s="886"/>
      <c r="AM107" s="883"/>
      <c r="AN107" s="883"/>
      <c r="AO107" s="883"/>
      <c r="AP107" s="883"/>
      <c r="AQ107" s="883"/>
      <c r="AR107" s="883"/>
      <c r="AS107" s="883"/>
      <c r="AT107" s="883"/>
      <c r="AU107" s="883"/>
      <c r="AV107" s="883"/>
      <c r="AW107" s="883"/>
      <c r="AX107" s="883"/>
    </row>
    <row r="108" spans="1:50" s="917" customFormat="1" x14ac:dyDescent="0.55000000000000004">
      <c r="A108" s="883"/>
      <c r="B108" s="883"/>
      <c r="C108" s="884"/>
      <c r="D108" s="884"/>
      <c r="E108" s="884"/>
      <c r="F108" s="884"/>
      <c r="G108" s="883"/>
      <c r="H108" s="883"/>
      <c r="I108" s="883"/>
      <c r="J108" s="884"/>
      <c r="K108" s="884"/>
      <c r="L108" s="884"/>
      <c r="M108" s="885"/>
      <c r="N108" s="883"/>
      <c r="O108" s="883"/>
      <c r="P108" s="883"/>
      <c r="Q108" s="886"/>
      <c r="R108" s="886"/>
      <c r="S108" s="886"/>
      <c r="T108" s="884"/>
      <c r="U108" s="884"/>
      <c r="V108" s="887"/>
      <c r="W108" s="883"/>
      <c r="X108" s="888"/>
      <c r="Y108" s="888"/>
      <c r="Z108" s="1227"/>
      <c r="AA108" s="1227"/>
      <c r="AC108" s="883"/>
      <c r="AD108" s="883"/>
      <c r="AE108" s="883"/>
      <c r="AF108" s="883"/>
      <c r="AG108" s="883"/>
      <c r="AH108" s="884"/>
      <c r="AI108" s="883"/>
      <c r="AJ108" s="883"/>
      <c r="AK108" s="886"/>
      <c r="AL108" s="886"/>
      <c r="AM108" s="883"/>
      <c r="AN108" s="883"/>
      <c r="AO108" s="883"/>
      <c r="AP108" s="883"/>
      <c r="AQ108" s="883"/>
      <c r="AR108" s="883"/>
      <c r="AS108" s="883"/>
      <c r="AT108" s="883"/>
      <c r="AU108" s="883"/>
      <c r="AV108" s="883"/>
      <c r="AW108" s="883"/>
      <c r="AX108" s="883"/>
    </row>
    <row r="109" spans="1:50" s="917" customFormat="1" x14ac:dyDescent="0.55000000000000004">
      <c r="A109" s="883"/>
      <c r="B109" s="883"/>
      <c r="C109" s="884"/>
      <c r="D109" s="884"/>
      <c r="E109" s="884"/>
      <c r="F109" s="884"/>
      <c r="G109" s="883"/>
      <c r="H109" s="883"/>
      <c r="I109" s="883"/>
      <c r="J109" s="884"/>
      <c r="K109" s="884"/>
      <c r="L109" s="884"/>
      <c r="M109" s="885"/>
      <c r="N109" s="883"/>
      <c r="O109" s="883"/>
      <c r="P109" s="883"/>
      <c r="Q109" s="886"/>
      <c r="R109" s="886"/>
      <c r="S109" s="886"/>
      <c r="T109" s="884"/>
      <c r="U109" s="884"/>
      <c r="V109" s="887"/>
      <c r="W109" s="883"/>
      <c r="X109" s="888"/>
      <c r="Y109" s="888"/>
      <c r="Z109" s="1227"/>
      <c r="AA109" s="1227"/>
      <c r="AC109" s="883"/>
      <c r="AD109" s="883"/>
      <c r="AE109" s="883"/>
      <c r="AF109" s="883"/>
      <c r="AG109" s="883"/>
      <c r="AH109" s="884"/>
      <c r="AI109" s="883"/>
      <c r="AJ109" s="883"/>
      <c r="AK109" s="886"/>
      <c r="AL109" s="886"/>
      <c r="AM109" s="883"/>
      <c r="AN109" s="883"/>
      <c r="AO109" s="883"/>
      <c r="AP109" s="883"/>
      <c r="AQ109" s="883"/>
      <c r="AR109" s="883"/>
      <c r="AS109" s="883"/>
      <c r="AT109" s="883"/>
      <c r="AU109" s="883"/>
      <c r="AV109" s="883"/>
      <c r="AW109" s="883"/>
      <c r="AX109" s="883"/>
    </row>
    <row r="110" spans="1:50" s="917" customFormat="1" x14ac:dyDescent="0.55000000000000004">
      <c r="A110" s="883"/>
      <c r="B110" s="883"/>
      <c r="C110" s="884"/>
      <c r="D110" s="884"/>
      <c r="E110" s="884"/>
      <c r="F110" s="884"/>
      <c r="G110" s="883"/>
      <c r="H110" s="883"/>
      <c r="I110" s="883"/>
      <c r="J110" s="884"/>
      <c r="K110" s="884"/>
      <c r="L110" s="884"/>
      <c r="M110" s="885"/>
      <c r="N110" s="883"/>
      <c r="O110" s="883"/>
      <c r="P110" s="883"/>
      <c r="Q110" s="886"/>
      <c r="R110" s="886"/>
      <c r="S110" s="886"/>
      <c r="T110" s="884"/>
      <c r="U110" s="884"/>
      <c r="V110" s="887"/>
      <c r="W110" s="883"/>
      <c r="X110" s="888"/>
      <c r="Y110" s="888"/>
      <c r="Z110" s="1227"/>
      <c r="AA110" s="1227"/>
      <c r="AC110" s="883"/>
      <c r="AD110" s="883"/>
      <c r="AE110" s="883"/>
      <c r="AF110" s="883"/>
      <c r="AG110" s="883"/>
      <c r="AH110" s="884"/>
      <c r="AI110" s="883"/>
      <c r="AJ110" s="883"/>
      <c r="AK110" s="886"/>
      <c r="AL110" s="886"/>
      <c r="AM110" s="883"/>
      <c r="AN110" s="883"/>
      <c r="AO110" s="883"/>
      <c r="AP110" s="883"/>
      <c r="AQ110" s="883"/>
      <c r="AR110" s="883"/>
      <c r="AS110" s="883"/>
      <c r="AT110" s="883"/>
      <c r="AU110" s="883"/>
      <c r="AV110" s="883"/>
      <c r="AW110" s="883"/>
      <c r="AX110" s="883"/>
    </row>
    <row r="111" spans="1:50" s="917" customFormat="1" x14ac:dyDescent="0.55000000000000004">
      <c r="A111" s="883"/>
      <c r="B111" s="883"/>
      <c r="C111" s="884"/>
      <c r="D111" s="884"/>
      <c r="E111" s="884"/>
      <c r="F111" s="884"/>
      <c r="G111" s="883"/>
      <c r="H111" s="883"/>
      <c r="I111" s="883"/>
      <c r="J111" s="884"/>
      <c r="K111" s="884"/>
      <c r="L111" s="884"/>
      <c r="M111" s="885"/>
      <c r="N111" s="883"/>
      <c r="O111" s="883"/>
      <c r="P111" s="883"/>
      <c r="Q111" s="886"/>
      <c r="R111" s="886"/>
      <c r="S111" s="886"/>
      <c r="T111" s="884"/>
      <c r="U111" s="884"/>
      <c r="V111" s="887"/>
      <c r="W111" s="883"/>
      <c r="X111" s="888"/>
      <c r="Y111" s="888"/>
      <c r="Z111" s="1227"/>
      <c r="AA111" s="1227"/>
      <c r="AC111" s="883"/>
      <c r="AD111" s="883"/>
      <c r="AE111" s="883"/>
      <c r="AF111" s="883"/>
      <c r="AG111" s="883"/>
      <c r="AH111" s="884"/>
      <c r="AI111" s="883"/>
      <c r="AJ111" s="883"/>
      <c r="AK111" s="886"/>
      <c r="AL111" s="886"/>
      <c r="AM111" s="883"/>
      <c r="AN111" s="883"/>
      <c r="AO111" s="883"/>
      <c r="AP111" s="883"/>
      <c r="AQ111" s="883"/>
      <c r="AR111" s="883"/>
      <c r="AS111" s="883"/>
      <c r="AT111" s="883"/>
      <c r="AU111" s="883"/>
      <c r="AV111" s="883"/>
      <c r="AW111" s="883"/>
      <c r="AX111" s="883"/>
    </row>
    <row r="112" spans="1:50" s="917" customFormat="1" x14ac:dyDescent="0.55000000000000004">
      <c r="A112" s="883"/>
      <c r="B112" s="883"/>
      <c r="C112" s="884"/>
      <c r="D112" s="884"/>
      <c r="E112" s="884"/>
      <c r="F112" s="884"/>
      <c r="G112" s="883"/>
      <c r="H112" s="883"/>
      <c r="I112" s="883"/>
      <c r="J112" s="884"/>
      <c r="K112" s="884"/>
      <c r="L112" s="884"/>
      <c r="M112" s="885"/>
      <c r="N112" s="883"/>
      <c r="O112" s="883"/>
      <c r="P112" s="883"/>
      <c r="Q112" s="886"/>
      <c r="R112" s="886"/>
      <c r="S112" s="886"/>
      <c r="T112" s="884"/>
      <c r="U112" s="884"/>
      <c r="V112" s="887"/>
      <c r="W112" s="883"/>
      <c r="X112" s="888"/>
      <c r="Y112" s="888"/>
      <c r="Z112" s="1227"/>
      <c r="AA112" s="1227"/>
      <c r="AC112" s="883"/>
      <c r="AD112" s="883"/>
      <c r="AE112" s="883"/>
      <c r="AF112" s="883"/>
      <c r="AG112" s="883"/>
      <c r="AH112" s="884"/>
      <c r="AI112" s="883"/>
      <c r="AJ112" s="883"/>
      <c r="AK112" s="886"/>
      <c r="AL112" s="886"/>
      <c r="AM112" s="883"/>
      <c r="AN112" s="883"/>
      <c r="AO112" s="883"/>
      <c r="AP112" s="883"/>
      <c r="AQ112" s="883"/>
      <c r="AR112" s="883"/>
      <c r="AS112" s="883"/>
      <c r="AT112" s="883"/>
      <c r="AU112" s="883"/>
      <c r="AV112" s="883"/>
      <c r="AW112" s="883"/>
      <c r="AX112" s="883"/>
    </row>
    <row r="113" spans="1:50" s="917" customFormat="1" x14ac:dyDescent="0.55000000000000004">
      <c r="A113" s="883"/>
      <c r="B113" s="883"/>
      <c r="C113" s="884"/>
      <c r="D113" s="884"/>
      <c r="E113" s="884"/>
      <c r="F113" s="884"/>
      <c r="G113" s="883"/>
      <c r="H113" s="883"/>
      <c r="I113" s="883"/>
      <c r="J113" s="884"/>
      <c r="K113" s="884"/>
      <c r="L113" s="884"/>
      <c r="M113" s="885"/>
      <c r="N113" s="883"/>
      <c r="O113" s="883"/>
      <c r="P113" s="883"/>
      <c r="Q113" s="886"/>
      <c r="R113" s="886"/>
      <c r="S113" s="886"/>
      <c r="T113" s="884"/>
      <c r="U113" s="884"/>
      <c r="V113" s="887"/>
      <c r="W113" s="883"/>
      <c r="X113" s="888"/>
      <c r="Y113" s="888"/>
      <c r="Z113" s="1227"/>
      <c r="AA113" s="1227"/>
      <c r="AC113" s="883"/>
      <c r="AD113" s="883"/>
      <c r="AE113" s="883"/>
      <c r="AF113" s="883"/>
      <c r="AG113" s="883"/>
      <c r="AH113" s="884"/>
      <c r="AI113" s="883"/>
      <c r="AJ113" s="883"/>
      <c r="AK113" s="886"/>
      <c r="AL113" s="886"/>
      <c r="AM113" s="883"/>
      <c r="AN113" s="883"/>
      <c r="AO113" s="883"/>
      <c r="AP113" s="883"/>
      <c r="AQ113" s="883"/>
      <c r="AR113" s="883"/>
      <c r="AS113" s="883"/>
      <c r="AT113" s="883"/>
      <c r="AU113" s="883"/>
      <c r="AV113" s="883"/>
      <c r="AW113" s="883"/>
      <c r="AX113" s="883"/>
    </row>
    <row r="114" spans="1:50" s="917" customFormat="1" x14ac:dyDescent="0.55000000000000004">
      <c r="A114" s="883"/>
      <c r="B114" s="883"/>
      <c r="C114" s="884"/>
      <c r="D114" s="884"/>
      <c r="E114" s="884"/>
      <c r="F114" s="884"/>
      <c r="G114" s="883"/>
      <c r="H114" s="883"/>
      <c r="I114" s="883"/>
      <c r="J114" s="884"/>
      <c r="K114" s="884"/>
      <c r="L114" s="884"/>
      <c r="M114" s="885"/>
      <c r="N114" s="883"/>
      <c r="O114" s="883"/>
      <c r="P114" s="883"/>
      <c r="Q114" s="886"/>
      <c r="R114" s="886"/>
      <c r="S114" s="886"/>
      <c r="T114" s="884"/>
      <c r="U114" s="884"/>
      <c r="V114" s="887"/>
      <c r="W114" s="883"/>
      <c r="X114" s="888"/>
      <c r="Y114" s="888"/>
      <c r="Z114" s="1227"/>
      <c r="AA114" s="1227"/>
      <c r="AC114" s="883"/>
      <c r="AD114" s="883"/>
      <c r="AE114" s="883"/>
      <c r="AF114" s="883"/>
      <c r="AG114" s="883"/>
      <c r="AH114" s="884"/>
      <c r="AI114" s="883"/>
      <c r="AJ114" s="883"/>
      <c r="AK114" s="886"/>
      <c r="AL114" s="886"/>
      <c r="AM114" s="883"/>
      <c r="AN114" s="883"/>
      <c r="AO114" s="883"/>
      <c r="AP114" s="883"/>
      <c r="AQ114" s="883"/>
      <c r="AR114" s="883"/>
      <c r="AS114" s="883"/>
      <c r="AT114" s="883"/>
      <c r="AU114" s="883"/>
      <c r="AV114" s="883"/>
      <c r="AW114" s="883"/>
      <c r="AX114" s="883"/>
    </row>
    <row r="115" spans="1:50" s="917" customFormat="1" x14ac:dyDescent="0.55000000000000004">
      <c r="A115" s="883"/>
      <c r="B115" s="883"/>
      <c r="C115" s="884"/>
      <c r="D115" s="884"/>
      <c r="E115" s="884"/>
      <c r="F115" s="884"/>
      <c r="G115" s="883"/>
      <c r="H115" s="883"/>
      <c r="I115" s="883"/>
      <c r="J115" s="884"/>
      <c r="K115" s="884"/>
      <c r="L115" s="884"/>
      <c r="M115" s="885"/>
      <c r="N115" s="883"/>
      <c r="O115" s="883"/>
      <c r="P115" s="883"/>
      <c r="Q115" s="886"/>
      <c r="R115" s="886"/>
      <c r="S115" s="886"/>
      <c r="T115" s="884"/>
      <c r="U115" s="884"/>
      <c r="V115" s="887"/>
      <c r="W115" s="883"/>
      <c r="X115" s="888"/>
      <c r="Y115" s="888"/>
      <c r="Z115" s="1227"/>
      <c r="AA115" s="1227"/>
      <c r="AC115" s="883"/>
      <c r="AD115" s="883"/>
      <c r="AE115" s="883"/>
      <c r="AF115" s="883"/>
      <c r="AG115" s="883"/>
      <c r="AH115" s="884"/>
      <c r="AI115" s="883"/>
      <c r="AJ115" s="883"/>
      <c r="AK115" s="886"/>
      <c r="AL115" s="886"/>
      <c r="AM115" s="883"/>
      <c r="AN115" s="883"/>
      <c r="AO115" s="883"/>
      <c r="AP115" s="883"/>
      <c r="AQ115" s="883"/>
      <c r="AR115" s="883"/>
      <c r="AS115" s="883"/>
      <c r="AT115" s="883"/>
      <c r="AU115" s="883"/>
      <c r="AV115" s="883"/>
      <c r="AW115" s="883"/>
      <c r="AX115" s="883"/>
    </row>
    <row r="116" spans="1:50" s="917" customFormat="1" x14ac:dyDescent="0.55000000000000004">
      <c r="A116" s="883"/>
      <c r="B116" s="883"/>
      <c r="C116" s="884"/>
      <c r="D116" s="884"/>
      <c r="E116" s="884"/>
      <c r="F116" s="884"/>
      <c r="G116" s="883"/>
      <c r="H116" s="883"/>
      <c r="I116" s="883"/>
      <c r="J116" s="884"/>
      <c r="K116" s="884"/>
      <c r="L116" s="884"/>
      <c r="M116" s="885"/>
      <c r="N116" s="883"/>
      <c r="O116" s="883"/>
      <c r="P116" s="883"/>
      <c r="Q116" s="886"/>
      <c r="R116" s="886"/>
      <c r="S116" s="886"/>
      <c r="T116" s="884"/>
      <c r="U116" s="884"/>
      <c r="V116" s="887"/>
      <c r="W116" s="883"/>
      <c r="X116" s="888"/>
      <c r="Y116" s="888"/>
      <c r="Z116" s="1227"/>
      <c r="AA116" s="1227"/>
      <c r="AC116" s="883"/>
      <c r="AD116" s="883"/>
      <c r="AE116" s="883"/>
      <c r="AF116" s="883"/>
      <c r="AG116" s="883"/>
      <c r="AH116" s="884"/>
      <c r="AI116" s="883"/>
      <c r="AJ116" s="883"/>
      <c r="AK116" s="886"/>
      <c r="AL116" s="886"/>
      <c r="AM116" s="883"/>
      <c r="AN116" s="883"/>
      <c r="AO116" s="883"/>
      <c r="AP116" s="883"/>
      <c r="AQ116" s="883"/>
      <c r="AR116" s="883"/>
      <c r="AS116" s="883"/>
      <c r="AT116" s="883"/>
      <c r="AU116" s="883"/>
      <c r="AV116" s="883"/>
      <c r="AW116" s="883"/>
      <c r="AX116" s="883"/>
    </row>
    <row r="117" spans="1:50" s="917" customFormat="1" x14ac:dyDescent="0.55000000000000004">
      <c r="A117" s="883"/>
      <c r="B117" s="883"/>
      <c r="C117" s="884"/>
      <c r="D117" s="884"/>
      <c r="E117" s="884"/>
      <c r="F117" s="884"/>
      <c r="G117" s="883"/>
      <c r="H117" s="883"/>
      <c r="I117" s="883"/>
      <c r="J117" s="884"/>
      <c r="K117" s="884"/>
      <c r="L117" s="884"/>
      <c r="M117" s="885"/>
      <c r="N117" s="883"/>
      <c r="O117" s="883"/>
      <c r="P117" s="883"/>
      <c r="Q117" s="886"/>
      <c r="R117" s="886"/>
      <c r="S117" s="886"/>
      <c r="T117" s="884"/>
      <c r="U117" s="884"/>
      <c r="V117" s="887"/>
      <c r="W117" s="883"/>
      <c r="X117" s="888"/>
      <c r="Y117" s="888"/>
      <c r="Z117" s="1227"/>
      <c r="AA117" s="1227"/>
      <c r="AC117" s="883"/>
      <c r="AD117" s="883"/>
      <c r="AE117" s="883"/>
      <c r="AF117" s="883"/>
      <c r="AG117" s="883"/>
      <c r="AH117" s="884"/>
      <c r="AI117" s="883"/>
      <c r="AJ117" s="883"/>
      <c r="AK117" s="886"/>
      <c r="AL117" s="886"/>
      <c r="AM117" s="883"/>
      <c r="AN117" s="883"/>
      <c r="AO117" s="883"/>
      <c r="AP117" s="883"/>
      <c r="AQ117" s="883"/>
      <c r="AR117" s="883"/>
      <c r="AS117" s="883"/>
      <c r="AT117" s="883"/>
      <c r="AU117" s="883"/>
      <c r="AV117" s="883"/>
      <c r="AW117" s="883"/>
      <c r="AX117" s="883"/>
    </row>
    <row r="118" spans="1:50" s="917" customFormat="1" x14ac:dyDescent="0.55000000000000004">
      <c r="A118" s="883"/>
      <c r="B118" s="883"/>
      <c r="C118" s="884"/>
      <c r="D118" s="884"/>
      <c r="E118" s="884"/>
      <c r="F118" s="884"/>
      <c r="G118" s="883"/>
      <c r="H118" s="883"/>
      <c r="I118" s="883"/>
      <c r="J118" s="884"/>
      <c r="K118" s="884"/>
      <c r="L118" s="884"/>
      <c r="M118" s="885"/>
      <c r="N118" s="883"/>
      <c r="O118" s="883"/>
      <c r="P118" s="883"/>
      <c r="Q118" s="886"/>
      <c r="R118" s="886"/>
      <c r="S118" s="886"/>
      <c r="T118" s="884"/>
      <c r="U118" s="884"/>
      <c r="V118" s="887"/>
      <c r="W118" s="883"/>
      <c r="X118" s="888"/>
      <c r="Y118" s="888"/>
      <c r="Z118" s="1227"/>
      <c r="AA118" s="1227"/>
      <c r="AC118" s="883"/>
      <c r="AD118" s="883"/>
      <c r="AE118" s="883"/>
      <c r="AF118" s="883"/>
      <c r="AG118" s="883"/>
      <c r="AH118" s="884"/>
      <c r="AI118" s="883"/>
      <c r="AJ118" s="883"/>
      <c r="AK118" s="886"/>
      <c r="AL118" s="886"/>
      <c r="AM118" s="883"/>
      <c r="AN118" s="883"/>
      <c r="AO118" s="883"/>
      <c r="AP118" s="883"/>
      <c r="AQ118" s="883"/>
      <c r="AR118" s="883"/>
      <c r="AS118" s="883"/>
      <c r="AT118" s="883"/>
      <c r="AU118" s="883"/>
      <c r="AV118" s="883"/>
      <c r="AW118" s="883"/>
      <c r="AX118" s="883"/>
    </row>
    <row r="119" spans="1:50" s="917" customFormat="1" x14ac:dyDescent="0.55000000000000004">
      <c r="A119" s="883"/>
      <c r="B119" s="883"/>
      <c r="C119" s="884"/>
      <c r="D119" s="884"/>
      <c r="E119" s="884"/>
      <c r="F119" s="884"/>
      <c r="G119" s="883"/>
      <c r="H119" s="883"/>
      <c r="I119" s="883"/>
      <c r="J119" s="884"/>
      <c r="K119" s="884"/>
      <c r="L119" s="884"/>
      <c r="M119" s="885"/>
      <c r="N119" s="883"/>
      <c r="O119" s="883"/>
      <c r="P119" s="883"/>
      <c r="Q119" s="886"/>
      <c r="R119" s="886"/>
      <c r="S119" s="886"/>
      <c r="T119" s="884"/>
      <c r="U119" s="884"/>
      <c r="V119" s="887"/>
      <c r="W119" s="883"/>
      <c r="X119" s="888"/>
      <c r="Y119" s="888"/>
      <c r="Z119" s="1227"/>
      <c r="AA119" s="1227"/>
      <c r="AC119" s="883"/>
      <c r="AD119" s="883"/>
      <c r="AE119" s="883"/>
      <c r="AF119" s="883"/>
      <c r="AG119" s="883"/>
      <c r="AH119" s="884"/>
      <c r="AI119" s="883"/>
      <c r="AJ119" s="883"/>
      <c r="AK119" s="886"/>
      <c r="AL119" s="886"/>
      <c r="AM119" s="883"/>
      <c r="AN119" s="883"/>
      <c r="AO119" s="883"/>
      <c r="AP119" s="883"/>
      <c r="AQ119" s="883"/>
      <c r="AR119" s="883"/>
      <c r="AS119" s="883"/>
      <c r="AT119" s="883"/>
      <c r="AU119" s="883"/>
      <c r="AV119" s="883"/>
      <c r="AW119" s="883"/>
      <c r="AX119" s="883"/>
    </row>
    <row r="120" spans="1:50" s="917" customFormat="1" x14ac:dyDescent="0.55000000000000004">
      <c r="A120" s="883"/>
      <c r="B120" s="883"/>
      <c r="C120" s="884"/>
      <c r="D120" s="884"/>
      <c r="E120" s="884"/>
      <c r="F120" s="884"/>
      <c r="G120" s="883"/>
      <c r="H120" s="883"/>
      <c r="I120" s="883"/>
      <c r="J120" s="884"/>
      <c r="K120" s="884"/>
      <c r="L120" s="884"/>
      <c r="M120" s="885"/>
      <c r="N120" s="883"/>
      <c r="O120" s="883"/>
      <c r="P120" s="883"/>
      <c r="Q120" s="886"/>
      <c r="R120" s="886"/>
      <c r="S120" s="886"/>
      <c r="T120" s="884"/>
      <c r="U120" s="884"/>
      <c r="V120" s="887"/>
      <c r="W120" s="883"/>
      <c r="X120" s="888"/>
      <c r="Y120" s="888"/>
      <c r="Z120" s="1227"/>
      <c r="AA120" s="1227"/>
      <c r="AC120" s="883"/>
      <c r="AD120" s="883"/>
      <c r="AE120" s="883"/>
      <c r="AF120" s="883"/>
      <c r="AG120" s="883"/>
      <c r="AH120" s="884"/>
      <c r="AI120" s="883"/>
      <c r="AJ120" s="883"/>
      <c r="AK120" s="886"/>
      <c r="AL120" s="886"/>
      <c r="AM120" s="883"/>
      <c r="AN120" s="883"/>
      <c r="AO120" s="883"/>
      <c r="AP120" s="883"/>
      <c r="AQ120" s="883"/>
      <c r="AR120" s="883"/>
      <c r="AS120" s="883"/>
      <c r="AT120" s="883"/>
      <c r="AU120" s="883"/>
      <c r="AV120" s="883"/>
      <c r="AW120" s="883"/>
      <c r="AX120" s="883"/>
    </row>
    <row r="121" spans="1:50" s="917" customFormat="1" x14ac:dyDescent="0.55000000000000004">
      <c r="A121" s="883"/>
      <c r="B121" s="883"/>
      <c r="C121" s="884"/>
      <c r="D121" s="884"/>
      <c r="E121" s="884"/>
      <c r="F121" s="884"/>
      <c r="G121" s="883"/>
      <c r="H121" s="883"/>
      <c r="I121" s="883"/>
      <c r="J121" s="884"/>
      <c r="K121" s="884"/>
      <c r="L121" s="884"/>
      <c r="M121" s="885"/>
      <c r="N121" s="883"/>
      <c r="O121" s="883"/>
      <c r="P121" s="883"/>
      <c r="Q121" s="886"/>
      <c r="R121" s="886"/>
      <c r="S121" s="886"/>
      <c r="T121" s="884"/>
      <c r="U121" s="884"/>
      <c r="V121" s="887"/>
      <c r="W121" s="883"/>
      <c r="X121" s="888"/>
      <c r="Y121" s="888"/>
      <c r="Z121" s="1227"/>
      <c r="AA121" s="1227"/>
      <c r="AC121" s="883"/>
      <c r="AD121" s="883"/>
      <c r="AE121" s="883"/>
      <c r="AF121" s="883"/>
      <c r="AG121" s="883"/>
      <c r="AH121" s="884"/>
      <c r="AI121" s="883"/>
      <c r="AJ121" s="883"/>
      <c r="AK121" s="886"/>
      <c r="AL121" s="886"/>
      <c r="AM121" s="883"/>
      <c r="AN121" s="883"/>
      <c r="AO121" s="883"/>
      <c r="AP121" s="883"/>
      <c r="AQ121" s="883"/>
      <c r="AR121" s="883"/>
      <c r="AS121" s="883"/>
      <c r="AT121" s="883"/>
      <c r="AU121" s="883"/>
      <c r="AV121" s="883"/>
      <c r="AW121" s="883"/>
      <c r="AX121" s="883"/>
    </row>
    <row r="122" spans="1:50" s="917" customFormat="1" x14ac:dyDescent="0.55000000000000004">
      <c r="A122" s="883"/>
      <c r="B122" s="883"/>
      <c r="C122" s="884"/>
      <c r="D122" s="884"/>
      <c r="E122" s="884"/>
      <c r="F122" s="884"/>
      <c r="G122" s="883"/>
      <c r="H122" s="883"/>
      <c r="I122" s="883"/>
      <c r="J122" s="884"/>
      <c r="K122" s="884"/>
      <c r="L122" s="884"/>
      <c r="M122" s="885"/>
      <c r="N122" s="883"/>
      <c r="O122" s="883"/>
      <c r="P122" s="883"/>
      <c r="Q122" s="886"/>
      <c r="R122" s="886"/>
      <c r="S122" s="886"/>
      <c r="T122" s="884"/>
      <c r="U122" s="884"/>
      <c r="V122" s="887"/>
      <c r="W122" s="883"/>
      <c r="X122" s="888"/>
      <c r="Y122" s="888"/>
      <c r="Z122" s="1227"/>
      <c r="AA122" s="1227"/>
      <c r="AC122" s="883"/>
      <c r="AD122" s="883"/>
      <c r="AE122" s="883"/>
      <c r="AF122" s="883"/>
      <c r="AG122" s="883"/>
      <c r="AH122" s="884"/>
      <c r="AI122" s="883"/>
      <c r="AJ122" s="883"/>
      <c r="AK122" s="886"/>
      <c r="AL122" s="886"/>
      <c r="AM122" s="883"/>
      <c r="AN122" s="883"/>
      <c r="AO122" s="883"/>
      <c r="AP122" s="883"/>
      <c r="AQ122" s="883"/>
      <c r="AR122" s="883"/>
      <c r="AS122" s="883"/>
      <c r="AT122" s="883"/>
      <c r="AU122" s="883"/>
      <c r="AV122" s="883"/>
      <c r="AW122" s="883"/>
      <c r="AX122" s="883"/>
    </row>
    <row r="123" spans="1:50" s="917" customFormat="1" x14ac:dyDescent="0.55000000000000004">
      <c r="A123" s="883"/>
      <c r="B123" s="883"/>
      <c r="C123" s="884"/>
      <c r="D123" s="884"/>
      <c r="E123" s="884"/>
      <c r="F123" s="884"/>
      <c r="G123" s="883"/>
      <c r="H123" s="883"/>
      <c r="I123" s="883"/>
      <c r="J123" s="884"/>
      <c r="K123" s="884"/>
      <c r="L123" s="884"/>
      <c r="M123" s="885"/>
      <c r="N123" s="883"/>
      <c r="O123" s="883"/>
      <c r="P123" s="883"/>
      <c r="Q123" s="886"/>
      <c r="R123" s="886"/>
      <c r="S123" s="886"/>
      <c r="T123" s="884"/>
      <c r="U123" s="884"/>
      <c r="V123" s="887"/>
      <c r="W123" s="883"/>
      <c r="X123" s="888"/>
      <c r="Y123" s="888"/>
      <c r="Z123" s="1227"/>
      <c r="AA123" s="1227"/>
      <c r="AC123" s="883"/>
      <c r="AD123" s="883"/>
      <c r="AE123" s="883"/>
      <c r="AF123" s="883"/>
      <c r="AG123" s="883"/>
      <c r="AH123" s="884"/>
      <c r="AI123" s="883"/>
      <c r="AJ123" s="883"/>
      <c r="AK123" s="886"/>
      <c r="AL123" s="886"/>
      <c r="AM123" s="883"/>
      <c r="AN123" s="883"/>
      <c r="AO123" s="883"/>
      <c r="AP123" s="883"/>
      <c r="AQ123" s="883"/>
      <c r="AR123" s="883"/>
      <c r="AS123" s="883"/>
      <c r="AT123" s="883"/>
      <c r="AU123" s="883"/>
      <c r="AV123" s="883"/>
      <c r="AW123" s="883"/>
      <c r="AX123" s="883"/>
    </row>
    <row r="124" spans="1:50" s="917" customFormat="1" x14ac:dyDescent="0.55000000000000004">
      <c r="A124" s="883"/>
      <c r="B124" s="883"/>
      <c r="C124" s="884"/>
      <c r="D124" s="884"/>
      <c r="E124" s="884"/>
      <c r="F124" s="884"/>
      <c r="G124" s="883"/>
      <c r="H124" s="883"/>
      <c r="I124" s="883"/>
      <c r="J124" s="884"/>
      <c r="K124" s="884"/>
      <c r="L124" s="884"/>
      <c r="M124" s="885"/>
      <c r="N124" s="883"/>
      <c r="O124" s="883"/>
      <c r="P124" s="883"/>
      <c r="Q124" s="886"/>
      <c r="R124" s="886"/>
      <c r="S124" s="886"/>
      <c r="T124" s="884"/>
      <c r="U124" s="884"/>
      <c r="V124" s="887"/>
      <c r="W124" s="883"/>
      <c r="X124" s="888"/>
      <c r="Y124" s="888"/>
      <c r="Z124" s="1227"/>
      <c r="AA124" s="1227"/>
      <c r="AC124" s="883"/>
      <c r="AD124" s="883"/>
      <c r="AE124" s="883"/>
      <c r="AF124" s="883"/>
      <c r="AG124" s="883"/>
      <c r="AH124" s="884"/>
      <c r="AI124" s="883"/>
      <c r="AJ124" s="883"/>
      <c r="AK124" s="886"/>
      <c r="AL124" s="886"/>
      <c r="AM124" s="883"/>
      <c r="AN124" s="883"/>
      <c r="AO124" s="883"/>
      <c r="AP124" s="883"/>
      <c r="AQ124" s="883"/>
      <c r="AR124" s="883"/>
      <c r="AS124" s="883"/>
      <c r="AT124" s="883"/>
      <c r="AU124" s="883"/>
      <c r="AV124" s="883"/>
      <c r="AW124" s="883"/>
      <c r="AX124" s="883"/>
    </row>
    <row r="125" spans="1:50" s="917" customFormat="1" x14ac:dyDescent="0.55000000000000004">
      <c r="A125" s="883"/>
      <c r="B125" s="883"/>
      <c r="C125" s="884"/>
      <c r="D125" s="884"/>
      <c r="E125" s="884"/>
      <c r="F125" s="884"/>
      <c r="G125" s="883"/>
      <c r="H125" s="883"/>
      <c r="I125" s="883"/>
      <c r="J125" s="884"/>
      <c r="K125" s="884"/>
      <c r="L125" s="884"/>
      <c r="M125" s="885"/>
      <c r="N125" s="883"/>
      <c r="O125" s="883"/>
      <c r="P125" s="883"/>
      <c r="Q125" s="886"/>
      <c r="R125" s="886"/>
      <c r="S125" s="886"/>
      <c r="T125" s="884"/>
      <c r="U125" s="884"/>
      <c r="V125" s="887"/>
      <c r="W125" s="883"/>
      <c r="X125" s="888"/>
      <c r="Y125" s="888"/>
      <c r="Z125" s="1227"/>
      <c r="AA125" s="1227"/>
      <c r="AC125" s="883"/>
      <c r="AD125" s="883"/>
      <c r="AE125" s="883"/>
      <c r="AF125" s="883"/>
      <c r="AG125" s="883"/>
      <c r="AH125" s="884"/>
      <c r="AI125" s="883"/>
      <c r="AJ125" s="883"/>
      <c r="AK125" s="886"/>
      <c r="AL125" s="886"/>
      <c r="AM125" s="883"/>
      <c r="AN125" s="883"/>
      <c r="AO125" s="883"/>
      <c r="AP125" s="883"/>
      <c r="AQ125" s="883"/>
      <c r="AR125" s="883"/>
      <c r="AS125" s="883"/>
      <c r="AT125" s="883"/>
      <c r="AU125" s="883"/>
      <c r="AV125" s="883"/>
      <c r="AW125" s="883"/>
      <c r="AX125" s="883"/>
    </row>
    <row r="126" spans="1:50" s="917" customFormat="1" x14ac:dyDescent="0.55000000000000004">
      <c r="A126" s="883"/>
      <c r="B126" s="883"/>
      <c r="C126" s="884"/>
      <c r="D126" s="884"/>
      <c r="E126" s="884"/>
      <c r="F126" s="884"/>
      <c r="G126" s="883"/>
      <c r="H126" s="883"/>
      <c r="I126" s="883"/>
      <c r="J126" s="884"/>
      <c r="K126" s="884"/>
      <c r="L126" s="884"/>
      <c r="M126" s="885"/>
      <c r="N126" s="883"/>
      <c r="O126" s="883"/>
      <c r="P126" s="883"/>
      <c r="Q126" s="886"/>
      <c r="R126" s="886"/>
      <c r="S126" s="886"/>
      <c r="T126" s="884"/>
      <c r="U126" s="884"/>
      <c r="V126" s="887"/>
      <c r="W126" s="883"/>
      <c r="X126" s="888"/>
      <c r="Y126" s="888"/>
      <c r="Z126" s="1227"/>
      <c r="AA126" s="1227"/>
      <c r="AC126" s="883"/>
      <c r="AD126" s="883"/>
      <c r="AE126" s="883"/>
      <c r="AF126" s="883"/>
      <c r="AG126" s="883"/>
      <c r="AH126" s="884"/>
      <c r="AI126" s="883"/>
      <c r="AJ126" s="883"/>
      <c r="AK126" s="886"/>
      <c r="AL126" s="886"/>
      <c r="AM126" s="883"/>
      <c r="AN126" s="883"/>
      <c r="AO126" s="883"/>
      <c r="AP126" s="883"/>
      <c r="AQ126" s="883"/>
      <c r="AR126" s="883"/>
      <c r="AS126" s="883"/>
      <c r="AT126" s="883"/>
      <c r="AU126" s="883"/>
      <c r="AV126" s="883"/>
      <c r="AW126" s="883"/>
      <c r="AX126" s="883"/>
    </row>
    <row r="127" spans="1:50" s="917" customFormat="1" x14ac:dyDescent="0.55000000000000004">
      <c r="A127" s="883"/>
      <c r="B127" s="883"/>
      <c r="C127" s="884"/>
      <c r="D127" s="884"/>
      <c r="E127" s="884"/>
      <c r="F127" s="884"/>
      <c r="G127" s="883"/>
      <c r="H127" s="883"/>
      <c r="I127" s="883"/>
      <c r="J127" s="884"/>
      <c r="K127" s="884"/>
      <c r="L127" s="884"/>
      <c r="M127" s="885"/>
      <c r="N127" s="883"/>
      <c r="O127" s="883"/>
      <c r="P127" s="883"/>
      <c r="Q127" s="886"/>
      <c r="R127" s="886"/>
      <c r="S127" s="886"/>
      <c r="T127" s="884"/>
      <c r="U127" s="884"/>
      <c r="V127" s="887"/>
      <c r="W127" s="883"/>
      <c r="X127" s="888"/>
      <c r="Y127" s="888"/>
      <c r="Z127" s="1227"/>
      <c r="AA127" s="1227"/>
      <c r="AC127" s="883"/>
      <c r="AD127" s="883"/>
      <c r="AE127" s="883"/>
      <c r="AF127" s="883"/>
      <c r="AG127" s="883"/>
      <c r="AH127" s="884"/>
      <c r="AI127" s="883"/>
      <c r="AJ127" s="883"/>
      <c r="AK127" s="886"/>
      <c r="AL127" s="886"/>
      <c r="AM127" s="883"/>
      <c r="AN127" s="883"/>
      <c r="AO127" s="883"/>
      <c r="AP127" s="883"/>
      <c r="AQ127" s="883"/>
      <c r="AR127" s="883"/>
      <c r="AS127" s="883"/>
      <c r="AT127" s="883"/>
      <c r="AU127" s="883"/>
      <c r="AV127" s="883"/>
      <c r="AW127" s="883"/>
      <c r="AX127" s="883"/>
    </row>
    <row r="128" spans="1:50" s="917" customFormat="1" x14ac:dyDescent="0.55000000000000004">
      <c r="A128" s="883"/>
      <c r="B128" s="883"/>
      <c r="C128" s="884"/>
      <c r="D128" s="884"/>
      <c r="E128" s="884"/>
      <c r="F128" s="884"/>
      <c r="G128" s="883"/>
      <c r="H128" s="883"/>
      <c r="I128" s="883"/>
      <c r="J128" s="884"/>
      <c r="K128" s="884"/>
      <c r="L128" s="884"/>
      <c r="M128" s="885"/>
      <c r="N128" s="883"/>
      <c r="O128" s="883"/>
      <c r="P128" s="883"/>
      <c r="Q128" s="886"/>
      <c r="R128" s="886"/>
      <c r="S128" s="886"/>
      <c r="T128" s="884"/>
      <c r="U128" s="884"/>
      <c r="V128" s="887"/>
      <c r="W128" s="883"/>
      <c r="X128" s="888"/>
      <c r="Y128" s="888"/>
      <c r="Z128" s="1227"/>
      <c r="AA128" s="1227"/>
      <c r="AC128" s="883"/>
      <c r="AD128" s="883"/>
      <c r="AE128" s="883"/>
      <c r="AF128" s="883"/>
      <c r="AG128" s="883"/>
      <c r="AH128" s="884"/>
      <c r="AI128" s="883"/>
      <c r="AJ128" s="883"/>
      <c r="AK128" s="886"/>
      <c r="AL128" s="886"/>
      <c r="AM128" s="883"/>
      <c r="AN128" s="883"/>
      <c r="AO128" s="883"/>
      <c r="AP128" s="883"/>
      <c r="AQ128" s="883"/>
      <c r="AR128" s="883"/>
      <c r="AS128" s="883"/>
      <c r="AT128" s="883"/>
      <c r="AU128" s="883"/>
      <c r="AV128" s="883"/>
      <c r="AW128" s="883"/>
      <c r="AX128" s="883"/>
    </row>
    <row r="129" spans="1:50" s="917" customFormat="1" x14ac:dyDescent="0.55000000000000004">
      <c r="A129" s="883"/>
      <c r="B129" s="883"/>
      <c r="C129" s="884"/>
      <c r="D129" s="884"/>
      <c r="E129" s="884"/>
      <c r="F129" s="884"/>
      <c r="G129" s="883"/>
      <c r="H129" s="883"/>
      <c r="I129" s="883"/>
      <c r="J129" s="884"/>
      <c r="K129" s="884"/>
      <c r="L129" s="884"/>
      <c r="M129" s="885"/>
      <c r="N129" s="883"/>
      <c r="O129" s="883"/>
      <c r="P129" s="883"/>
      <c r="Q129" s="886"/>
      <c r="R129" s="886"/>
      <c r="S129" s="886"/>
      <c r="T129" s="884"/>
      <c r="U129" s="884"/>
      <c r="V129" s="887"/>
      <c r="W129" s="883"/>
      <c r="X129" s="888"/>
      <c r="Y129" s="888"/>
      <c r="Z129" s="1227"/>
      <c r="AA129" s="1227"/>
      <c r="AC129" s="883"/>
      <c r="AD129" s="883"/>
      <c r="AE129" s="883"/>
      <c r="AF129" s="883"/>
      <c r="AG129" s="883"/>
      <c r="AH129" s="884"/>
      <c r="AI129" s="883"/>
      <c r="AJ129" s="883"/>
      <c r="AK129" s="886"/>
      <c r="AL129" s="886"/>
      <c r="AM129" s="883"/>
      <c r="AN129" s="883"/>
      <c r="AO129" s="883"/>
      <c r="AP129" s="883"/>
      <c r="AQ129" s="883"/>
      <c r="AR129" s="883"/>
      <c r="AS129" s="883"/>
      <c r="AT129" s="883"/>
      <c r="AU129" s="883"/>
      <c r="AV129" s="883"/>
      <c r="AW129" s="883"/>
      <c r="AX129" s="883"/>
    </row>
    <row r="130" spans="1:50" s="917" customFormat="1" x14ac:dyDescent="0.55000000000000004">
      <c r="A130" s="883"/>
      <c r="B130" s="883"/>
      <c r="C130" s="884"/>
      <c r="D130" s="884"/>
      <c r="E130" s="884"/>
      <c r="F130" s="884"/>
      <c r="G130" s="883"/>
      <c r="H130" s="883"/>
      <c r="I130" s="883"/>
      <c r="J130" s="884"/>
      <c r="K130" s="884"/>
      <c r="L130" s="884"/>
      <c r="M130" s="885"/>
      <c r="N130" s="883"/>
      <c r="O130" s="883"/>
      <c r="P130" s="883"/>
      <c r="Q130" s="886"/>
      <c r="R130" s="886"/>
      <c r="S130" s="886"/>
      <c r="T130" s="884"/>
      <c r="U130" s="884"/>
      <c r="V130" s="887"/>
      <c r="W130" s="883"/>
      <c r="X130" s="888"/>
      <c r="Y130" s="888"/>
      <c r="Z130" s="1227"/>
      <c r="AA130" s="1227"/>
      <c r="AC130" s="883"/>
      <c r="AD130" s="883"/>
      <c r="AE130" s="883"/>
      <c r="AF130" s="883"/>
      <c r="AG130" s="883"/>
      <c r="AH130" s="884"/>
      <c r="AI130" s="883"/>
      <c r="AJ130" s="883"/>
      <c r="AK130" s="886"/>
      <c r="AL130" s="886"/>
      <c r="AM130" s="883"/>
      <c r="AN130" s="883"/>
      <c r="AO130" s="883"/>
      <c r="AP130" s="883"/>
      <c r="AQ130" s="883"/>
      <c r="AR130" s="883"/>
      <c r="AS130" s="883"/>
      <c r="AT130" s="883"/>
      <c r="AU130" s="883"/>
      <c r="AV130" s="883"/>
      <c r="AW130" s="883"/>
      <c r="AX130" s="883"/>
    </row>
    <row r="131" spans="1:50" s="917" customFormat="1" x14ac:dyDescent="0.55000000000000004">
      <c r="A131" s="883"/>
      <c r="B131" s="883"/>
      <c r="C131" s="884"/>
      <c r="D131" s="884"/>
      <c r="E131" s="884"/>
      <c r="F131" s="884"/>
      <c r="G131" s="883"/>
      <c r="H131" s="883"/>
      <c r="I131" s="883"/>
      <c r="J131" s="884"/>
      <c r="K131" s="884"/>
      <c r="L131" s="884"/>
      <c r="M131" s="885"/>
      <c r="N131" s="883"/>
      <c r="O131" s="883"/>
      <c r="P131" s="883"/>
      <c r="Q131" s="886"/>
      <c r="R131" s="886"/>
      <c r="S131" s="886"/>
      <c r="T131" s="884"/>
      <c r="U131" s="884"/>
      <c r="V131" s="887"/>
      <c r="W131" s="883"/>
      <c r="X131" s="888"/>
      <c r="Y131" s="888"/>
      <c r="Z131" s="1227"/>
      <c r="AA131" s="1227"/>
      <c r="AC131" s="883"/>
      <c r="AD131" s="883"/>
      <c r="AE131" s="883"/>
      <c r="AF131" s="883"/>
      <c r="AG131" s="883"/>
      <c r="AH131" s="884"/>
      <c r="AI131" s="883"/>
      <c r="AJ131" s="883"/>
      <c r="AK131" s="886"/>
      <c r="AL131" s="886"/>
      <c r="AM131" s="883"/>
      <c r="AN131" s="883"/>
      <c r="AO131" s="883"/>
      <c r="AP131" s="883"/>
      <c r="AQ131" s="883"/>
      <c r="AR131" s="883"/>
      <c r="AS131" s="883"/>
      <c r="AT131" s="883"/>
      <c r="AU131" s="883"/>
      <c r="AV131" s="883"/>
      <c r="AW131" s="883"/>
      <c r="AX131" s="883"/>
    </row>
    <row r="132" spans="1:50" s="917" customFormat="1" x14ac:dyDescent="0.55000000000000004">
      <c r="A132" s="883"/>
      <c r="B132" s="883"/>
      <c r="C132" s="884"/>
      <c r="D132" s="884"/>
      <c r="E132" s="884"/>
      <c r="F132" s="884"/>
      <c r="G132" s="883"/>
      <c r="H132" s="883"/>
      <c r="I132" s="883"/>
      <c r="J132" s="884"/>
      <c r="K132" s="884"/>
      <c r="L132" s="884"/>
      <c r="M132" s="885"/>
      <c r="N132" s="883"/>
      <c r="O132" s="883"/>
      <c r="P132" s="883"/>
      <c r="Q132" s="886"/>
      <c r="R132" s="886"/>
      <c r="S132" s="886"/>
      <c r="T132" s="884"/>
      <c r="U132" s="884"/>
      <c r="V132" s="887"/>
      <c r="W132" s="883"/>
      <c r="X132" s="888"/>
      <c r="Y132" s="888"/>
      <c r="Z132" s="1227"/>
      <c r="AA132" s="1227"/>
      <c r="AC132" s="883"/>
      <c r="AD132" s="883"/>
      <c r="AE132" s="883"/>
      <c r="AF132" s="883"/>
      <c r="AG132" s="883"/>
      <c r="AH132" s="884"/>
      <c r="AI132" s="883"/>
      <c r="AJ132" s="883"/>
      <c r="AK132" s="886"/>
      <c r="AL132" s="886"/>
      <c r="AM132" s="883"/>
      <c r="AN132" s="883"/>
      <c r="AO132" s="883"/>
      <c r="AP132" s="883"/>
      <c r="AQ132" s="883"/>
      <c r="AR132" s="883"/>
      <c r="AS132" s="883"/>
      <c r="AT132" s="883"/>
      <c r="AU132" s="883"/>
      <c r="AV132" s="883"/>
      <c r="AW132" s="883"/>
      <c r="AX132" s="883"/>
    </row>
    <row r="133" spans="1:50" s="917" customFormat="1" x14ac:dyDescent="0.55000000000000004">
      <c r="A133" s="883"/>
      <c r="B133" s="883"/>
      <c r="C133" s="884"/>
      <c r="D133" s="884"/>
      <c r="E133" s="884"/>
      <c r="F133" s="884"/>
      <c r="G133" s="883"/>
      <c r="H133" s="883"/>
      <c r="I133" s="883"/>
      <c r="J133" s="884"/>
      <c r="K133" s="884"/>
      <c r="L133" s="884"/>
      <c r="M133" s="885"/>
      <c r="N133" s="883"/>
      <c r="O133" s="883"/>
      <c r="P133" s="883"/>
      <c r="Q133" s="886"/>
      <c r="R133" s="886"/>
      <c r="S133" s="886"/>
      <c r="T133" s="884"/>
      <c r="U133" s="884"/>
      <c r="V133" s="887"/>
      <c r="W133" s="883"/>
      <c r="X133" s="888"/>
      <c r="Y133" s="888"/>
      <c r="Z133" s="1227"/>
      <c r="AA133" s="1227"/>
      <c r="AC133" s="883"/>
      <c r="AD133" s="883"/>
      <c r="AE133" s="883"/>
      <c r="AF133" s="883"/>
      <c r="AG133" s="883"/>
      <c r="AH133" s="884"/>
      <c r="AI133" s="883"/>
      <c r="AJ133" s="883"/>
      <c r="AK133" s="886"/>
      <c r="AL133" s="886"/>
      <c r="AM133" s="883"/>
      <c r="AN133" s="883"/>
      <c r="AO133" s="883"/>
      <c r="AP133" s="883"/>
      <c r="AQ133" s="883"/>
      <c r="AR133" s="883"/>
      <c r="AS133" s="883"/>
      <c r="AT133" s="883"/>
      <c r="AU133" s="883"/>
      <c r="AV133" s="883"/>
      <c r="AW133" s="883"/>
      <c r="AX133" s="883"/>
    </row>
    <row r="134" spans="1:50" s="917" customFormat="1" x14ac:dyDescent="0.55000000000000004">
      <c r="A134" s="883"/>
      <c r="B134" s="883"/>
      <c r="C134" s="884"/>
      <c r="D134" s="884"/>
      <c r="E134" s="884"/>
      <c r="F134" s="884"/>
      <c r="G134" s="883"/>
      <c r="H134" s="883"/>
      <c r="I134" s="883"/>
      <c r="J134" s="884"/>
      <c r="K134" s="884"/>
      <c r="L134" s="884"/>
      <c r="M134" s="885"/>
      <c r="N134" s="883"/>
      <c r="O134" s="883"/>
      <c r="P134" s="883"/>
      <c r="Q134" s="886"/>
      <c r="R134" s="886"/>
      <c r="S134" s="886"/>
      <c r="T134" s="884"/>
      <c r="U134" s="884"/>
      <c r="V134" s="887"/>
      <c r="W134" s="883"/>
      <c r="X134" s="888"/>
      <c r="Y134" s="888"/>
      <c r="Z134" s="1227"/>
      <c r="AA134" s="1227"/>
      <c r="AC134" s="883"/>
      <c r="AD134" s="883"/>
      <c r="AE134" s="883"/>
      <c r="AF134" s="883"/>
      <c r="AG134" s="883"/>
      <c r="AH134" s="884"/>
      <c r="AI134" s="883"/>
      <c r="AJ134" s="883"/>
      <c r="AK134" s="886"/>
      <c r="AL134" s="886"/>
      <c r="AM134" s="883"/>
      <c r="AN134" s="883"/>
      <c r="AO134" s="883"/>
      <c r="AP134" s="883"/>
      <c r="AQ134" s="883"/>
      <c r="AR134" s="883"/>
      <c r="AS134" s="883"/>
      <c r="AT134" s="883"/>
      <c r="AU134" s="883"/>
      <c r="AV134" s="883"/>
      <c r="AW134" s="883"/>
      <c r="AX134" s="883"/>
    </row>
    <row r="135" spans="1:50" s="917" customFormat="1" x14ac:dyDescent="0.55000000000000004">
      <c r="A135" s="883"/>
      <c r="B135" s="883"/>
      <c r="C135" s="884"/>
      <c r="D135" s="884"/>
      <c r="E135" s="884"/>
      <c r="F135" s="884"/>
      <c r="G135" s="883"/>
      <c r="H135" s="883"/>
      <c r="I135" s="883"/>
      <c r="J135" s="884"/>
      <c r="K135" s="884"/>
      <c r="L135" s="884"/>
      <c r="M135" s="885"/>
      <c r="N135" s="883"/>
      <c r="O135" s="883"/>
      <c r="P135" s="883"/>
      <c r="Q135" s="886"/>
      <c r="R135" s="886"/>
      <c r="S135" s="886"/>
      <c r="T135" s="884"/>
      <c r="U135" s="884"/>
      <c r="V135" s="887"/>
      <c r="W135" s="883"/>
      <c r="X135" s="888"/>
      <c r="Y135" s="888"/>
      <c r="Z135" s="1227"/>
      <c r="AA135" s="1227"/>
      <c r="AC135" s="883"/>
      <c r="AD135" s="883"/>
      <c r="AE135" s="883"/>
      <c r="AF135" s="883"/>
      <c r="AG135" s="883"/>
      <c r="AH135" s="884"/>
      <c r="AI135" s="883"/>
      <c r="AJ135" s="883"/>
      <c r="AK135" s="886"/>
      <c r="AL135" s="886"/>
      <c r="AM135" s="883"/>
      <c r="AN135" s="883"/>
      <c r="AO135" s="883"/>
      <c r="AP135" s="883"/>
      <c r="AQ135" s="883"/>
      <c r="AR135" s="883"/>
      <c r="AS135" s="883"/>
      <c r="AT135" s="883"/>
      <c r="AU135" s="883"/>
      <c r="AV135" s="883"/>
      <c r="AW135" s="883"/>
      <c r="AX135" s="883"/>
    </row>
    <row r="136" spans="1:50" s="917" customFormat="1" x14ac:dyDescent="0.55000000000000004">
      <c r="A136" s="883"/>
      <c r="B136" s="883"/>
      <c r="C136" s="884"/>
      <c r="D136" s="884"/>
      <c r="E136" s="884"/>
      <c r="F136" s="884"/>
      <c r="G136" s="883"/>
      <c r="H136" s="883"/>
      <c r="I136" s="883"/>
      <c r="J136" s="884"/>
      <c r="K136" s="884"/>
      <c r="L136" s="884"/>
      <c r="M136" s="885"/>
      <c r="N136" s="883"/>
      <c r="O136" s="883"/>
      <c r="P136" s="883"/>
      <c r="Q136" s="886"/>
      <c r="R136" s="886"/>
      <c r="S136" s="886"/>
      <c r="T136" s="884"/>
      <c r="U136" s="884"/>
      <c r="V136" s="887"/>
      <c r="W136" s="883"/>
      <c r="X136" s="888"/>
      <c r="Y136" s="888"/>
      <c r="Z136" s="1227"/>
      <c r="AA136" s="1227"/>
      <c r="AC136" s="883"/>
      <c r="AD136" s="883"/>
      <c r="AE136" s="883"/>
      <c r="AF136" s="883"/>
      <c r="AG136" s="883"/>
      <c r="AH136" s="884"/>
      <c r="AI136" s="883"/>
      <c r="AJ136" s="883"/>
      <c r="AK136" s="886"/>
      <c r="AL136" s="886"/>
      <c r="AM136" s="883"/>
      <c r="AN136" s="883"/>
      <c r="AO136" s="883"/>
      <c r="AP136" s="883"/>
      <c r="AQ136" s="883"/>
      <c r="AR136" s="883"/>
      <c r="AS136" s="883"/>
      <c r="AT136" s="883"/>
      <c r="AU136" s="883"/>
      <c r="AV136" s="883"/>
      <c r="AW136" s="883"/>
      <c r="AX136" s="883"/>
    </row>
    <row r="137" spans="1:50" s="917" customFormat="1" x14ac:dyDescent="0.55000000000000004">
      <c r="A137" s="883"/>
      <c r="B137" s="883"/>
      <c r="C137" s="884"/>
      <c r="D137" s="884"/>
      <c r="E137" s="884"/>
      <c r="F137" s="884"/>
      <c r="G137" s="883"/>
      <c r="H137" s="883"/>
      <c r="I137" s="883"/>
      <c r="J137" s="884"/>
      <c r="K137" s="884"/>
      <c r="L137" s="884"/>
      <c r="M137" s="885"/>
      <c r="N137" s="883"/>
      <c r="O137" s="883"/>
      <c r="P137" s="883"/>
      <c r="Q137" s="886"/>
      <c r="R137" s="886"/>
      <c r="S137" s="886"/>
      <c r="T137" s="884"/>
      <c r="U137" s="884"/>
      <c r="V137" s="887"/>
      <c r="W137" s="883"/>
      <c r="X137" s="888"/>
      <c r="Y137" s="888"/>
      <c r="Z137" s="1227"/>
      <c r="AA137" s="1227"/>
      <c r="AC137" s="883"/>
      <c r="AD137" s="883"/>
      <c r="AE137" s="883"/>
      <c r="AF137" s="883"/>
      <c r="AG137" s="883"/>
      <c r="AH137" s="884"/>
      <c r="AI137" s="883"/>
      <c r="AJ137" s="883"/>
      <c r="AK137" s="886"/>
      <c r="AL137" s="886"/>
      <c r="AM137" s="883"/>
      <c r="AN137" s="883"/>
      <c r="AO137" s="883"/>
      <c r="AP137" s="883"/>
      <c r="AQ137" s="883"/>
      <c r="AR137" s="883"/>
      <c r="AS137" s="883"/>
      <c r="AT137" s="883"/>
      <c r="AU137" s="883"/>
      <c r="AV137" s="883"/>
      <c r="AW137" s="883"/>
      <c r="AX137" s="883"/>
    </row>
    <row r="138" spans="1:50" s="917" customFormat="1" x14ac:dyDescent="0.55000000000000004">
      <c r="A138" s="883"/>
      <c r="B138" s="883"/>
      <c r="C138" s="884"/>
      <c r="D138" s="884"/>
      <c r="E138" s="884"/>
      <c r="F138" s="884"/>
      <c r="G138" s="883"/>
      <c r="H138" s="883"/>
      <c r="I138" s="883"/>
      <c r="J138" s="884"/>
      <c r="K138" s="884"/>
      <c r="L138" s="884"/>
      <c r="M138" s="885"/>
      <c r="N138" s="883"/>
      <c r="O138" s="883"/>
      <c r="P138" s="883"/>
      <c r="Q138" s="886"/>
      <c r="R138" s="886"/>
      <c r="S138" s="886"/>
      <c r="T138" s="884"/>
      <c r="U138" s="884"/>
      <c r="V138" s="887"/>
      <c r="W138" s="883"/>
      <c r="X138" s="888"/>
      <c r="Y138" s="888"/>
      <c r="Z138" s="1227"/>
      <c r="AA138" s="1227"/>
      <c r="AC138" s="883"/>
      <c r="AD138" s="883"/>
      <c r="AE138" s="883"/>
      <c r="AF138" s="883"/>
      <c r="AG138" s="883"/>
      <c r="AH138" s="884"/>
      <c r="AI138" s="883"/>
      <c r="AJ138" s="883"/>
      <c r="AK138" s="886"/>
      <c r="AL138" s="886"/>
      <c r="AM138" s="883"/>
      <c r="AN138" s="883"/>
      <c r="AO138" s="883"/>
      <c r="AP138" s="883"/>
      <c r="AQ138" s="883"/>
      <c r="AR138" s="883"/>
      <c r="AS138" s="883"/>
      <c r="AT138" s="883"/>
      <c r="AU138" s="883"/>
      <c r="AV138" s="883"/>
      <c r="AW138" s="883"/>
      <c r="AX138" s="883"/>
    </row>
    <row r="139" spans="1:50" s="917" customFormat="1" x14ac:dyDescent="0.55000000000000004">
      <c r="A139" s="883"/>
      <c r="B139" s="883"/>
      <c r="C139" s="884"/>
      <c r="D139" s="884"/>
      <c r="E139" s="884"/>
      <c r="F139" s="884"/>
      <c r="G139" s="883"/>
      <c r="H139" s="883"/>
      <c r="I139" s="883"/>
      <c r="J139" s="884"/>
      <c r="K139" s="884"/>
      <c r="L139" s="884"/>
      <c r="M139" s="885"/>
      <c r="N139" s="883"/>
      <c r="O139" s="883"/>
      <c r="P139" s="883"/>
      <c r="Q139" s="886"/>
      <c r="R139" s="886"/>
      <c r="S139" s="886"/>
      <c r="T139" s="884"/>
      <c r="U139" s="884"/>
      <c r="V139" s="887"/>
      <c r="W139" s="883"/>
      <c r="X139" s="888"/>
      <c r="Y139" s="888"/>
      <c r="Z139" s="1227"/>
      <c r="AA139" s="1227"/>
      <c r="AC139" s="883"/>
      <c r="AD139" s="883"/>
      <c r="AE139" s="883"/>
      <c r="AF139" s="883"/>
      <c r="AG139" s="883"/>
      <c r="AH139" s="884"/>
      <c r="AI139" s="883"/>
      <c r="AJ139" s="883"/>
      <c r="AK139" s="886"/>
      <c r="AL139" s="886"/>
      <c r="AM139" s="883"/>
      <c r="AN139" s="883"/>
      <c r="AO139" s="883"/>
      <c r="AP139" s="883"/>
      <c r="AQ139" s="883"/>
      <c r="AR139" s="883"/>
      <c r="AS139" s="883"/>
      <c r="AT139" s="883"/>
      <c r="AU139" s="883"/>
      <c r="AV139" s="883"/>
      <c r="AW139" s="883"/>
      <c r="AX139" s="883"/>
    </row>
    <row r="140" spans="1:50" s="917" customFormat="1" x14ac:dyDescent="0.55000000000000004">
      <c r="A140" s="883"/>
      <c r="B140" s="883"/>
      <c r="C140" s="884"/>
      <c r="D140" s="884"/>
      <c r="E140" s="884"/>
      <c r="F140" s="884"/>
      <c r="G140" s="883"/>
      <c r="H140" s="883"/>
      <c r="I140" s="883"/>
      <c r="J140" s="884"/>
      <c r="K140" s="884"/>
      <c r="L140" s="884"/>
      <c r="M140" s="885"/>
      <c r="N140" s="883"/>
      <c r="O140" s="883"/>
      <c r="P140" s="883"/>
      <c r="Q140" s="886"/>
      <c r="R140" s="886"/>
      <c r="S140" s="886"/>
      <c r="T140" s="884"/>
      <c r="U140" s="884"/>
      <c r="V140" s="887"/>
      <c r="W140" s="883"/>
      <c r="X140" s="888"/>
      <c r="Y140" s="888"/>
      <c r="Z140" s="1227"/>
      <c r="AA140" s="1227"/>
      <c r="AC140" s="883"/>
      <c r="AD140" s="883"/>
      <c r="AE140" s="883"/>
      <c r="AF140" s="883"/>
      <c r="AG140" s="883"/>
      <c r="AH140" s="884"/>
      <c r="AI140" s="883"/>
      <c r="AJ140" s="883"/>
      <c r="AK140" s="886"/>
      <c r="AL140" s="886"/>
      <c r="AM140" s="883"/>
      <c r="AN140" s="883"/>
      <c r="AO140" s="883"/>
      <c r="AP140" s="883"/>
      <c r="AQ140" s="883"/>
      <c r="AR140" s="883"/>
      <c r="AS140" s="883"/>
      <c r="AT140" s="883"/>
      <c r="AU140" s="883"/>
      <c r="AV140" s="883"/>
      <c r="AW140" s="883"/>
      <c r="AX140" s="883"/>
    </row>
    <row r="141" spans="1:50" s="917" customFormat="1" x14ac:dyDescent="0.55000000000000004">
      <c r="A141" s="883"/>
      <c r="B141" s="883"/>
      <c r="C141" s="884"/>
      <c r="D141" s="884"/>
      <c r="E141" s="884"/>
      <c r="F141" s="884"/>
      <c r="G141" s="883"/>
      <c r="H141" s="883"/>
      <c r="I141" s="883"/>
      <c r="J141" s="884"/>
      <c r="K141" s="884"/>
      <c r="L141" s="884"/>
      <c r="M141" s="885"/>
      <c r="N141" s="883"/>
      <c r="O141" s="883"/>
      <c r="P141" s="883"/>
      <c r="Q141" s="886"/>
      <c r="R141" s="886"/>
      <c r="S141" s="886"/>
      <c r="T141" s="884"/>
      <c r="U141" s="884"/>
      <c r="V141" s="887"/>
      <c r="W141" s="883"/>
      <c r="X141" s="888"/>
      <c r="Y141" s="888"/>
      <c r="Z141" s="1228"/>
      <c r="AA141" s="1228"/>
      <c r="AC141" s="883"/>
      <c r="AD141" s="883"/>
      <c r="AE141" s="883"/>
      <c r="AF141" s="883"/>
      <c r="AG141" s="883"/>
      <c r="AH141" s="884"/>
      <c r="AI141" s="883"/>
      <c r="AJ141" s="883"/>
      <c r="AK141" s="886"/>
      <c r="AL141" s="886"/>
      <c r="AM141" s="883"/>
      <c r="AN141" s="883"/>
      <c r="AO141" s="883"/>
      <c r="AP141" s="883"/>
      <c r="AQ141" s="883"/>
      <c r="AR141" s="883"/>
      <c r="AS141" s="883"/>
      <c r="AT141" s="883"/>
      <c r="AU141" s="883"/>
      <c r="AV141" s="883"/>
      <c r="AW141" s="883"/>
      <c r="AX141" s="883"/>
    </row>
    <row r="142" spans="1:50" s="917" customFormat="1" x14ac:dyDescent="0.55000000000000004">
      <c r="A142" s="883"/>
      <c r="B142" s="883"/>
      <c r="C142" s="884"/>
      <c r="D142" s="884"/>
      <c r="E142" s="884"/>
      <c r="F142" s="884"/>
      <c r="G142" s="883"/>
      <c r="H142" s="883"/>
      <c r="I142" s="883"/>
      <c r="J142" s="884"/>
      <c r="K142" s="884"/>
      <c r="L142" s="884"/>
      <c r="M142" s="885"/>
      <c r="N142" s="883"/>
      <c r="O142" s="883"/>
      <c r="P142" s="883"/>
      <c r="Q142" s="886"/>
      <c r="R142" s="886"/>
      <c r="S142" s="886"/>
      <c r="T142" s="884"/>
      <c r="U142" s="884"/>
      <c r="V142" s="887"/>
      <c r="W142" s="883"/>
      <c r="X142" s="888"/>
      <c r="Y142" s="888"/>
      <c r="Z142" s="1228"/>
      <c r="AA142" s="1228"/>
      <c r="AC142" s="883"/>
      <c r="AD142" s="883"/>
      <c r="AE142" s="883"/>
      <c r="AF142" s="883"/>
      <c r="AG142" s="883"/>
      <c r="AH142" s="884"/>
      <c r="AI142" s="883"/>
      <c r="AJ142" s="883"/>
      <c r="AK142" s="886"/>
      <c r="AL142" s="886"/>
      <c r="AM142" s="883"/>
      <c r="AN142" s="883"/>
      <c r="AO142" s="883"/>
      <c r="AP142" s="883"/>
      <c r="AQ142" s="883"/>
      <c r="AR142" s="883"/>
      <c r="AS142" s="883"/>
      <c r="AT142" s="883"/>
      <c r="AU142" s="883"/>
      <c r="AV142" s="883"/>
      <c r="AW142" s="883"/>
      <c r="AX142" s="883"/>
    </row>
    <row r="143" spans="1:50" s="917" customFormat="1" x14ac:dyDescent="0.55000000000000004">
      <c r="A143" s="883"/>
      <c r="B143" s="883"/>
      <c r="C143" s="884"/>
      <c r="D143" s="884"/>
      <c r="E143" s="884"/>
      <c r="F143" s="884"/>
      <c r="G143" s="883"/>
      <c r="H143" s="883"/>
      <c r="I143" s="883"/>
      <c r="J143" s="884"/>
      <c r="K143" s="884"/>
      <c r="L143" s="884"/>
      <c r="M143" s="885"/>
      <c r="N143" s="883"/>
      <c r="O143" s="883"/>
      <c r="P143" s="883"/>
      <c r="Q143" s="886"/>
      <c r="R143" s="886"/>
      <c r="S143" s="886"/>
      <c r="T143" s="884"/>
      <c r="U143" s="884"/>
      <c r="V143" s="887"/>
      <c r="W143" s="883"/>
      <c r="X143" s="888"/>
      <c r="Y143" s="888"/>
      <c r="Z143" s="1227"/>
      <c r="AA143" s="1227"/>
      <c r="AC143" s="883"/>
      <c r="AD143" s="883"/>
      <c r="AE143" s="883"/>
      <c r="AF143" s="883"/>
      <c r="AG143" s="883"/>
      <c r="AH143" s="884"/>
      <c r="AI143" s="883"/>
      <c r="AJ143" s="883"/>
      <c r="AK143" s="886"/>
      <c r="AL143" s="886"/>
      <c r="AM143" s="883"/>
      <c r="AN143" s="883"/>
      <c r="AO143" s="883"/>
      <c r="AP143" s="883"/>
      <c r="AQ143" s="883"/>
      <c r="AR143" s="883"/>
      <c r="AS143" s="883"/>
      <c r="AT143" s="883"/>
      <c r="AU143" s="883"/>
      <c r="AV143" s="883"/>
      <c r="AW143" s="883"/>
      <c r="AX143" s="883"/>
    </row>
    <row r="144" spans="1:50" s="917" customFormat="1" x14ac:dyDescent="0.55000000000000004">
      <c r="A144" s="883"/>
      <c r="B144" s="883"/>
      <c r="C144" s="884"/>
      <c r="D144" s="884"/>
      <c r="E144" s="884"/>
      <c r="F144" s="884"/>
      <c r="G144" s="883"/>
      <c r="H144" s="883"/>
      <c r="I144" s="883"/>
      <c r="J144" s="884"/>
      <c r="K144" s="884"/>
      <c r="L144" s="884"/>
      <c r="M144" s="885"/>
      <c r="N144" s="883"/>
      <c r="O144" s="883"/>
      <c r="P144" s="883"/>
      <c r="Q144" s="886"/>
      <c r="R144" s="886"/>
      <c r="S144" s="886"/>
      <c r="T144" s="884"/>
      <c r="U144" s="884"/>
      <c r="V144" s="887"/>
      <c r="W144" s="883"/>
      <c r="X144" s="888"/>
      <c r="Y144" s="888"/>
      <c r="Z144" s="1227"/>
      <c r="AA144" s="1227"/>
      <c r="AC144" s="883"/>
      <c r="AD144" s="883"/>
      <c r="AE144" s="883"/>
      <c r="AF144" s="883"/>
      <c r="AG144" s="883"/>
      <c r="AH144" s="884"/>
      <c r="AI144" s="883"/>
      <c r="AJ144" s="883"/>
      <c r="AK144" s="886"/>
      <c r="AL144" s="886"/>
      <c r="AM144" s="883"/>
      <c r="AN144" s="883"/>
      <c r="AO144" s="883"/>
      <c r="AP144" s="883"/>
      <c r="AQ144" s="883"/>
      <c r="AR144" s="883"/>
      <c r="AS144" s="883"/>
      <c r="AT144" s="883"/>
      <c r="AU144" s="883"/>
      <c r="AV144" s="883"/>
      <c r="AW144" s="883"/>
      <c r="AX144" s="883"/>
    </row>
    <row r="145" spans="1:50" s="917" customFormat="1" x14ac:dyDescent="0.55000000000000004">
      <c r="A145" s="883"/>
      <c r="B145" s="883"/>
      <c r="C145" s="884"/>
      <c r="D145" s="884"/>
      <c r="E145" s="884"/>
      <c r="F145" s="884"/>
      <c r="G145" s="883"/>
      <c r="H145" s="883"/>
      <c r="I145" s="883"/>
      <c r="J145" s="884"/>
      <c r="K145" s="884"/>
      <c r="L145" s="884"/>
      <c r="M145" s="885"/>
      <c r="N145" s="883"/>
      <c r="O145" s="883"/>
      <c r="P145" s="883"/>
      <c r="Q145" s="886"/>
      <c r="R145" s="886"/>
      <c r="S145" s="886"/>
      <c r="T145" s="884"/>
      <c r="U145" s="884"/>
      <c r="V145" s="887"/>
      <c r="W145" s="883"/>
      <c r="X145" s="888"/>
      <c r="Y145" s="888"/>
      <c r="Z145" s="1227"/>
      <c r="AA145" s="1227"/>
      <c r="AC145" s="883"/>
      <c r="AD145" s="883"/>
      <c r="AE145" s="883"/>
      <c r="AF145" s="883"/>
      <c r="AG145" s="883"/>
      <c r="AH145" s="884"/>
      <c r="AI145" s="883"/>
      <c r="AJ145" s="883"/>
      <c r="AK145" s="886"/>
      <c r="AL145" s="886"/>
      <c r="AM145" s="883"/>
      <c r="AN145" s="883"/>
      <c r="AO145" s="883"/>
      <c r="AP145" s="883"/>
      <c r="AQ145" s="883"/>
      <c r="AR145" s="883"/>
      <c r="AS145" s="883"/>
      <c r="AT145" s="883"/>
      <c r="AU145" s="883"/>
      <c r="AV145" s="883"/>
      <c r="AW145" s="883"/>
      <c r="AX145" s="883"/>
    </row>
    <row r="146" spans="1:50" s="917" customFormat="1" x14ac:dyDescent="0.55000000000000004">
      <c r="A146" s="883"/>
      <c r="B146" s="883"/>
      <c r="C146" s="884"/>
      <c r="D146" s="884"/>
      <c r="E146" s="884"/>
      <c r="F146" s="884"/>
      <c r="G146" s="883"/>
      <c r="H146" s="883"/>
      <c r="I146" s="883"/>
      <c r="J146" s="884"/>
      <c r="K146" s="884"/>
      <c r="L146" s="884"/>
      <c r="M146" s="885"/>
      <c r="N146" s="883"/>
      <c r="O146" s="883"/>
      <c r="P146" s="883"/>
      <c r="Q146" s="886"/>
      <c r="R146" s="886"/>
      <c r="S146" s="886"/>
      <c r="T146" s="884"/>
      <c r="U146" s="884"/>
      <c r="V146" s="887"/>
      <c r="W146" s="883"/>
      <c r="X146" s="888"/>
      <c r="Y146" s="888"/>
      <c r="Z146" s="1228"/>
      <c r="AA146" s="1228"/>
      <c r="AC146" s="883"/>
      <c r="AD146" s="883"/>
      <c r="AE146" s="883"/>
      <c r="AF146" s="883"/>
      <c r="AG146" s="883"/>
      <c r="AH146" s="884"/>
      <c r="AI146" s="883"/>
      <c r="AJ146" s="883"/>
      <c r="AK146" s="886"/>
      <c r="AL146" s="886"/>
      <c r="AM146" s="883"/>
      <c r="AN146" s="883"/>
      <c r="AO146" s="883"/>
      <c r="AP146" s="883"/>
      <c r="AQ146" s="883"/>
      <c r="AR146" s="883"/>
      <c r="AS146" s="883"/>
      <c r="AT146" s="883"/>
      <c r="AU146" s="883"/>
      <c r="AV146" s="883"/>
      <c r="AW146" s="883"/>
      <c r="AX146" s="883"/>
    </row>
    <row r="147" spans="1:50" s="917" customFormat="1" x14ac:dyDescent="0.55000000000000004">
      <c r="A147" s="883"/>
      <c r="B147" s="883"/>
      <c r="C147" s="884"/>
      <c r="D147" s="884"/>
      <c r="E147" s="884"/>
      <c r="F147" s="884"/>
      <c r="G147" s="883"/>
      <c r="H147" s="883"/>
      <c r="I147" s="883"/>
      <c r="J147" s="884"/>
      <c r="K147" s="884"/>
      <c r="L147" s="884"/>
      <c r="M147" s="885"/>
      <c r="N147" s="883"/>
      <c r="O147" s="883"/>
      <c r="P147" s="883"/>
      <c r="Q147" s="886"/>
      <c r="R147" s="886"/>
      <c r="S147" s="886"/>
      <c r="T147" s="884"/>
      <c r="U147" s="884"/>
      <c r="V147" s="887"/>
      <c r="W147" s="883"/>
      <c r="X147" s="888"/>
      <c r="Y147" s="888"/>
      <c r="Z147" s="1227"/>
      <c r="AA147" s="1227"/>
      <c r="AC147" s="883"/>
      <c r="AD147" s="883"/>
      <c r="AE147" s="883"/>
      <c r="AF147" s="883"/>
      <c r="AG147" s="883"/>
      <c r="AH147" s="884"/>
      <c r="AI147" s="883"/>
      <c r="AJ147" s="883"/>
      <c r="AK147" s="886"/>
      <c r="AL147" s="886"/>
      <c r="AM147" s="883"/>
      <c r="AN147" s="883"/>
      <c r="AO147" s="883"/>
      <c r="AP147" s="883"/>
      <c r="AQ147" s="883"/>
      <c r="AR147" s="883"/>
      <c r="AS147" s="883"/>
      <c r="AT147" s="883"/>
      <c r="AU147" s="883"/>
      <c r="AV147" s="883"/>
      <c r="AW147" s="883"/>
      <c r="AX147" s="883"/>
    </row>
    <row r="148" spans="1:50" s="917" customFormat="1" x14ac:dyDescent="0.55000000000000004">
      <c r="A148" s="883"/>
      <c r="B148" s="883"/>
      <c r="C148" s="884"/>
      <c r="D148" s="884"/>
      <c r="E148" s="884"/>
      <c r="F148" s="884"/>
      <c r="G148" s="883"/>
      <c r="H148" s="883"/>
      <c r="I148" s="883"/>
      <c r="J148" s="884"/>
      <c r="K148" s="884"/>
      <c r="L148" s="884"/>
      <c r="M148" s="885"/>
      <c r="N148" s="883"/>
      <c r="O148" s="883"/>
      <c r="P148" s="883"/>
      <c r="Q148" s="886"/>
      <c r="R148" s="886"/>
      <c r="S148" s="886"/>
      <c r="T148" s="884"/>
      <c r="U148" s="884"/>
      <c r="V148" s="887"/>
      <c r="W148" s="883"/>
      <c r="X148" s="888"/>
      <c r="Y148" s="888"/>
      <c r="Z148" s="1227"/>
      <c r="AA148" s="1227"/>
      <c r="AC148" s="883"/>
      <c r="AD148" s="883"/>
      <c r="AE148" s="883"/>
      <c r="AF148" s="883"/>
      <c r="AG148" s="883"/>
      <c r="AH148" s="884"/>
      <c r="AI148" s="883"/>
      <c r="AJ148" s="883"/>
      <c r="AK148" s="886"/>
      <c r="AL148" s="886"/>
      <c r="AM148" s="883"/>
      <c r="AN148" s="883"/>
      <c r="AO148" s="883"/>
      <c r="AP148" s="883"/>
      <c r="AQ148" s="883"/>
      <c r="AR148" s="883"/>
      <c r="AS148" s="883"/>
      <c r="AT148" s="883"/>
      <c r="AU148" s="883"/>
      <c r="AV148" s="883"/>
      <c r="AW148" s="883"/>
      <c r="AX148" s="883"/>
    </row>
    <row r="149" spans="1:50" s="917" customFormat="1" x14ac:dyDescent="0.55000000000000004">
      <c r="A149" s="883"/>
      <c r="B149" s="883"/>
      <c r="C149" s="884"/>
      <c r="D149" s="884"/>
      <c r="E149" s="884"/>
      <c r="F149" s="884"/>
      <c r="G149" s="883"/>
      <c r="H149" s="883"/>
      <c r="I149" s="883"/>
      <c r="J149" s="884"/>
      <c r="K149" s="884"/>
      <c r="L149" s="884"/>
      <c r="M149" s="885"/>
      <c r="N149" s="883"/>
      <c r="O149" s="883"/>
      <c r="P149" s="883"/>
      <c r="Q149" s="886"/>
      <c r="R149" s="886"/>
      <c r="S149" s="886"/>
      <c r="T149" s="884"/>
      <c r="U149" s="884"/>
      <c r="V149" s="887"/>
      <c r="W149" s="883"/>
      <c r="X149" s="888"/>
      <c r="Y149" s="888"/>
      <c r="Z149" s="1227"/>
      <c r="AA149" s="1227"/>
      <c r="AC149" s="883"/>
      <c r="AD149" s="883"/>
      <c r="AE149" s="883"/>
      <c r="AF149" s="883"/>
      <c r="AG149" s="883"/>
      <c r="AH149" s="884"/>
      <c r="AI149" s="883"/>
      <c r="AJ149" s="883"/>
      <c r="AK149" s="886"/>
      <c r="AL149" s="886"/>
      <c r="AM149" s="883"/>
      <c r="AN149" s="883"/>
      <c r="AO149" s="883"/>
      <c r="AP149" s="883"/>
      <c r="AQ149" s="883"/>
      <c r="AR149" s="883"/>
      <c r="AS149" s="883"/>
      <c r="AT149" s="883"/>
      <c r="AU149" s="883"/>
      <c r="AV149" s="883"/>
      <c r="AW149" s="883"/>
      <c r="AX149" s="883"/>
    </row>
    <row r="150" spans="1:50" s="917" customFormat="1" x14ac:dyDescent="0.55000000000000004">
      <c r="A150" s="883"/>
      <c r="B150" s="883"/>
      <c r="C150" s="884"/>
      <c r="D150" s="884"/>
      <c r="E150" s="884"/>
      <c r="F150" s="884"/>
      <c r="G150" s="883"/>
      <c r="H150" s="883"/>
      <c r="I150" s="883"/>
      <c r="J150" s="884"/>
      <c r="K150" s="884"/>
      <c r="L150" s="884"/>
      <c r="M150" s="885"/>
      <c r="N150" s="883"/>
      <c r="O150" s="883"/>
      <c r="P150" s="883"/>
      <c r="Q150" s="886"/>
      <c r="R150" s="886"/>
      <c r="S150" s="886"/>
      <c r="T150" s="884"/>
      <c r="U150" s="884"/>
      <c r="V150" s="887"/>
      <c r="W150" s="883"/>
      <c r="X150" s="888"/>
      <c r="Y150" s="888"/>
      <c r="Z150" s="1228"/>
      <c r="AA150" s="1228"/>
      <c r="AC150" s="883"/>
      <c r="AD150" s="883"/>
      <c r="AE150" s="883"/>
      <c r="AF150" s="883"/>
      <c r="AG150" s="883"/>
      <c r="AH150" s="884"/>
      <c r="AI150" s="883"/>
      <c r="AJ150" s="883"/>
      <c r="AK150" s="886"/>
      <c r="AL150" s="886"/>
      <c r="AM150" s="883"/>
      <c r="AN150" s="883"/>
      <c r="AO150" s="883"/>
      <c r="AP150" s="883"/>
      <c r="AQ150" s="883"/>
      <c r="AR150" s="883"/>
      <c r="AS150" s="883"/>
      <c r="AT150" s="883"/>
      <c r="AU150" s="883"/>
      <c r="AV150" s="883"/>
      <c r="AW150" s="883"/>
      <c r="AX150" s="883"/>
    </row>
    <row r="151" spans="1:50" s="917" customFormat="1" x14ac:dyDescent="0.55000000000000004">
      <c r="A151" s="883"/>
      <c r="B151" s="883"/>
      <c r="C151" s="884"/>
      <c r="D151" s="884"/>
      <c r="E151" s="884"/>
      <c r="F151" s="884"/>
      <c r="G151" s="883"/>
      <c r="H151" s="883"/>
      <c r="I151" s="883"/>
      <c r="J151" s="884"/>
      <c r="K151" s="884"/>
      <c r="L151" s="884"/>
      <c r="M151" s="885"/>
      <c r="N151" s="883"/>
      <c r="O151" s="883"/>
      <c r="P151" s="883"/>
      <c r="Q151" s="886"/>
      <c r="R151" s="886"/>
      <c r="S151" s="886"/>
      <c r="T151" s="884"/>
      <c r="U151" s="884"/>
      <c r="V151" s="887"/>
      <c r="W151" s="883"/>
      <c r="X151" s="888"/>
      <c r="Y151" s="888"/>
      <c r="Z151" s="920"/>
      <c r="AA151" s="1228"/>
      <c r="AC151" s="883"/>
      <c r="AD151" s="883"/>
      <c r="AE151" s="883"/>
      <c r="AF151" s="883"/>
      <c r="AG151" s="883"/>
      <c r="AH151" s="884"/>
      <c r="AI151" s="883"/>
      <c r="AJ151" s="883"/>
      <c r="AK151" s="886"/>
      <c r="AL151" s="886"/>
      <c r="AM151" s="883"/>
      <c r="AN151" s="883"/>
      <c r="AO151" s="883"/>
      <c r="AP151" s="883"/>
      <c r="AQ151" s="883"/>
      <c r="AR151" s="883"/>
      <c r="AS151" s="883"/>
      <c r="AT151" s="883"/>
      <c r="AU151" s="883"/>
      <c r="AV151" s="883"/>
      <c r="AW151" s="883"/>
      <c r="AX151" s="883"/>
    </row>
    <row r="152" spans="1:50" s="917" customFormat="1" x14ac:dyDescent="0.55000000000000004">
      <c r="A152" s="883"/>
      <c r="B152" s="883"/>
      <c r="C152" s="884"/>
      <c r="D152" s="884"/>
      <c r="E152" s="884"/>
      <c r="F152" s="884"/>
      <c r="G152" s="883"/>
      <c r="H152" s="883"/>
      <c r="I152" s="883"/>
      <c r="J152" s="884"/>
      <c r="K152" s="884"/>
      <c r="L152" s="884"/>
      <c r="M152" s="885"/>
      <c r="N152" s="883"/>
      <c r="O152" s="883"/>
      <c r="P152" s="883"/>
      <c r="Q152" s="886"/>
      <c r="R152" s="886"/>
      <c r="S152" s="886"/>
      <c r="T152" s="884"/>
      <c r="U152" s="884"/>
      <c r="V152" s="887"/>
      <c r="W152" s="883"/>
      <c r="X152" s="888"/>
      <c r="Y152" s="888"/>
      <c r="Z152" s="1227"/>
      <c r="AA152" s="1227"/>
      <c r="AC152" s="883"/>
      <c r="AD152" s="883"/>
      <c r="AE152" s="883"/>
      <c r="AF152" s="883"/>
      <c r="AG152" s="883"/>
      <c r="AH152" s="884"/>
      <c r="AI152" s="883"/>
      <c r="AJ152" s="883"/>
      <c r="AK152" s="886"/>
      <c r="AL152" s="886"/>
      <c r="AM152" s="883"/>
      <c r="AN152" s="883"/>
      <c r="AO152" s="883"/>
      <c r="AP152" s="883"/>
      <c r="AQ152" s="883"/>
      <c r="AR152" s="883"/>
      <c r="AS152" s="883"/>
      <c r="AT152" s="883"/>
      <c r="AU152" s="883"/>
      <c r="AV152" s="883"/>
      <c r="AW152" s="883"/>
      <c r="AX152" s="883"/>
    </row>
    <row r="153" spans="1:50" s="917" customFormat="1" x14ac:dyDescent="0.55000000000000004">
      <c r="A153" s="883"/>
      <c r="B153" s="883"/>
      <c r="C153" s="884"/>
      <c r="D153" s="884"/>
      <c r="E153" s="884"/>
      <c r="F153" s="884"/>
      <c r="G153" s="883"/>
      <c r="H153" s="883"/>
      <c r="I153" s="883"/>
      <c r="J153" s="884"/>
      <c r="K153" s="884"/>
      <c r="L153" s="884"/>
      <c r="M153" s="885"/>
      <c r="N153" s="883"/>
      <c r="O153" s="883"/>
      <c r="P153" s="883"/>
      <c r="Q153" s="886"/>
      <c r="R153" s="886"/>
      <c r="S153" s="886"/>
      <c r="T153" s="884"/>
      <c r="U153" s="884"/>
      <c r="V153" s="887"/>
      <c r="W153" s="883"/>
      <c r="X153" s="888"/>
      <c r="Y153" s="888"/>
      <c r="Z153" s="1227"/>
      <c r="AA153" s="1227"/>
      <c r="AC153" s="883"/>
      <c r="AD153" s="883"/>
      <c r="AE153" s="883"/>
      <c r="AF153" s="883"/>
      <c r="AG153" s="883"/>
      <c r="AH153" s="884"/>
      <c r="AI153" s="883"/>
      <c r="AJ153" s="883"/>
      <c r="AK153" s="886"/>
      <c r="AL153" s="886"/>
      <c r="AM153" s="883"/>
      <c r="AN153" s="883"/>
      <c r="AO153" s="883"/>
      <c r="AP153" s="883"/>
      <c r="AQ153" s="883"/>
      <c r="AR153" s="883"/>
      <c r="AS153" s="883"/>
      <c r="AT153" s="883"/>
      <c r="AU153" s="883"/>
      <c r="AV153" s="883"/>
      <c r="AW153" s="883"/>
      <c r="AX153" s="883"/>
    </row>
    <row r="154" spans="1:50" s="917" customFormat="1" x14ac:dyDescent="0.55000000000000004">
      <c r="A154" s="883"/>
      <c r="B154" s="883"/>
      <c r="C154" s="884"/>
      <c r="D154" s="884"/>
      <c r="E154" s="884"/>
      <c r="F154" s="884"/>
      <c r="G154" s="883"/>
      <c r="H154" s="883"/>
      <c r="I154" s="883"/>
      <c r="J154" s="884"/>
      <c r="K154" s="884"/>
      <c r="L154" s="884"/>
      <c r="M154" s="885"/>
      <c r="N154" s="883"/>
      <c r="O154" s="883"/>
      <c r="P154" s="883"/>
      <c r="Q154" s="886"/>
      <c r="R154" s="886"/>
      <c r="S154" s="886"/>
      <c r="T154" s="884"/>
      <c r="U154" s="884"/>
      <c r="V154" s="887"/>
      <c r="W154" s="883"/>
      <c r="X154" s="888"/>
      <c r="Y154" s="888"/>
      <c r="Z154" s="1227"/>
      <c r="AA154" s="1227"/>
      <c r="AC154" s="883"/>
      <c r="AD154" s="883"/>
      <c r="AE154" s="883"/>
      <c r="AF154" s="883"/>
      <c r="AG154" s="883"/>
      <c r="AH154" s="884"/>
      <c r="AI154" s="883"/>
      <c r="AJ154" s="883"/>
      <c r="AK154" s="886"/>
      <c r="AL154" s="886"/>
      <c r="AM154" s="883"/>
      <c r="AN154" s="883"/>
      <c r="AO154" s="883"/>
      <c r="AP154" s="883"/>
      <c r="AQ154" s="883"/>
      <c r="AR154" s="883"/>
      <c r="AS154" s="883"/>
      <c r="AT154" s="883"/>
      <c r="AU154" s="883"/>
      <c r="AV154" s="883"/>
      <c r="AW154" s="883"/>
      <c r="AX154" s="883"/>
    </row>
    <row r="155" spans="1:50" s="917" customFormat="1" x14ac:dyDescent="0.55000000000000004">
      <c r="A155" s="883"/>
      <c r="B155" s="883"/>
      <c r="C155" s="884"/>
      <c r="D155" s="884"/>
      <c r="E155" s="884"/>
      <c r="F155" s="884"/>
      <c r="G155" s="883"/>
      <c r="H155" s="883"/>
      <c r="I155" s="883"/>
      <c r="J155" s="884"/>
      <c r="K155" s="884"/>
      <c r="L155" s="884"/>
      <c r="M155" s="885"/>
      <c r="N155" s="883"/>
      <c r="O155" s="883"/>
      <c r="P155" s="883"/>
      <c r="Q155" s="886"/>
      <c r="R155" s="886"/>
      <c r="S155" s="886"/>
      <c r="T155" s="884"/>
      <c r="U155" s="884"/>
      <c r="V155" s="887"/>
      <c r="W155" s="883"/>
      <c r="X155" s="888"/>
      <c r="Y155" s="888"/>
      <c r="Z155" s="1228"/>
      <c r="AA155" s="1228"/>
      <c r="AC155" s="883"/>
      <c r="AD155" s="883"/>
      <c r="AE155" s="883"/>
      <c r="AF155" s="883"/>
      <c r="AG155" s="883"/>
      <c r="AH155" s="884"/>
      <c r="AI155" s="883"/>
      <c r="AJ155" s="883"/>
      <c r="AK155" s="886"/>
      <c r="AL155" s="886"/>
      <c r="AM155" s="883"/>
      <c r="AN155" s="883"/>
      <c r="AO155" s="883"/>
      <c r="AP155" s="883"/>
      <c r="AQ155" s="883"/>
      <c r="AR155" s="883"/>
      <c r="AS155" s="883"/>
      <c r="AT155" s="883"/>
      <c r="AU155" s="883"/>
      <c r="AV155" s="883"/>
      <c r="AW155" s="883"/>
      <c r="AX155" s="883"/>
    </row>
    <row r="156" spans="1:50" s="917" customFormat="1" x14ac:dyDescent="0.55000000000000004">
      <c r="A156" s="883"/>
      <c r="B156" s="883"/>
      <c r="C156" s="884"/>
      <c r="D156" s="884"/>
      <c r="E156" s="884"/>
      <c r="F156" s="884"/>
      <c r="G156" s="883"/>
      <c r="H156" s="883"/>
      <c r="I156" s="883"/>
      <c r="J156" s="884"/>
      <c r="K156" s="884"/>
      <c r="L156" s="884"/>
      <c r="M156" s="885"/>
      <c r="N156" s="883"/>
      <c r="O156" s="883"/>
      <c r="P156" s="883"/>
      <c r="Q156" s="886"/>
      <c r="R156" s="886"/>
      <c r="S156" s="886"/>
      <c r="T156" s="884"/>
      <c r="U156" s="884"/>
      <c r="V156" s="887"/>
      <c r="W156" s="883"/>
      <c r="X156" s="888"/>
      <c r="Y156" s="888"/>
      <c r="Z156" s="1227"/>
      <c r="AA156" s="1227"/>
      <c r="AC156" s="883"/>
      <c r="AD156" s="883"/>
      <c r="AE156" s="883"/>
      <c r="AF156" s="883"/>
      <c r="AG156" s="883"/>
      <c r="AH156" s="884"/>
      <c r="AI156" s="883"/>
      <c r="AJ156" s="883"/>
      <c r="AK156" s="886"/>
      <c r="AL156" s="886"/>
      <c r="AM156" s="883"/>
      <c r="AN156" s="883"/>
      <c r="AO156" s="883"/>
      <c r="AP156" s="883"/>
      <c r="AQ156" s="883"/>
      <c r="AR156" s="883"/>
      <c r="AS156" s="883"/>
      <c r="AT156" s="883"/>
      <c r="AU156" s="883"/>
      <c r="AV156" s="883"/>
      <c r="AW156" s="883"/>
      <c r="AX156" s="883"/>
    </row>
    <row r="157" spans="1:50" s="917" customFormat="1" x14ac:dyDescent="0.55000000000000004">
      <c r="A157" s="883"/>
      <c r="B157" s="883"/>
      <c r="C157" s="884"/>
      <c r="D157" s="884"/>
      <c r="E157" s="884"/>
      <c r="F157" s="884"/>
      <c r="G157" s="883"/>
      <c r="H157" s="883"/>
      <c r="I157" s="883"/>
      <c r="J157" s="884"/>
      <c r="K157" s="884"/>
      <c r="L157" s="884"/>
      <c r="M157" s="885"/>
      <c r="N157" s="883"/>
      <c r="O157" s="883"/>
      <c r="P157" s="883"/>
      <c r="Q157" s="886"/>
      <c r="R157" s="886"/>
      <c r="S157" s="886"/>
      <c r="T157" s="884"/>
      <c r="U157" s="884"/>
      <c r="V157" s="887"/>
      <c r="W157" s="883"/>
      <c r="X157" s="888"/>
      <c r="Y157" s="888"/>
      <c r="Z157" s="1227"/>
      <c r="AA157" s="1227"/>
      <c r="AC157" s="883"/>
      <c r="AD157" s="883"/>
      <c r="AE157" s="883"/>
      <c r="AF157" s="883"/>
      <c r="AG157" s="883"/>
      <c r="AH157" s="884"/>
      <c r="AI157" s="883"/>
      <c r="AJ157" s="883"/>
      <c r="AK157" s="886"/>
      <c r="AL157" s="886"/>
      <c r="AM157" s="883"/>
      <c r="AN157" s="883"/>
      <c r="AO157" s="883"/>
      <c r="AP157" s="883"/>
      <c r="AQ157" s="883"/>
      <c r="AR157" s="883"/>
      <c r="AS157" s="883"/>
      <c r="AT157" s="883"/>
      <c r="AU157" s="883"/>
      <c r="AV157" s="883"/>
      <c r="AW157" s="883"/>
      <c r="AX157" s="883"/>
    </row>
    <row r="158" spans="1:50" s="917" customFormat="1" x14ac:dyDescent="0.55000000000000004">
      <c r="A158" s="883"/>
      <c r="B158" s="883"/>
      <c r="C158" s="884"/>
      <c r="D158" s="884"/>
      <c r="E158" s="884"/>
      <c r="F158" s="884"/>
      <c r="G158" s="883"/>
      <c r="H158" s="883"/>
      <c r="I158" s="883"/>
      <c r="J158" s="884"/>
      <c r="K158" s="884"/>
      <c r="L158" s="884"/>
      <c r="M158" s="885"/>
      <c r="N158" s="883"/>
      <c r="O158" s="883"/>
      <c r="P158" s="883"/>
      <c r="Q158" s="886"/>
      <c r="R158" s="886"/>
      <c r="S158" s="886"/>
      <c r="T158" s="884"/>
      <c r="U158" s="884"/>
      <c r="V158" s="887"/>
      <c r="W158" s="883"/>
      <c r="X158" s="888"/>
      <c r="Y158" s="888"/>
      <c r="Z158" s="1227"/>
      <c r="AA158" s="1227"/>
      <c r="AC158" s="883"/>
      <c r="AD158" s="883"/>
      <c r="AE158" s="883"/>
      <c r="AF158" s="883"/>
      <c r="AG158" s="883"/>
      <c r="AH158" s="884"/>
      <c r="AI158" s="883"/>
      <c r="AJ158" s="883"/>
      <c r="AK158" s="886"/>
      <c r="AL158" s="886"/>
      <c r="AM158" s="883"/>
      <c r="AN158" s="883"/>
      <c r="AO158" s="883"/>
      <c r="AP158" s="883"/>
      <c r="AQ158" s="883"/>
      <c r="AR158" s="883"/>
      <c r="AS158" s="883"/>
      <c r="AT158" s="883"/>
      <c r="AU158" s="883"/>
      <c r="AV158" s="883"/>
      <c r="AW158" s="883"/>
      <c r="AX158" s="883"/>
    </row>
    <row r="159" spans="1:50" s="917" customFormat="1" x14ac:dyDescent="0.55000000000000004">
      <c r="A159" s="883"/>
      <c r="B159" s="883"/>
      <c r="C159" s="884"/>
      <c r="D159" s="884"/>
      <c r="E159" s="884"/>
      <c r="F159" s="884"/>
      <c r="G159" s="883"/>
      <c r="H159" s="883"/>
      <c r="I159" s="883"/>
      <c r="J159" s="884"/>
      <c r="K159" s="884"/>
      <c r="L159" s="884"/>
      <c r="M159" s="885"/>
      <c r="N159" s="883"/>
      <c r="O159" s="883"/>
      <c r="P159" s="883"/>
      <c r="Q159" s="886"/>
      <c r="R159" s="886"/>
      <c r="S159" s="886"/>
      <c r="T159" s="884"/>
      <c r="U159" s="884"/>
      <c r="V159" s="887"/>
      <c r="W159" s="883"/>
      <c r="X159" s="888"/>
      <c r="Y159" s="888"/>
      <c r="Z159" s="1227"/>
      <c r="AA159" s="1227"/>
      <c r="AC159" s="883"/>
      <c r="AD159" s="883"/>
      <c r="AE159" s="883"/>
      <c r="AF159" s="883"/>
      <c r="AG159" s="883"/>
      <c r="AH159" s="884"/>
      <c r="AI159" s="883"/>
      <c r="AJ159" s="883"/>
      <c r="AK159" s="886"/>
      <c r="AL159" s="886"/>
      <c r="AM159" s="883"/>
      <c r="AN159" s="883"/>
      <c r="AO159" s="883"/>
      <c r="AP159" s="883"/>
      <c r="AQ159" s="883"/>
      <c r="AR159" s="883"/>
      <c r="AS159" s="883"/>
      <c r="AT159" s="883"/>
      <c r="AU159" s="883"/>
      <c r="AV159" s="883"/>
      <c r="AW159" s="883"/>
      <c r="AX159" s="883"/>
    </row>
    <row r="160" spans="1:50" s="917" customFormat="1" x14ac:dyDescent="0.55000000000000004">
      <c r="A160" s="883"/>
      <c r="B160" s="883"/>
      <c r="C160" s="884"/>
      <c r="D160" s="884"/>
      <c r="E160" s="884"/>
      <c r="F160" s="884"/>
      <c r="G160" s="883"/>
      <c r="H160" s="883"/>
      <c r="I160" s="883"/>
      <c r="J160" s="884"/>
      <c r="K160" s="884"/>
      <c r="L160" s="884"/>
      <c r="M160" s="885"/>
      <c r="N160" s="883"/>
      <c r="O160" s="883"/>
      <c r="P160" s="883"/>
      <c r="Q160" s="886"/>
      <c r="R160" s="886"/>
      <c r="S160" s="886"/>
      <c r="T160" s="884"/>
      <c r="U160" s="884"/>
      <c r="V160" s="887"/>
      <c r="W160" s="883"/>
      <c r="X160" s="888"/>
      <c r="Y160" s="888"/>
      <c r="Z160" s="1227"/>
      <c r="AA160" s="1227"/>
      <c r="AC160" s="883"/>
      <c r="AD160" s="883"/>
      <c r="AE160" s="883"/>
      <c r="AF160" s="883"/>
      <c r="AG160" s="883"/>
      <c r="AH160" s="884"/>
      <c r="AI160" s="883"/>
      <c r="AJ160" s="883"/>
      <c r="AK160" s="886"/>
      <c r="AL160" s="886"/>
      <c r="AM160" s="883"/>
      <c r="AN160" s="883"/>
      <c r="AO160" s="883"/>
      <c r="AP160" s="883"/>
      <c r="AQ160" s="883"/>
      <c r="AR160" s="883"/>
      <c r="AS160" s="883"/>
      <c r="AT160" s="883"/>
      <c r="AU160" s="883"/>
      <c r="AV160" s="883"/>
      <c r="AW160" s="883"/>
      <c r="AX160" s="883"/>
    </row>
    <row r="161" spans="1:50" s="917" customFormat="1" x14ac:dyDescent="0.55000000000000004">
      <c r="A161" s="883"/>
      <c r="B161" s="883"/>
      <c r="C161" s="884"/>
      <c r="D161" s="884"/>
      <c r="E161" s="884"/>
      <c r="F161" s="884"/>
      <c r="G161" s="883"/>
      <c r="H161" s="883"/>
      <c r="I161" s="883"/>
      <c r="J161" s="884"/>
      <c r="K161" s="884"/>
      <c r="L161" s="884"/>
      <c r="M161" s="885"/>
      <c r="N161" s="883"/>
      <c r="O161" s="883"/>
      <c r="P161" s="883"/>
      <c r="Q161" s="886"/>
      <c r="R161" s="886"/>
      <c r="S161" s="886"/>
      <c r="T161" s="884"/>
      <c r="U161" s="884"/>
      <c r="V161" s="887"/>
      <c r="W161" s="883"/>
      <c r="X161" s="888"/>
      <c r="Y161" s="888"/>
      <c r="Z161" s="1227"/>
      <c r="AA161" s="1227"/>
      <c r="AC161" s="883"/>
      <c r="AD161" s="883"/>
      <c r="AE161" s="883"/>
      <c r="AF161" s="883"/>
      <c r="AG161" s="883"/>
      <c r="AH161" s="884"/>
      <c r="AI161" s="883"/>
      <c r="AJ161" s="883"/>
      <c r="AK161" s="886"/>
      <c r="AL161" s="886"/>
      <c r="AM161" s="883"/>
      <c r="AN161" s="883"/>
      <c r="AO161" s="883"/>
      <c r="AP161" s="883"/>
      <c r="AQ161" s="883"/>
      <c r="AR161" s="883"/>
      <c r="AS161" s="883"/>
      <c r="AT161" s="883"/>
      <c r="AU161" s="883"/>
      <c r="AV161" s="883"/>
      <c r="AW161" s="883"/>
      <c r="AX161" s="883"/>
    </row>
    <row r="162" spans="1:50" s="917" customFormat="1" x14ac:dyDescent="0.55000000000000004">
      <c r="A162" s="883"/>
      <c r="B162" s="883"/>
      <c r="C162" s="884"/>
      <c r="D162" s="884"/>
      <c r="E162" s="884"/>
      <c r="F162" s="884"/>
      <c r="G162" s="883"/>
      <c r="H162" s="883"/>
      <c r="I162" s="883"/>
      <c r="J162" s="884"/>
      <c r="K162" s="884"/>
      <c r="L162" s="884"/>
      <c r="M162" s="885"/>
      <c r="N162" s="883"/>
      <c r="O162" s="883"/>
      <c r="P162" s="883"/>
      <c r="Q162" s="886"/>
      <c r="R162" s="886"/>
      <c r="S162" s="886"/>
      <c r="T162" s="884"/>
      <c r="U162" s="884"/>
      <c r="V162" s="887"/>
      <c r="W162" s="883"/>
      <c r="X162" s="888"/>
      <c r="Y162" s="888"/>
      <c r="Z162" s="1227"/>
      <c r="AA162" s="1227"/>
      <c r="AC162" s="883"/>
      <c r="AD162" s="883"/>
      <c r="AE162" s="883"/>
      <c r="AF162" s="883"/>
      <c r="AG162" s="883"/>
      <c r="AH162" s="884"/>
      <c r="AI162" s="883"/>
      <c r="AJ162" s="883"/>
      <c r="AK162" s="886"/>
      <c r="AL162" s="886"/>
      <c r="AM162" s="883"/>
      <c r="AN162" s="883"/>
      <c r="AO162" s="883"/>
      <c r="AP162" s="883"/>
      <c r="AQ162" s="883"/>
      <c r="AR162" s="883"/>
      <c r="AS162" s="883"/>
      <c r="AT162" s="883"/>
      <c r="AU162" s="883"/>
      <c r="AV162" s="883"/>
      <c r="AW162" s="883"/>
      <c r="AX162" s="883"/>
    </row>
    <row r="163" spans="1:50" s="917" customFormat="1" x14ac:dyDescent="0.55000000000000004">
      <c r="A163" s="883"/>
      <c r="B163" s="883"/>
      <c r="C163" s="884"/>
      <c r="D163" s="884"/>
      <c r="E163" s="884"/>
      <c r="F163" s="884"/>
      <c r="G163" s="883"/>
      <c r="H163" s="883"/>
      <c r="I163" s="883"/>
      <c r="J163" s="884"/>
      <c r="K163" s="884"/>
      <c r="L163" s="884"/>
      <c r="M163" s="885"/>
      <c r="N163" s="883"/>
      <c r="O163" s="883"/>
      <c r="P163" s="883"/>
      <c r="Q163" s="886"/>
      <c r="R163" s="886"/>
      <c r="S163" s="886"/>
      <c r="T163" s="884"/>
      <c r="U163" s="884"/>
      <c r="V163" s="887"/>
      <c r="W163" s="883"/>
      <c r="X163" s="888"/>
      <c r="Y163" s="888"/>
      <c r="Z163" s="1227"/>
      <c r="AA163" s="1227"/>
      <c r="AC163" s="883"/>
      <c r="AD163" s="883"/>
      <c r="AE163" s="883"/>
      <c r="AF163" s="883"/>
      <c r="AG163" s="883"/>
      <c r="AH163" s="884"/>
      <c r="AI163" s="883"/>
      <c r="AJ163" s="883"/>
      <c r="AK163" s="886"/>
      <c r="AL163" s="886"/>
      <c r="AM163" s="883"/>
      <c r="AN163" s="883"/>
      <c r="AO163" s="883"/>
      <c r="AP163" s="883"/>
      <c r="AQ163" s="883"/>
      <c r="AR163" s="883"/>
      <c r="AS163" s="883"/>
      <c r="AT163" s="883"/>
      <c r="AU163" s="883"/>
      <c r="AV163" s="883"/>
      <c r="AW163" s="883"/>
      <c r="AX163" s="883"/>
    </row>
    <row r="164" spans="1:50" s="917" customFormat="1" x14ac:dyDescent="0.55000000000000004">
      <c r="A164" s="883"/>
      <c r="B164" s="883"/>
      <c r="C164" s="884"/>
      <c r="D164" s="884"/>
      <c r="E164" s="884"/>
      <c r="F164" s="884"/>
      <c r="G164" s="883"/>
      <c r="H164" s="883"/>
      <c r="I164" s="883"/>
      <c r="J164" s="884"/>
      <c r="K164" s="884"/>
      <c r="L164" s="884"/>
      <c r="M164" s="885"/>
      <c r="N164" s="883"/>
      <c r="O164" s="883"/>
      <c r="P164" s="883"/>
      <c r="Q164" s="886"/>
      <c r="R164" s="886"/>
      <c r="S164" s="886"/>
      <c r="T164" s="884"/>
      <c r="U164" s="884"/>
      <c r="V164" s="887"/>
      <c r="W164" s="883"/>
      <c r="X164" s="888"/>
      <c r="Y164" s="888"/>
      <c r="Z164" s="1227"/>
      <c r="AA164" s="1227"/>
      <c r="AC164" s="883"/>
      <c r="AD164" s="883"/>
      <c r="AE164" s="883"/>
      <c r="AF164" s="883"/>
      <c r="AG164" s="883"/>
      <c r="AH164" s="884"/>
      <c r="AI164" s="883"/>
      <c r="AJ164" s="883"/>
      <c r="AK164" s="886"/>
      <c r="AL164" s="886"/>
      <c r="AM164" s="883"/>
      <c r="AN164" s="883"/>
      <c r="AO164" s="883"/>
      <c r="AP164" s="883"/>
      <c r="AQ164" s="883"/>
      <c r="AR164" s="883"/>
      <c r="AS164" s="883"/>
      <c r="AT164" s="883"/>
      <c r="AU164" s="883"/>
      <c r="AV164" s="883"/>
      <c r="AW164" s="883"/>
      <c r="AX164" s="883"/>
    </row>
    <row r="165" spans="1:50" s="917" customFormat="1" x14ac:dyDescent="0.55000000000000004">
      <c r="A165" s="883"/>
      <c r="B165" s="883"/>
      <c r="C165" s="884"/>
      <c r="D165" s="884"/>
      <c r="E165" s="884"/>
      <c r="F165" s="884"/>
      <c r="G165" s="883"/>
      <c r="H165" s="883"/>
      <c r="I165" s="883"/>
      <c r="J165" s="884"/>
      <c r="K165" s="884"/>
      <c r="L165" s="884"/>
      <c r="M165" s="885"/>
      <c r="N165" s="883"/>
      <c r="O165" s="883"/>
      <c r="P165" s="883"/>
      <c r="Q165" s="886"/>
      <c r="R165" s="886"/>
      <c r="S165" s="886"/>
      <c r="T165" s="884"/>
      <c r="U165" s="884"/>
      <c r="V165" s="887"/>
      <c r="W165" s="883"/>
      <c r="X165" s="888"/>
      <c r="Y165" s="888"/>
      <c r="Z165" s="1228"/>
      <c r="AA165" s="1228"/>
      <c r="AC165" s="883"/>
      <c r="AD165" s="883"/>
      <c r="AE165" s="883"/>
      <c r="AF165" s="883"/>
      <c r="AG165" s="883"/>
      <c r="AH165" s="884"/>
      <c r="AI165" s="883"/>
      <c r="AJ165" s="883"/>
      <c r="AK165" s="886"/>
      <c r="AL165" s="886"/>
      <c r="AM165" s="883"/>
      <c r="AN165" s="883"/>
      <c r="AO165" s="883"/>
      <c r="AP165" s="883"/>
      <c r="AQ165" s="883"/>
      <c r="AR165" s="883"/>
      <c r="AS165" s="883"/>
      <c r="AT165" s="883"/>
      <c r="AU165" s="883"/>
      <c r="AV165" s="883"/>
      <c r="AW165" s="883"/>
      <c r="AX165" s="883"/>
    </row>
    <row r="166" spans="1:50" s="917" customFormat="1" x14ac:dyDescent="0.55000000000000004">
      <c r="A166" s="883"/>
      <c r="B166" s="883"/>
      <c r="C166" s="884"/>
      <c r="D166" s="884"/>
      <c r="E166" s="884"/>
      <c r="F166" s="884"/>
      <c r="G166" s="883"/>
      <c r="H166" s="883"/>
      <c r="I166" s="883"/>
      <c r="J166" s="884"/>
      <c r="K166" s="884"/>
      <c r="L166" s="884"/>
      <c r="M166" s="885"/>
      <c r="N166" s="883"/>
      <c r="O166" s="883"/>
      <c r="P166" s="883"/>
      <c r="Q166" s="886"/>
      <c r="R166" s="886"/>
      <c r="S166" s="886"/>
      <c r="T166" s="884"/>
      <c r="U166" s="884"/>
      <c r="V166" s="887"/>
      <c r="W166" s="883"/>
      <c r="X166" s="888"/>
      <c r="Y166" s="888"/>
      <c r="Z166" s="1227"/>
      <c r="AA166" s="1227"/>
      <c r="AC166" s="883"/>
      <c r="AD166" s="883"/>
      <c r="AE166" s="883"/>
      <c r="AF166" s="883"/>
      <c r="AG166" s="883"/>
      <c r="AH166" s="884"/>
      <c r="AI166" s="883"/>
      <c r="AJ166" s="883"/>
      <c r="AK166" s="886"/>
      <c r="AL166" s="886"/>
      <c r="AM166" s="883"/>
      <c r="AN166" s="883"/>
      <c r="AO166" s="883"/>
      <c r="AP166" s="883"/>
      <c r="AQ166" s="883"/>
      <c r="AR166" s="883"/>
      <c r="AS166" s="883"/>
      <c r="AT166" s="883"/>
      <c r="AU166" s="883"/>
      <c r="AV166" s="883"/>
      <c r="AW166" s="883"/>
      <c r="AX166" s="883"/>
    </row>
    <row r="167" spans="1:50" s="917" customFormat="1" x14ac:dyDescent="0.55000000000000004">
      <c r="A167" s="883"/>
      <c r="B167" s="883"/>
      <c r="C167" s="884"/>
      <c r="D167" s="884"/>
      <c r="E167" s="884"/>
      <c r="F167" s="884"/>
      <c r="G167" s="883"/>
      <c r="H167" s="883"/>
      <c r="I167" s="883"/>
      <c r="J167" s="884"/>
      <c r="K167" s="884"/>
      <c r="L167" s="884"/>
      <c r="M167" s="885"/>
      <c r="N167" s="883"/>
      <c r="O167" s="883"/>
      <c r="P167" s="883"/>
      <c r="Q167" s="886"/>
      <c r="R167" s="886"/>
      <c r="S167" s="886"/>
      <c r="T167" s="884"/>
      <c r="U167" s="884"/>
      <c r="V167" s="887"/>
      <c r="W167" s="883"/>
      <c r="X167" s="888"/>
      <c r="Y167" s="888"/>
      <c r="Z167" s="1227"/>
      <c r="AA167" s="1227"/>
      <c r="AC167" s="883"/>
      <c r="AD167" s="883"/>
      <c r="AE167" s="883"/>
      <c r="AF167" s="883"/>
      <c r="AG167" s="883"/>
      <c r="AH167" s="884"/>
      <c r="AI167" s="883"/>
      <c r="AJ167" s="883"/>
      <c r="AK167" s="886"/>
      <c r="AL167" s="886"/>
      <c r="AM167" s="883"/>
      <c r="AN167" s="883"/>
      <c r="AO167" s="883"/>
      <c r="AP167" s="883"/>
      <c r="AQ167" s="883"/>
      <c r="AR167" s="883"/>
      <c r="AS167" s="883"/>
      <c r="AT167" s="883"/>
      <c r="AU167" s="883"/>
      <c r="AV167" s="883"/>
      <c r="AW167" s="883"/>
      <c r="AX167" s="883"/>
    </row>
    <row r="168" spans="1:50" s="917" customFormat="1" x14ac:dyDescent="0.55000000000000004">
      <c r="A168" s="883"/>
      <c r="B168" s="883"/>
      <c r="C168" s="884"/>
      <c r="D168" s="884"/>
      <c r="E168" s="884"/>
      <c r="F168" s="884"/>
      <c r="G168" s="883"/>
      <c r="H168" s="883"/>
      <c r="I168" s="883"/>
      <c r="J168" s="884"/>
      <c r="K168" s="884"/>
      <c r="L168" s="884"/>
      <c r="M168" s="885"/>
      <c r="N168" s="883"/>
      <c r="O168" s="883"/>
      <c r="P168" s="883"/>
      <c r="Q168" s="886"/>
      <c r="R168" s="886"/>
      <c r="S168" s="886"/>
      <c r="T168" s="884"/>
      <c r="U168" s="884"/>
      <c r="V168" s="887"/>
      <c r="W168" s="883"/>
      <c r="X168" s="888"/>
      <c r="Y168" s="888"/>
      <c r="Z168" s="1227"/>
      <c r="AA168" s="1227"/>
      <c r="AC168" s="883"/>
      <c r="AD168" s="883"/>
      <c r="AE168" s="883"/>
      <c r="AF168" s="883"/>
      <c r="AG168" s="883"/>
      <c r="AH168" s="884"/>
      <c r="AI168" s="883"/>
      <c r="AJ168" s="883"/>
      <c r="AK168" s="886"/>
      <c r="AL168" s="886"/>
      <c r="AM168" s="883"/>
      <c r="AN168" s="883"/>
      <c r="AO168" s="883"/>
      <c r="AP168" s="883"/>
      <c r="AQ168" s="883"/>
      <c r="AR168" s="883"/>
      <c r="AS168" s="883"/>
      <c r="AT168" s="883"/>
      <c r="AU168" s="883"/>
      <c r="AV168" s="883"/>
      <c r="AW168" s="883"/>
      <c r="AX168" s="883"/>
    </row>
    <row r="169" spans="1:50" s="917" customFormat="1" x14ac:dyDescent="0.55000000000000004">
      <c r="A169" s="883"/>
      <c r="B169" s="883"/>
      <c r="C169" s="884"/>
      <c r="D169" s="884"/>
      <c r="E169" s="884"/>
      <c r="F169" s="884"/>
      <c r="G169" s="883"/>
      <c r="H169" s="883"/>
      <c r="I169" s="883"/>
      <c r="J169" s="884"/>
      <c r="K169" s="884"/>
      <c r="L169" s="884"/>
      <c r="M169" s="885"/>
      <c r="N169" s="883"/>
      <c r="O169" s="883"/>
      <c r="P169" s="883"/>
      <c r="Q169" s="886"/>
      <c r="R169" s="886"/>
      <c r="S169" s="886"/>
      <c r="T169" s="884"/>
      <c r="U169" s="884"/>
      <c r="V169" s="887"/>
      <c r="W169" s="883"/>
      <c r="X169" s="888"/>
      <c r="Y169" s="888"/>
      <c r="Z169" s="1227"/>
      <c r="AA169" s="1227"/>
      <c r="AC169" s="883"/>
      <c r="AD169" s="883"/>
      <c r="AE169" s="883"/>
      <c r="AF169" s="883"/>
      <c r="AG169" s="883"/>
      <c r="AH169" s="884"/>
      <c r="AI169" s="883"/>
      <c r="AJ169" s="883"/>
      <c r="AK169" s="886"/>
      <c r="AL169" s="886"/>
      <c r="AM169" s="883"/>
      <c r="AN169" s="883"/>
      <c r="AO169" s="883"/>
      <c r="AP169" s="883"/>
      <c r="AQ169" s="883"/>
      <c r="AR169" s="883"/>
      <c r="AS169" s="883"/>
      <c r="AT169" s="883"/>
      <c r="AU169" s="883"/>
      <c r="AV169" s="883"/>
      <c r="AW169" s="883"/>
      <c r="AX169" s="883"/>
    </row>
    <row r="170" spans="1:50" s="917" customFormat="1" x14ac:dyDescent="0.55000000000000004">
      <c r="A170" s="883"/>
      <c r="B170" s="883"/>
      <c r="C170" s="884"/>
      <c r="D170" s="884"/>
      <c r="E170" s="884"/>
      <c r="F170" s="884"/>
      <c r="G170" s="883"/>
      <c r="H170" s="883"/>
      <c r="I170" s="883"/>
      <c r="J170" s="884"/>
      <c r="K170" s="884"/>
      <c r="L170" s="884"/>
      <c r="M170" s="885"/>
      <c r="N170" s="883"/>
      <c r="O170" s="883"/>
      <c r="P170" s="883"/>
      <c r="Q170" s="886"/>
      <c r="R170" s="886"/>
      <c r="S170" s="886"/>
      <c r="T170" s="884"/>
      <c r="U170" s="884"/>
      <c r="V170" s="887"/>
      <c r="W170" s="883"/>
      <c r="X170" s="888"/>
      <c r="Y170" s="888"/>
      <c r="Z170" s="1227"/>
      <c r="AA170" s="1227"/>
      <c r="AC170" s="883"/>
      <c r="AD170" s="883"/>
      <c r="AE170" s="883"/>
      <c r="AF170" s="883"/>
      <c r="AG170" s="883"/>
      <c r="AH170" s="884"/>
      <c r="AI170" s="883"/>
      <c r="AJ170" s="883"/>
      <c r="AK170" s="886"/>
      <c r="AL170" s="886"/>
      <c r="AM170" s="883"/>
      <c r="AN170" s="883"/>
      <c r="AO170" s="883"/>
      <c r="AP170" s="883"/>
      <c r="AQ170" s="883"/>
      <c r="AR170" s="883"/>
      <c r="AS170" s="883"/>
      <c r="AT170" s="883"/>
      <c r="AU170" s="883"/>
      <c r="AV170" s="883"/>
      <c r="AW170" s="883"/>
      <c r="AX170" s="883"/>
    </row>
    <row r="171" spans="1:50" s="917" customFormat="1" x14ac:dyDescent="0.55000000000000004">
      <c r="A171" s="883"/>
      <c r="B171" s="883"/>
      <c r="C171" s="884"/>
      <c r="D171" s="884"/>
      <c r="E171" s="884"/>
      <c r="F171" s="884"/>
      <c r="G171" s="883"/>
      <c r="H171" s="883"/>
      <c r="I171" s="883"/>
      <c r="J171" s="884"/>
      <c r="K171" s="884"/>
      <c r="L171" s="884"/>
      <c r="M171" s="885"/>
      <c r="N171" s="883"/>
      <c r="O171" s="883"/>
      <c r="P171" s="883"/>
      <c r="Q171" s="886"/>
      <c r="R171" s="886"/>
      <c r="S171" s="886"/>
      <c r="T171" s="884"/>
      <c r="U171" s="884"/>
      <c r="V171" s="887"/>
      <c r="W171" s="883"/>
      <c r="X171" s="888"/>
      <c r="Y171" s="888"/>
      <c r="Z171" s="1227"/>
      <c r="AA171" s="1227"/>
      <c r="AC171" s="883"/>
      <c r="AD171" s="883"/>
      <c r="AE171" s="883"/>
      <c r="AF171" s="883"/>
      <c r="AG171" s="883"/>
      <c r="AH171" s="884"/>
      <c r="AI171" s="883"/>
      <c r="AJ171" s="883"/>
      <c r="AK171" s="886"/>
      <c r="AL171" s="886"/>
      <c r="AM171" s="883"/>
      <c r="AN171" s="883"/>
      <c r="AO171" s="883"/>
      <c r="AP171" s="883"/>
      <c r="AQ171" s="883"/>
      <c r="AR171" s="883"/>
      <c r="AS171" s="883"/>
      <c r="AT171" s="883"/>
      <c r="AU171" s="883"/>
      <c r="AV171" s="883"/>
      <c r="AW171" s="883"/>
      <c r="AX171" s="883"/>
    </row>
    <row r="172" spans="1:50" s="917" customFormat="1" x14ac:dyDescent="0.55000000000000004">
      <c r="A172" s="883"/>
      <c r="B172" s="883"/>
      <c r="C172" s="884"/>
      <c r="D172" s="884"/>
      <c r="E172" s="884"/>
      <c r="F172" s="884"/>
      <c r="G172" s="883"/>
      <c r="H172" s="883"/>
      <c r="I172" s="883"/>
      <c r="J172" s="884"/>
      <c r="K172" s="884"/>
      <c r="L172" s="884"/>
      <c r="M172" s="885"/>
      <c r="N172" s="883"/>
      <c r="O172" s="883"/>
      <c r="P172" s="883"/>
      <c r="Q172" s="886"/>
      <c r="R172" s="886"/>
      <c r="S172" s="886"/>
      <c r="T172" s="884"/>
      <c r="U172" s="884"/>
      <c r="V172" s="887"/>
      <c r="W172" s="883"/>
      <c r="X172" s="888"/>
      <c r="Y172" s="888"/>
      <c r="Z172" s="1227"/>
      <c r="AA172" s="1227"/>
      <c r="AC172" s="883"/>
      <c r="AD172" s="883"/>
      <c r="AE172" s="883"/>
      <c r="AF172" s="883"/>
      <c r="AG172" s="883"/>
      <c r="AH172" s="884"/>
      <c r="AI172" s="883"/>
      <c r="AJ172" s="883"/>
      <c r="AK172" s="886"/>
      <c r="AL172" s="886"/>
      <c r="AM172" s="883"/>
      <c r="AN172" s="883"/>
      <c r="AO172" s="883"/>
      <c r="AP172" s="883"/>
      <c r="AQ172" s="883"/>
      <c r="AR172" s="883"/>
      <c r="AS172" s="883"/>
      <c r="AT172" s="883"/>
      <c r="AU172" s="883"/>
      <c r="AV172" s="883"/>
      <c r="AW172" s="883"/>
      <c r="AX172" s="883"/>
    </row>
    <row r="173" spans="1:50" s="917" customFormat="1" x14ac:dyDescent="0.55000000000000004">
      <c r="A173" s="883"/>
      <c r="B173" s="883"/>
      <c r="C173" s="884"/>
      <c r="D173" s="884"/>
      <c r="E173" s="884"/>
      <c r="F173" s="884"/>
      <c r="G173" s="883"/>
      <c r="H173" s="883"/>
      <c r="I173" s="883"/>
      <c r="J173" s="884"/>
      <c r="K173" s="884"/>
      <c r="L173" s="884"/>
      <c r="M173" s="885"/>
      <c r="N173" s="883"/>
      <c r="O173" s="883"/>
      <c r="P173" s="883"/>
      <c r="Q173" s="886"/>
      <c r="R173" s="886"/>
      <c r="S173" s="886"/>
      <c r="T173" s="884"/>
      <c r="U173" s="884"/>
      <c r="V173" s="887"/>
      <c r="W173" s="883"/>
      <c r="X173" s="888"/>
      <c r="Y173" s="888"/>
      <c r="Z173" s="1227"/>
      <c r="AA173" s="1227"/>
      <c r="AC173" s="883"/>
      <c r="AD173" s="883"/>
      <c r="AE173" s="883"/>
      <c r="AF173" s="883"/>
      <c r="AG173" s="883"/>
      <c r="AH173" s="884"/>
      <c r="AI173" s="883"/>
      <c r="AJ173" s="883"/>
      <c r="AK173" s="886"/>
      <c r="AL173" s="886"/>
      <c r="AM173" s="883"/>
      <c r="AN173" s="883"/>
      <c r="AO173" s="883"/>
      <c r="AP173" s="883"/>
      <c r="AQ173" s="883"/>
      <c r="AR173" s="883"/>
      <c r="AS173" s="883"/>
      <c r="AT173" s="883"/>
      <c r="AU173" s="883"/>
      <c r="AV173" s="883"/>
      <c r="AW173" s="883"/>
      <c r="AX173" s="883"/>
    </row>
    <row r="174" spans="1:50" s="917" customFormat="1" x14ac:dyDescent="0.55000000000000004">
      <c r="A174" s="883"/>
      <c r="B174" s="883"/>
      <c r="C174" s="884"/>
      <c r="D174" s="884"/>
      <c r="E174" s="884"/>
      <c r="F174" s="884"/>
      <c r="G174" s="883"/>
      <c r="H174" s="883"/>
      <c r="I174" s="883"/>
      <c r="J174" s="884"/>
      <c r="K174" s="884"/>
      <c r="L174" s="884"/>
      <c r="M174" s="885"/>
      <c r="N174" s="883"/>
      <c r="O174" s="883"/>
      <c r="P174" s="883"/>
      <c r="Q174" s="886"/>
      <c r="R174" s="886"/>
      <c r="S174" s="886"/>
      <c r="T174" s="884"/>
      <c r="U174" s="884"/>
      <c r="V174" s="887"/>
      <c r="W174" s="883"/>
      <c r="X174" s="888"/>
      <c r="Y174" s="888"/>
      <c r="Z174" s="1227"/>
      <c r="AA174" s="1227"/>
      <c r="AC174" s="883"/>
      <c r="AD174" s="883"/>
      <c r="AE174" s="883"/>
      <c r="AF174" s="883"/>
      <c r="AG174" s="883"/>
      <c r="AH174" s="884"/>
      <c r="AI174" s="883"/>
      <c r="AJ174" s="883"/>
      <c r="AK174" s="886"/>
      <c r="AL174" s="886"/>
      <c r="AM174" s="883"/>
      <c r="AN174" s="883"/>
      <c r="AO174" s="883"/>
      <c r="AP174" s="883"/>
      <c r="AQ174" s="883"/>
      <c r="AR174" s="883"/>
      <c r="AS174" s="883"/>
      <c r="AT174" s="883"/>
      <c r="AU174" s="883"/>
      <c r="AV174" s="883"/>
      <c r="AW174" s="883"/>
      <c r="AX174" s="883"/>
    </row>
    <row r="175" spans="1:50" s="917" customFormat="1" x14ac:dyDescent="0.55000000000000004">
      <c r="A175" s="883"/>
      <c r="B175" s="883"/>
      <c r="C175" s="884"/>
      <c r="D175" s="884"/>
      <c r="E175" s="884"/>
      <c r="F175" s="884"/>
      <c r="G175" s="883"/>
      <c r="H175" s="883"/>
      <c r="I175" s="883"/>
      <c r="J175" s="884"/>
      <c r="K175" s="884"/>
      <c r="L175" s="884"/>
      <c r="M175" s="885"/>
      <c r="N175" s="883"/>
      <c r="O175" s="883"/>
      <c r="P175" s="883"/>
      <c r="Q175" s="886"/>
      <c r="R175" s="886"/>
      <c r="S175" s="886"/>
      <c r="T175" s="884"/>
      <c r="U175" s="884"/>
      <c r="V175" s="887"/>
      <c r="W175" s="883"/>
      <c r="X175" s="888"/>
      <c r="Y175" s="888"/>
      <c r="Z175" s="1228"/>
      <c r="AA175" s="921"/>
      <c r="AC175" s="883"/>
      <c r="AD175" s="883"/>
      <c r="AE175" s="883"/>
      <c r="AF175" s="883"/>
      <c r="AG175" s="883"/>
      <c r="AH175" s="884"/>
      <c r="AI175" s="883"/>
      <c r="AJ175" s="883"/>
      <c r="AK175" s="886"/>
      <c r="AL175" s="886"/>
      <c r="AM175" s="883"/>
      <c r="AN175" s="883"/>
      <c r="AO175" s="883"/>
      <c r="AP175" s="883"/>
      <c r="AQ175" s="883"/>
      <c r="AR175" s="883"/>
      <c r="AS175" s="883"/>
      <c r="AT175" s="883"/>
      <c r="AU175" s="883"/>
      <c r="AV175" s="883"/>
      <c r="AW175" s="883"/>
      <c r="AX175" s="883"/>
    </row>
    <row r="176" spans="1:50" s="917" customFormat="1" x14ac:dyDescent="0.55000000000000004">
      <c r="A176" s="883"/>
      <c r="B176" s="883"/>
      <c r="C176" s="884"/>
      <c r="D176" s="884"/>
      <c r="E176" s="884"/>
      <c r="F176" s="884"/>
      <c r="G176" s="883"/>
      <c r="H176" s="883"/>
      <c r="I176" s="883"/>
      <c r="J176" s="884"/>
      <c r="K176" s="884"/>
      <c r="L176" s="884"/>
      <c r="M176" s="885"/>
      <c r="N176" s="883"/>
      <c r="O176" s="883"/>
      <c r="P176" s="883"/>
      <c r="Q176" s="886"/>
      <c r="R176" s="886"/>
      <c r="S176" s="886"/>
      <c r="T176" s="884"/>
      <c r="U176" s="884"/>
      <c r="V176" s="887"/>
      <c r="W176" s="883"/>
      <c r="X176" s="888"/>
      <c r="Y176" s="888"/>
      <c r="Z176" s="1228"/>
      <c r="AA176" s="1228"/>
      <c r="AC176" s="883"/>
      <c r="AD176" s="883"/>
      <c r="AE176" s="883"/>
      <c r="AF176" s="883"/>
      <c r="AG176" s="883"/>
      <c r="AH176" s="884"/>
      <c r="AI176" s="883"/>
      <c r="AJ176" s="883"/>
      <c r="AK176" s="886"/>
      <c r="AL176" s="886"/>
      <c r="AM176" s="883"/>
      <c r="AN176" s="883"/>
      <c r="AO176" s="883"/>
      <c r="AP176" s="883"/>
      <c r="AQ176" s="883"/>
      <c r="AR176" s="883"/>
      <c r="AS176" s="883"/>
      <c r="AT176" s="883"/>
      <c r="AU176" s="883"/>
      <c r="AV176" s="883"/>
      <c r="AW176" s="883"/>
      <c r="AX176" s="883"/>
    </row>
    <row r="177" spans="1:50" s="917" customFormat="1" x14ac:dyDescent="0.55000000000000004">
      <c r="A177" s="883"/>
      <c r="B177" s="883"/>
      <c r="C177" s="884"/>
      <c r="D177" s="884"/>
      <c r="E177" s="884"/>
      <c r="F177" s="884"/>
      <c r="G177" s="883"/>
      <c r="H177" s="883"/>
      <c r="I177" s="883"/>
      <c r="J177" s="884"/>
      <c r="K177" s="884"/>
      <c r="L177" s="884"/>
      <c r="M177" s="885"/>
      <c r="N177" s="883"/>
      <c r="O177" s="883"/>
      <c r="P177" s="883"/>
      <c r="Q177" s="886"/>
      <c r="R177" s="886"/>
      <c r="S177" s="886"/>
      <c r="T177" s="884"/>
      <c r="U177" s="884"/>
      <c r="V177" s="887"/>
      <c r="W177" s="883"/>
      <c r="X177" s="888"/>
      <c r="Y177" s="888"/>
      <c r="Z177" s="1227"/>
      <c r="AA177" s="1227"/>
      <c r="AC177" s="883"/>
      <c r="AD177" s="883"/>
      <c r="AE177" s="883"/>
      <c r="AF177" s="883"/>
      <c r="AG177" s="883"/>
      <c r="AH177" s="884"/>
      <c r="AI177" s="883"/>
      <c r="AJ177" s="883"/>
      <c r="AK177" s="886"/>
      <c r="AL177" s="886"/>
      <c r="AM177" s="883"/>
      <c r="AN177" s="883"/>
      <c r="AO177" s="883"/>
      <c r="AP177" s="883"/>
      <c r="AQ177" s="883"/>
      <c r="AR177" s="883"/>
      <c r="AS177" s="883"/>
      <c r="AT177" s="883"/>
      <c r="AU177" s="883"/>
      <c r="AV177" s="883"/>
      <c r="AW177" s="883"/>
      <c r="AX177" s="883"/>
    </row>
    <row r="178" spans="1:50" s="917" customFormat="1" x14ac:dyDescent="0.55000000000000004">
      <c r="A178" s="883"/>
      <c r="B178" s="883"/>
      <c r="C178" s="884"/>
      <c r="D178" s="884"/>
      <c r="E178" s="884"/>
      <c r="F178" s="884"/>
      <c r="G178" s="883"/>
      <c r="H178" s="883"/>
      <c r="I178" s="883"/>
      <c r="J178" s="884"/>
      <c r="K178" s="884"/>
      <c r="L178" s="884"/>
      <c r="M178" s="885"/>
      <c r="N178" s="883"/>
      <c r="O178" s="883"/>
      <c r="P178" s="883"/>
      <c r="Q178" s="886"/>
      <c r="R178" s="886"/>
      <c r="S178" s="886"/>
      <c r="T178" s="884"/>
      <c r="U178" s="884"/>
      <c r="V178" s="887"/>
      <c r="W178" s="883"/>
      <c r="X178" s="888"/>
      <c r="Y178" s="888"/>
      <c r="Z178" s="1227"/>
      <c r="AA178" s="1227"/>
      <c r="AC178" s="883"/>
      <c r="AD178" s="883"/>
      <c r="AE178" s="883"/>
      <c r="AF178" s="883"/>
      <c r="AG178" s="883"/>
      <c r="AH178" s="884"/>
      <c r="AI178" s="883"/>
      <c r="AJ178" s="883"/>
      <c r="AK178" s="886"/>
      <c r="AL178" s="886"/>
      <c r="AM178" s="883"/>
      <c r="AN178" s="883"/>
      <c r="AO178" s="883"/>
      <c r="AP178" s="883"/>
      <c r="AQ178" s="883"/>
      <c r="AR178" s="883"/>
      <c r="AS178" s="883"/>
      <c r="AT178" s="883"/>
      <c r="AU178" s="883"/>
      <c r="AV178" s="883"/>
      <c r="AW178" s="883"/>
      <c r="AX178" s="883"/>
    </row>
    <row r="179" spans="1:50" s="917" customFormat="1" x14ac:dyDescent="0.55000000000000004">
      <c r="A179" s="883"/>
      <c r="B179" s="883"/>
      <c r="C179" s="884"/>
      <c r="D179" s="884"/>
      <c r="E179" s="884"/>
      <c r="F179" s="884"/>
      <c r="G179" s="883"/>
      <c r="H179" s="883"/>
      <c r="I179" s="883"/>
      <c r="J179" s="884"/>
      <c r="K179" s="884"/>
      <c r="L179" s="884"/>
      <c r="M179" s="885"/>
      <c r="N179" s="883"/>
      <c r="O179" s="883"/>
      <c r="P179" s="883"/>
      <c r="Q179" s="886"/>
      <c r="R179" s="886"/>
      <c r="S179" s="886"/>
      <c r="T179" s="884"/>
      <c r="U179" s="884"/>
      <c r="V179" s="887"/>
      <c r="W179" s="883"/>
      <c r="X179" s="888"/>
      <c r="Y179" s="888"/>
      <c r="Z179" s="1227"/>
      <c r="AA179" s="1227"/>
      <c r="AC179" s="883"/>
      <c r="AD179" s="883"/>
      <c r="AE179" s="883"/>
      <c r="AF179" s="883"/>
      <c r="AG179" s="883"/>
      <c r="AH179" s="884"/>
      <c r="AI179" s="883"/>
      <c r="AJ179" s="883"/>
      <c r="AK179" s="886"/>
      <c r="AL179" s="886"/>
      <c r="AM179" s="883"/>
      <c r="AN179" s="883"/>
      <c r="AO179" s="883"/>
      <c r="AP179" s="883"/>
      <c r="AQ179" s="883"/>
      <c r="AR179" s="883"/>
      <c r="AS179" s="883"/>
      <c r="AT179" s="883"/>
      <c r="AU179" s="883"/>
      <c r="AV179" s="883"/>
      <c r="AW179" s="883"/>
      <c r="AX179" s="883"/>
    </row>
    <row r="180" spans="1:50" s="917" customFormat="1" x14ac:dyDescent="0.55000000000000004">
      <c r="A180" s="883"/>
      <c r="B180" s="883"/>
      <c r="C180" s="884"/>
      <c r="D180" s="884"/>
      <c r="E180" s="884"/>
      <c r="F180" s="884"/>
      <c r="G180" s="883"/>
      <c r="H180" s="883"/>
      <c r="I180" s="883"/>
      <c r="J180" s="884"/>
      <c r="K180" s="884"/>
      <c r="L180" s="884"/>
      <c r="M180" s="885"/>
      <c r="N180" s="883"/>
      <c r="O180" s="883"/>
      <c r="P180" s="883"/>
      <c r="Q180" s="886"/>
      <c r="R180" s="886"/>
      <c r="S180" s="886"/>
      <c r="T180" s="884"/>
      <c r="U180" s="884"/>
      <c r="V180" s="887"/>
      <c r="W180" s="883"/>
      <c r="X180" s="888"/>
      <c r="Y180" s="888"/>
      <c r="Z180" s="1228"/>
      <c r="AA180" s="1228"/>
      <c r="AC180" s="883"/>
      <c r="AD180" s="883"/>
      <c r="AE180" s="883"/>
      <c r="AF180" s="883"/>
      <c r="AG180" s="883"/>
      <c r="AH180" s="884"/>
      <c r="AI180" s="883"/>
      <c r="AJ180" s="883"/>
      <c r="AK180" s="886"/>
      <c r="AL180" s="886"/>
      <c r="AM180" s="883"/>
      <c r="AN180" s="883"/>
      <c r="AO180" s="883"/>
      <c r="AP180" s="883"/>
      <c r="AQ180" s="883"/>
      <c r="AR180" s="883"/>
      <c r="AS180" s="883"/>
      <c r="AT180" s="883"/>
      <c r="AU180" s="883"/>
      <c r="AV180" s="883"/>
      <c r="AW180" s="883"/>
      <c r="AX180" s="883"/>
    </row>
    <row r="181" spans="1:50" s="917" customFormat="1" x14ac:dyDescent="0.55000000000000004">
      <c r="A181" s="883"/>
      <c r="B181" s="883"/>
      <c r="C181" s="884"/>
      <c r="D181" s="884"/>
      <c r="E181" s="884"/>
      <c r="F181" s="884"/>
      <c r="G181" s="883"/>
      <c r="H181" s="883"/>
      <c r="I181" s="883"/>
      <c r="J181" s="884"/>
      <c r="K181" s="884"/>
      <c r="L181" s="884"/>
      <c r="M181" s="885"/>
      <c r="N181" s="883"/>
      <c r="O181" s="883"/>
      <c r="P181" s="883"/>
      <c r="Q181" s="886"/>
      <c r="R181" s="886"/>
      <c r="S181" s="886"/>
      <c r="T181" s="884"/>
      <c r="U181" s="884"/>
      <c r="V181" s="887"/>
      <c r="W181" s="883"/>
      <c r="X181" s="888"/>
      <c r="Y181" s="888"/>
      <c r="Z181" s="1227"/>
      <c r="AA181" s="1227"/>
      <c r="AC181" s="883"/>
      <c r="AD181" s="883"/>
      <c r="AE181" s="883"/>
      <c r="AF181" s="883"/>
      <c r="AG181" s="883"/>
      <c r="AH181" s="884"/>
      <c r="AI181" s="883"/>
      <c r="AJ181" s="883"/>
      <c r="AK181" s="886"/>
      <c r="AL181" s="886"/>
      <c r="AM181" s="883"/>
      <c r="AN181" s="883"/>
      <c r="AO181" s="883"/>
      <c r="AP181" s="883"/>
      <c r="AQ181" s="883"/>
      <c r="AR181" s="883"/>
      <c r="AS181" s="883"/>
      <c r="AT181" s="883"/>
      <c r="AU181" s="883"/>
      <c r="AV181" s="883"/>
      <c r="AW181" s="883"/>
      <c r="AX181" s="883"/>
    </row>
    <row r="182" spans="1:50" s="917" customFormat="1" x14ac:dyDescent="0.55000000000000004">
      <c r="A182" s="883"/>
      <c r="B182" s="883"/>
      <c r="C182" s="884"/>
      <c r="D182" s="884"/>
      <c r="E182" s="884"/>
      <c r="F182" s="884"/>
      <c r="G182" s="883"/>
      <c r="H182" s="883"/>
      <c r="I182" s="883"/>
      <c r="J182" s="884"/>
      <c r="K182" s="884"/>
      <c r="L182" s="884"/>
      <c r="M182" s="885"/>
      <c r="N182" s="883"/>
      <c r="O182" s="883"/>
      <c r="P182" s="883"/>
      <c r="Q182" s="886"/>
      <c r="R182" s="886"/>
      <c r="S182" s="886"/>
      <c r="T182" s="884"/>
      <c r="U182" s="884"/>
      <c r="V182" s="887"/>
      <c r="W182" s="883"/>
      <c r="X182" s="888"/>
      <c r="Y182" s="888"/>
      <c r="Z182" s="1227"/>
      <c r="AA182" s="1227"/>
      <c r="AC182" s="883"/>
      <c r="AD182" s="883"/>
      <c r="AE182" s="883"/>
      <c r="AF182" s="883"/>
      <c r="AG182" s="883"/>
      <c r="AH182" s="884"/>
      <c r="AI182" s="883"/>
      <c r="AJ182" s="883"/>
      <c r="AK182" s="886"/>
      <c r="AL182" s="886"/>
      <c r="AM182" s="883"/>
      <c r="AN182" s="883"/>
      <c r="AO182" s="883"/>
      <c r="AP182" s="883"/>
      <c r="AQ182" s="883"/>
      <c r="AR182" s="883"/>
      <c r="AS182" s="883"/>
      <c r="AT182" s="883"/>
      <c r="AU182" s="883"/>
      <c r="AV182" s="883"/>
      <c r="AW182" s="883"/>
      <c r="AX182" s="883"/>
    </row>
    <row r="183" spans="1:50" s="917" customFormat="1" x14ac:dyDescent="0.55000000000000004">
      <c r="A183" s="883"/>
      <c r="B183" s="883"/>
      <c r="C183" s="884"/>
      <c r="D183" s="884"/>
      <c r="E183" s="884"/>
      <c r="F183" s="884"/>
      <c r="G183" s="883"/>
      <c r="H183" s="883"/>
      <c r="I183" s="883"/>
      <c r="J183" s="884"/>
      <c r="K183" s="884"/>
      <c r="L183" s="884"/>
      <c r="M183" s="885"/>
      <c r="N183" s="883"/>
      <c r="O183" s="883"/>
      <c r="P183" s="883"/>
      <c r="Q183" s="886"/>
      <c r="R183" s="886"/>
      <c r="S183" s="886"/>
      <c r="T183" s="884"/>
      <c r="U183" s="884"/>
      <c r="V183" s="887"/>
      <c r="W183" s="883"/>
      <c r="X183" s="888"/>
      <c r="Y183" s="888"/>
      <c r="Z183" s="1227"/>
      <c r="AA183" s="1227"/>
      <c r="AC183" s="883"/>
      <c r="AD183" s="883"/>
      <c r="AE183" s="883"/>
      <c r="AF183" s="883"/>
      <c r="AG183" s="883"/>
      <c r="AH183" s="884"/>
      <c r="AI183" s="883"/>
      <c r="AJ183" s="883"/>
      <c r="AK183" s="886"/>
      <c r="AL183" s="886"/>
      <c r="AM183" s="883"/>
      <c r="AN183" s="883"/>
      <c r="AO183" s="883"/>
      <c r="AP183" s="883"/>
      <c r="AQ183" s="883"/>
      <c r="AR183" s="883"/>
      <c r="AS183" s="883"/>
      <c r="AT183" s="883"/>
      <c r="AU183" s="883"/>
      <c r="AV183" s="883"/>
      <c r="AW183" s="883"/>
      <c r="AX183" s="883"/>
    </row>
    <row r="184" spans="1:50" s="917" customFormat="1" x14ac:dyDescent="0.55000000000000004">
      <c r="A184" s="883"/>
      <c r="B184" s="883"/>
      <c r="C184" s="884"/>
      <c r="D184" s="884"/>
      <c r="E184" s="884"/>
      <c r="F184" s="884"/>
      <c r="G184" s="883"/>
      <c r="H184" s="883"/>
      <c r="I184" s="883"/>
      <c r="J184" s="884"/>
      <c r="K184" s="884"/>
      <c r="L184" s="884"/>
      <c r="M184" s="885"/>
      <c r="N184" s="883"/>
      <c r="O184" s="883"/>
      <c r="P184" s="883"/>
      <c r="Q184" s="886"/>
      <c r="R184" s="886"/>
      <c r="S184" s="886"/>
      <c r="T184" s="884"/>
      <c r="U184" s="884"/>
      <c r="V184" s="887"/>
      <c r="W184" s="883"/>
      <c r="X184" s="888"/>
      <c r="Y184" s="888"/>
      <c r="Z184" s="1227"/>
      <c r="AA184" s="1227"/>
      <c r="AC184" s="883"/>
      <c r="AD184" s="883"/>
      <c r="AE184" s="883"/>
      <c r="AF184" s="883"/>
      <c r="AG184" s="883"/>
      <c r="AH184" s="884"/>
      <c r="AI184" s="883"/>
      <c r="AJ184" s="883"/>
      <c r="AK184" s="886"/>
      <c r="AL184" s="886"/>
      <c r="AM184" s="883"/>
      <c r="AN184" s="883"/>
      <c r="AO184" s="883"/>
      <c r="AP184" s="883"/>
      <c r="AQ184" s="883"/>
      <c r="AR184" s="883"/>
      <c r="AS184" s="883"/>
      <c r="AT184" s="883"/>
      <c r="AU184" s="883"/>
      <c r="AV184" s="883"/>
      <c r="AW184" s="883"/>
      <c r="AX184" s="883"/>
    </row>
    <row r="185" spans="1:50" s="917" customFormat="1" x14ac:dyDescent="0.55000000000000004">
      <c r="A185" s="883"/>
      <c r="B185" s="883"/>
      <c r="C185" s="884"/>
      <c r="D185" s="884"/>
      <c r="E185" s="884"/>
      <c r="F185" s="884"/>
      <c r="G185" s="883"/>
      <c r="H185" s="883"/>
      <c r="I185" s="883"/>
      <c r="J185" s="884"/>
      <c r="K185" s="884"/>
      <c r="L185" s="884"/>
      <c r="M185" s="885"/>
      <c r="N185" s="883"/>
      <c r="O185" s="883"/>
      <c r="P185" s="883"/>
      <c r="Q185" s="886"/>
      <c r="R185" s="886"/>
      <c r="S185" s="886"/>
      <c r="T185" s="884"/>
      <c r="U185" s="884"/>
      <c r="V185" s="887"/>
      <c r="W185" s="883"/>
      <c r="X185" s="888"/>
      <c r="Y185" s="888"/>
      <c r="Z185" s="1227"/>
      <c r="AA185" s="1227"/>
      <c r="AC185" s="883"/>
      <c r="AD185" s="883"/>
      <c r="AE185" s="883"/>
      <c r="AF185" s="883"/>
      <c r="AG185" s="883"/>
      <c r="AH185" s="884"/>
      <c r="AI185" s="883"/>
      <c r="AJ185" s="883"/>
      <c r="AK185" s="886"/>
      <c r="AL185" s="886"/>
      <c r="AM185" s="883"/>
      <c r="AN185" s="883"/>
      <c r="AO185" s="883"/>
      <c r="AP185" s="883"/>
      <c r="AQ185" s="883"/>
      <c r="AR185" s="883"/>
      <c r="AS185" s="883"/>
      <c r="AT185" s="883"/>
      <c r="AU185" s="883"/>
      <c r="AV185" s="883"/>
      <c r="AW185" s="883"/>
      <c r="AX185" s="883"/>
    </row>
    <row r="186" spans="1:50" s="917" customFormat="1" x14ac:dyDescent="0.55000000000000004">
      <c r="A186" s="883"/>
      <c r="B186" s="883"/>
      <c r="C186" s="884"/>
      <c r="D186" s="884"/>
      <c r="E186" s="884"/>
      <c r="F186" s="884"/>
      <c r="G186" s="883"/>
      <c r="H186" s="883"/>
      <c r="I186" s="883"/>
      <c r="J186" s="884"/>
      <c r="K186" s="884"/>
      <c r="L186" s="884"/>
      <c r="M186" s="885"/>
      <c r="N186" s="883"/>
      <c r="O186" s="883"/>
      <c r="P186" s="883"/>
      <c r="Q186" s="886"/>
      <c r="R186" s="886"/>
      <c r="S186" s="886"/>
      <c r="T186" s="884"/>
      <c r="U186" s="884"/>
      <c r="V186" s="887"/>
      <c r="W186" s="883"/>
      <c r="X186" s="888"/>
      <c r="Y186" s="888"/>
      <c r="Z186" s="1227"/>
      <c r="AA186" s="1227"/>
      <c r="AC186" s="883"/>
      <c r="AD186" s="883"/>
      <c r="AE186" s="883"/>
      <c r="AF186" s="883"/>
      <c r="AG186" s="883"/>
      <c r="AH186" s="884"/>
      <c r="AI186" s="883"/>
      <c r="AJ186" s="883"/>
      <c r="AK186" s="886"/>
      <c r="AL186" s="886"/>
      <c r="AM186" s="883"/>
      <c r="AN186" s="883"/>
      <c r="AO186" s="883"/>
      <c r="AP186" s="883"/>
      <c r="AQ186" s="883"/>
      <c r="AR186" s="883"/>
      <c r="AS186" s="883"/>
      <c r="AT186" s="883"/>
      <c r="AU186" s="883"/>
      <c r="AV186" s="883"/>
      <c r="AW186" s="883"/>
      <c r="AX186" s="883"/>
    </row>
    <row r="187" spans="1:50" s="917" customFormat="1" x14ac:dyDescent="0.55000000000000004">
      <c r="A187" s="883"/>
      <c r="B187" s="883"/>
      <c r="C187" s="884"/>
      <c r="D187" s="884"/>
      <c r="E187" s="884"/>
      <c r="F187" s="884"/>
      <c r="G187" s="883"/>
      <c r="H187" s="883"/>
      <c r="I187" s="883"/>
      <c r="J187" s="884"/>
      <c r="K187" s="884"/>
      <c r="L187" s="884"/>
      <c r="M187" s="885"/>
      <c r="N187" s="883"/>
      <c r="O187" s="883"/>
      <c r="P187" s="883"/>
      <c r="Q187" s="886"/>
      <c r="R187" s="886"/>
      <c r="S187" s="886"/>
      <c r="T187" s="884"/>
      <c r="U187" s="884"/>
      <c r="V187" s="887"/>
      <c r="W187" s="883"/>
      <c r="X187" s="888"/>
      <c r="Y187" s="888"/>
      <c r="Z187" s="1227"/>
      <c r="AA187" s="1227"/>
      <c r="AC187" s="883"/>
      <c r="AD187" s="883"/>
      <c r="AE187" s="883"/>
      <c r="AF187" s="883"/>
      <c r="AG187" s="883"/>
      <c r="AH187" s="884"/>
      <c r="AI187" s="883"/>
      <c r="AJ187" s="883"/>
      <c r="AK187" s="886"/>
      <c r="AL187" s="886"/>
      <c r="AM187" s="883"/>
      <c r="AN187" s="883"/>
      <c r="AO187" s="883"/>
      <c r="AP187" s="883"/>
      <c r="AQ187" s="883"/>
      <c r="AR187" s="883"/>
      <c r="AS187" s="883"/>
      <c r="AT187" s="883"/>
      <c r="AU187" s="883"/>
      <c r="AV187" s="883"/>
      <c r="AW187" s="883"/>
      <c r="AX187" s="883"/>
    </row>
    <row r="188" spans="1:50" s="917" customFormat="1" x14ac:dyDescent="0.55000000000000004">
      <c r="A188" s="883"/>
      <c r="B188" s="883"/>
      <c r="C188" s="884"/>
      <c r="D188" s="884"/>
      <c r="E188" s="884"/>
      <c r="F188" s="884"/>
      <c r="G188" s="883"/>
      <c r="H188" s="883"/>
      <c r="I188" s="883"/>
      <c r="J188" s="884"/>
      <c r="K188" s="884"/>
      <c r="L188" s="884"/>
      <c r="M188" s="885"/>
      <c r="N188" s="883"/>
      <c r="O188" s="883"/>
      <c r="P188" s="883"/>
      <c r="Q188" s="886"/>
      <c r="R188" s="886"/>
      <c r="S188" s="886"/>
      <c r="T188" s="884"/>
      <c r="U188" s="884"/>
      <c r="V188" s="887"/>
      <c r="W188" s="883"/>
      <c r="X188" s="888"/>
      <c r="Y188" s="888"/>
      <c r="Z188" s="1227"/>
      <c r="AA188" s="1227"/>
      <c r="AC188" s="883"/>
      <c r="AD188" s="883"/>
      <c r="AE188" s="883"/>
      <c r="AF188" s="883"/>
      <c r="AG188" s="883"/>
      <c r="AH188" s="884"/>
      <c r="AI188" s="883"/>
      <c r="AJ188" s="883"/>
      <c r="AK188" s="886"/>
      <c r="AL188" s="886"/>
      <c r="AM188" s="883"/>
      <c r="AN188" s="883"/>
      <c r="AO188" s="883"/>
      <c r="AP188" s="883"/>
      <c r="AQ188" s="883"/>
      <c r="AR188" s="883"/>
      <c r="AS188" s="883"/>
      <c r="AT188" s="883"/>
      <c r="AU188" s="883"/>
      <c r="AV188" s="883"/>
      <c r="AW188" s="883"/>
      <c r="AX188" s="883"/>
    </row>
    <row r="189" spans="1:50" s="917" customFormat="1" x14ac:dyDescent="0.55000000000000004">
      <c r="A189" s="883"/>
      <c r="B189" s="883"/>
      <c r="C189" s="884"/>
      <c r="D189" s="884"/>
      <c r="E189" s="884"/>
      <c r="F189" s="884"/>
      <c r="G189" s="883"/>
      <c r="H189" s="883"/>
      <c r="I189" s="883"/>
      <c r="J189" s="884"/>
      <c r="K189" s="884"/>
      <c r="L189" s="884"/>
      <c r="M189" s="885"/>
      <c r="N189" s="883"/>
      <c r="O189" s="883"/>
      <c r="P189" s="883"/>
      <c r="Q189" s="886"/>
      <c r="R189" s="886"/>
      <c r="S189" s="886"/>
      <c r="T189" s="884"/>
      <c r="U189" s="884"/>
      <c r="V189" s="887"/>
      <c r="W189" s="883"/>
      <c r="X189" s="888"/>
      <c r="Y189" s="888"/>
      <c r="Z189" s="1227"/>
      <c r="AA189" s="1227"/>
      <c r="AC189" s="883"/>
      <c r="AD189" s="883"/>
      <c r="AE189" s="883"/>
      <c r="AF189" s="883"/>
      <c r="AG189" s="883"/>
      <c r="AH189" s="884"/>
      <c r="AI189" s="883"/>
      <c r="AJ189" s="883"/>
      <c r="AK189" s="886"/>
      <c r="AL189" s="886"/>
      <c r="AM189" s="883"/>
      <c r="AN189" s="883"/>
      <c r="AO189" s="883"/>
      <c r="AP189" s="883"/>
      <c r="AQ189" s="883"/>
      <c r="AR189" s="883"/>
      <c r="AS189" s="883"/>
      <c r="AT189" s="883"/>
      <c r="AU189" s="883"/>
      <c r="AV189" s="883"/>
      <c r="AW189" s="883"/>
      <c r="AX189" s="883"/>
    </row>
    <row r="190" spans="1:50" s="917" customFormat="1" x14ac:dyDescent="0.55000000000000004">
      <c r="A190" s="883"/>
      <c r="B190" s="883"/>
      <c r="C190" s="884"/>
      <c r="D190" s="884"/>
      <c r="E190" s="884"/>
      <c r="F190" s="884"/>
      <c r="G190" s="883"/>
      <c r="H190" s="883"/>
      <c r="I190" s="883"/>
      <c r="J190" s="884"/>
      <c r="K190" s="884"/>
      <c r="L190" s="884"/>
      <c r="M190" s="885"/>
      <c r="N190" s="883"/>
      <c r="O190" s="883"/>
      <c r="P190" s="883"/>
      <c r="Q190" s="886"/>
      <c r="R190" s="886"/>
      <c r="S190" s="886"/>
      <c r="T190" s="884"/>
      <c r="U190" s="884"/>
      <c r="V190" s="887"/>
      <c r="W190" s="883"/>
      <c r="X190" s="888"/>
      <c r="Y190" s="888"/>
      <c r="Z190" s="1227"/>
      <c r="AA190" s="1227"/>
      <c r="AC190" s="883"/>
      <c r="AD190" s="883"/>
      <c r="AE190" s="883"/>
      <c r="AF190" s="883"/>
      <c r="AG190" s="883"/>
      <c r="AH190" s="884"/>
      <c r="AI190" s="883"/>
      <c r="AJ190" s="883"/>
      <c r="AK190" s="886"/>
      <c r="AL190" s="886"/>
      <c r="AM190" s="883"/>
      <c r="AN190" s="883"/>
      <c r="AO190" s="883"/>
      <c r="AP190" s="883"/>
      <c r="AQ190" s="883"/>
      <c r="AR190" s="883"/>
      <c r="AS190" s="883"/>
      <c r="AT190" s="883"/>
      <c r="AU190" s="883"/>
      <c r="AV190" s="883"/>
      <c r="AW190" s="883"/>
      <c r="AX190" s="883"/>
    </row>
    <row r="191" spans="1:50" s="917" customFormat="1" x14ac:dyDescent="0.55000000000000004">
      <c r="A191" s="883"/>
      <c r="B191" s="883"/>
      <c r="C191" s="884"/>
      <c r="D191" s="884"/>
      <c r="E191" s="884"/>
      <c r="F191" s="884"/>
      <c r="G191" s="883"/>
      <c r="H191" s="883"/>
      <c r="I191" s="883"/>
      <c r="J191" s="884"/>
      <c r="K191" s="884"/>
      <c r="L191" s="884"/>
      <c r="M191" s="885"/>
      <c r="N191" s="883"/>
      <c r="O191" s="883"/>
      <c r="P191" s="883"/>
      <c r="Q191" s="886"/>
      <c r="R191" s="886"/>
      <c r="S191" s="886"/>
      <c r="T191" s="884"/>
      <c r="U191" s="884"/>
      <c r="V191" s="887"/>
      <c r="W191" s="883"/>
      <c r="X191" s="888"/>
      <c r="Y191" s="888"/>
      <c r="Z191" s="1227"/>
      <c r="AA191" s="1227"/>
      <c r="AC191" s="883"/>
      <c r="AD191" s="883"/>
      <c r="AE191" s="883"/>
      <c r="AF191" s="883"/>
      <c r="AG191" s="883"/>
      <c r="AH191" s="884"/>
      <c r="AI191" s="883"/>
      <c r="AJ191" s="883"/>
      <c r="AK191" s="886"/>
      <c r="AL191" s="886"/>
      <c r="AM191" s="883"/>
      <c r="AN191" s="883"/>
      <c r="AO191" s="883"/>
      <c r="AP191" s="883"/>
      <c r="AQ191" s="883"/>
      <c r="AR191" s="883"/>
      <c r="AS191" s="883"/>
      <c r="AT191" s="883"/>
      <c r="AU191" s="883"/>
      <c r="AV191" s="883"/>
      <c r="AW191" s="883"/>
      <c r="AX191" s="883"/>
    </row>
    <row r="192" spans="1:50" s="917" customFormat="1" x14ac:dyDescent="0.55000000000000004">
      <c r="A192" s="883"/>
      <c r="B192" s="883"/>
      <c r="C192" s="884"/>
      <c r="D192" s="884"/>
      <c r="E192" s="884"/>
      <c r="F192" s="884"/>
      <c r="G192" s="883"/>
      <c r="H192" s="883"/>
      <c r="I192" s="883"/>
      <c r="J192" s="884"/>
      <c r="K192" s="884"/>
      <c r="L192" s="884"/>
      <c r="M192" s="885"/>
      <c r="N192" s="883"/>
      <c r="O192" s="883"/>
      <c r="P192" s="883"/>
      <c r="Q192" s="886"/>
      <c r="R192" s="886"/>
      <c r="S192" s="886"/>
      <c r="T192" s="884"/>
      <c r="U192" s="884"/>
      <c r="V192" s="887"/>
      <c r="W192" s="883"/>
      <c r="X192" s="888"/>
      <c r="Y192" s="888"/>
      <c r="Z192" s="1227"/>
      <c r="AA192" s="1227"/>
      <c r="AC192" s="883"/>
      <c r="AD192" s="883"/>
      <c r="AE192" s="883"/>
      <c r="AF192" s="883"/>
      <c r="AG192" s="883"/>
      <c r="AH192" s="884"/>
      <c r="AI192" s="883"/>
      <c r="AJ192" s="883"/>
      <c r="AK192" s="886"/>
      <c r="AL192" s="886"/>
      <c r="AM192" s="883"/>
      <c r="AN192" s="883"/>
      <c r="AO192" s="883"/>
      <c r="AP192" s="883"/>
      <c r="AQ192" s="883"/>
      <c r="AR192" s="883"/>
      <c r="AS192" s="883"/>
      <c r="AT192" s="883"/>
      <c r="AU192" s="883"/>
      <c r="AV192" s="883"/>
      <c r="AW192" s="883"/>
      <c r="AX192" s="883"/>
    </row>
    <row r="193" spans="1:50" s="917" customFormat="1" x14ac:dyDescent="0.55000000000000004">
      <c r="A193" s="883"/>
      <c r="B193" s="883"/>
      <c r="C193" s="884"/>
      <c r="D193" s="884"/>
      <c r="E193" s="884"/>
      <c r="F193" s="884"/>
      <c r="G193" s="883"/>
      <c r="H193" s="883"/>
      <c r="I193" s="883"/>
      <c r="J193" s="884"/>
      <c r="K193" s="884"/>
      <c r="L193" s="884"/>
      <c r="M193" s="885"/>
      <c r="N193" s="883"/>
      <c r="O193" s="883"/>
      <c r="P193" s="883"/>
      <c r="Q193" s="886"/>
      <c r="R193" s="886"/>
      <c r="S193" s="886"/>
      <c r="T193" s="884"/>
      <c r="U193" s="884"/>
      <c r="V193" s="887"/>
      <c r="W193" s="883"/>
      <c r="X193" s="888"/>
      <c r="Y193" s="888"/>
      <c r="Z193" s="1227"/>
      <c r="AA193" s="1227"/>
      <c r="AC193" s="883"/>
      <c r="AD193" s="883"/>
      <c r="AE193" s="883"/>
      <c r="AF193" s="883"/>
      <c r="AG193" s="883"/>
      <c r="AH193" s="884"/>
      <c r="AI193" s="883"/>
      <c r="AJ193" s="883"/>
      <c r="AK193" s="886"/>
      <c r="AL193" s="886"/>
      <c r="AM193" s="883"/>
      <c r="AN193" s="883"/>
      <c r="AO193" s="883"/>
      <c r="AP193" s="883"/>
      <c r="AQ193" s="883"/>
      <c r="AR193" s="883"/>
      <c r="AS193" s="883"/>
      <c r="AT193" s="883"/>
      <c r="AU193" s="883"/>
      <c r="AV193" s="883"/>
      <c r="AW193" s="883"/>
      <c r="AX193" s="883"/>
    </row>
    <row r="194" spans="1:50" s="917" customFormat="1" x14ac:dyDescent="0.55000000000000004">
      <c r="A194" s="883"/>
      <c r="B194" s="883"/>
      <c r="C194" s="884"/>
      <c r="D194" s="884"/>
      <c r="E194" s="884"/>
      <c r="F194" s="884"/>
      <c r="G194" s="883"/>
      <c r="H194" s="883"/>
      <c r="I194" s="883"/>
      <c r="J194" s="884"/>
      <c r="K194" s="884"/>
      <c r="L194" s="884"/>
      <c r="M194" s="885"/>
      <c r="N194" s="883"/>
      <c r="O194" s="883"/>
      <c r="P194" s="883"/>
      <c r="Q194" s="886"/>
      <c r="R194" s="886"/>
      <c r="S194" s="886"/>
      <c r="T194" s="884"/>
      <c r="U194" s="884"/>
      <c r="V194" s="887"/>
      <c r="W194" s="883"/>
      <c r="X194" s="888"/>
      <c r="Y194" s="888"/>
      <c r="Z194" s="1227"/>
      <c r="AA194" s="1227"/>
      <c r="AC194" s="883"/>
      <c r="AD194" s="883"/>
      <c r="AE194" s="883"/>
      <c r="AF194" s="883"/>
      <c r="AG194" s="883"/>
      <c r="AH194" s="884"/>
      <c r="AI194" s="883"/>
      <c r="AJ194" s="883"/>
      <c r="AK194" s="886"/>
      <c r="AL194" s="886"/>
      <c r="AM194" s="883"/>
      <c r="AN194" s="883"/>
      <c r="AO194" s="883"/>
      <c r="AP194" s="883"/>
      <c r="AQ194" s="883"/>
      <c r="AR194" s="883"/>
      <c r="AS194" s="883"/>
      <c r="AT194" s="883"/>
      <c r="AU194" s="883"/>
      <c r="AV194" s="883"/>
      <c r="AW194" s="883"/>
      <c r="AX194" s="883"/>
    </row>
    <row r="195" spans="1:50" s="917" customFormat="1" x14ac:dyDescent="0.55000000000000004">
      <c r="A195" s="883"/>
      <c r="B195" s="883"/>
      <c r="C195" s="884"/>
      <c r="D195" s="884"/>
      <c r="E195" s="884"/>
      <c r="F195" s="884"/>
      <c r="G195" s="883"/>
      <c r="H195" s="883"/>
      <c r="I195" s="883"/>
      <c r="J195" s="884"/>
      <c r="K195" s="884"/>
      <c r="L195" s="884"/>
      <c r="M195" s="885"/>
      <c r="N195" s="883"/>
      <c r="O195" s="883"/>
      <c r="P195" s="883"/>
      <c r="Q195" s="886"/>
      <c r="R195" s="886"/>
      <c r="S195" s="886"/>
      <c r="T195" s="884"/>
      <c r="U195" s="884"/>
      <c r="V195" s="887"/>
      <c r="W195" s="883"/>
      <c r="X195" s="888"/>
      <c r="Y195" s="888"/>
      <c r="Z195" s="1227"/>
      <c r="AA195" s="1227"/>
      <c r="AC195" s="883"/>
      <c r="AD195" s="883"/>
      <c r="AE195" s="883"/>
      <c r="AF195" s="883"/>
      <c r="AG195" s="883"/>
      <c r="AH195" s="884"/>
      <c r="AI195" s="883"/>
      <c r="AJ195" s="883"/>
      <c r="AK195" s="886"/>
      <c r="AL195" s="886"/>
      <c r="AM195" s="883"/>
      <c r="AN195" s="883"/>
      <c r="AO195" s="883"/>
      <c r="AP195" s="883"/>
      <c r="AQ195" s="883"/>
      <c r="AR195" s="883"/>
      <c r="AS195" s="883"/>
      <c r="AT195" s="883"/>
      <c r="AU195" s="883"/>
      <c r="AV195" s="883"/>
      <c r="AW195" s="883"/>
      <c r="AX195" s="883"/>
    </row>
    <row r="196" spans="1:50" s="917" customFormat="1" x14ac:dyDescent="0.55000000000000004">
      <c r="A196" s="883"/>
      <c r="B196" s="883"/>
      <c r="C196" s="884"/>
      <c r="D196" s="884"/>
      <c r="E196" s="884"/>
      <c r="F196" s="884"/>
      <c r="G196" s="883"/>
      <c r="H196" s="883"/>
      <c r="I196" s="883"/>
      <c r="J196" s="884"/>
      <c r="K196" s="884"/>
      <c r="L196" s="884"/>
      <c r="M196" s="885"/>
      <c r="N196" s="883"/>
      <c r="O196" s="883"/>
      <c r="P196" s="883"/>
      <c r="Q196" s="886"/>
      <c r="R196" s="886"/>
      <c r="S196" s="886"/>
      <c r="T196" s="884"/>
      <c r="U196" s="884"/>
      <c r="V196" s="887"/>
      <c r="W196" s="883"/>
      <c r="X196" s="888"/>
      <c r="Y196" s="888"/>
      <c r="Z196" s="1227"/>
      <c r="AA196" s="1227"/>
      <c r="AC196" s="883"/>
      <c r="AD196" s="883"/>
      <c r="AE196" s="883"/>
      <c r="AF196" s="883"/>
      <c r="AG196" s="883"/>
      <c r="AH196" s="884"/>
      <c r="AI196" s="883"/>
      <c r="AJ196" s="883"/>
      <c r="AK196" s="886"/>
      <c r="AL196" s="886"/>
      <c r="AM196" s="883"/>
      <c r="AN196" s="883"/>
      <c r="AO196" s="883"/>
      <c r="AP196" s="883"/>
      <c r="AQ196" s="883"/>
      <c r="AR196" s="883"/>
      <c r="AS196" s="883"/>
      <c r="AT196" s="883"/>
      <c r="AU196" s="883"/>
      <c r="AV196" s="883"/>
      <c r="AW196" s="883"/>
      <c r="AX196" s="883"/>
    </row>
    <row r="197" spans="1:50" s="917" customFormat="1" x14ac:dyDescent="0.55000000000000004">
      <c r="A197" s="883"/>
      <c r="B197" s="883"/>
      <c r="C197" s="884"/>
      <c r="D197" s="884"/>
      <c r="E197" s="884"/>
      <c r="F197" s="884"/>
      <c r="G197" s="883"/>
      <c r="H197" s="883"/>
      <c r="I197" s="883"/>
      <c r="J197" s="884"/>
      <c r="K197" s="884"/>
      <c r="L197" s="884"/>
      <c r="M197" s="885"/>
      <c r="N197" s="883"/>
      <c r="O197" s="883"/>
      <c r="P197" s="883"/>
      <c r="Q197" s="886"/>
      <c r="R197" s="886"/>
      <c r="S197" s="886"/>
      <c r="T197" s="884"/>
      <c r="U197" s="884"/>
      <c r="V197" s="887"/>
      <c r="W197" s="883"/>
      <c r="X197" s="888"/>
      <c r="Y197" s="888"/>
      <c r="Z197" s="1227"/>
      <c r="AA197" s="1227"/>
      <c r="AC197" s="883"/>
      <c r="AD197" s="883"/>
      <c r="AE197" s="883"/>
      <c r="AF197" s="883"/>
      <c r="AG197" s="883"/>
      <c r="AH197" s="884"/>
      <c r="AI197" s="883"/>
      <c r="AJ197" s="883"/>
      <c r="AK197" s="886"/>
      <c r="AL197" s="886"/>
      <c r="AM197" s="883"/>
      <c r="AN197" s="883"/>
      <c r="AO197" s="883"/>
      <c r="AP197" s="883"/>
      <c r="AQ197" s="883"/>
      <c r="AR197" s="883"/>
      <c r="AS197" s="883"/>
      <c r="AT197" s="883"/>
      <c r="AU197" s="883"/>
      <c r="AV197" s="883"/>
      <c r="AW197" s="883"/>
      <c r="AX197" s="883"/>
    </row>
    <row r="198" spans="1:50" s="917" customFormat="1" x14ac:dyDescent="0.55000000000000004">
      <c r="A198" s="883"/>
      <c r="B198" s="883"/>
      <c r="C198" s="884"/>
      <c r="D198" s="884"/>
      <c r="E198" s="884"/>
      <c r="F198" s="884"/>
      <c r="G198" s="883"/>
      <c r="H198" s="883"/>
      <c r="I198" s="883"/>
      <c r="J198" s="884"/>
      <c r="K198" s="884"/>
      <c r="L198" s="884"/>
      <c r="M198" s="885"/>
      <c r="N198" s="883"/>
      <c r="O198" s="883"/>
      <c r="P198" s="883"/>
      <c r="Q198" s="886"/>
      <c r="R198" s="886"/>
      <c r="S198" s="886"/>
      <c r="T198" s="884"/>
      <c r="U198" s="884"/>
      <c r="V198" s="887"/>
      <c r="W198" s="883"/>
      <c r="X198" s="888"/>
      <c r="Y198" s="888"/>
      <c r="Z198" s="1227"/>
      <c r="AA198" s="1227"/>
      <c r="AC198" s="883"/>
      <c r="AD198" s="883"/>
      <c r="AE198" s="883"/>
      <c r="AF198" s="883"/>
      <c r="AG198" s="883"/>
      <c r="AH198" s="884"/>
      <c r="AI198" s="883"/>
      <c r="AJ198" s="883"/>
      <c r="AK198" s="886"/>
      <c r="AL198" s="886"/>
      <c r="AM198" s="883"/>
      <c r="AN198" s="883"/>
      <c r="AO198" s="883"/>
      <c r="AP198" s="883"/>
      <c r="AQ198" s="883"/>
      <c r="AR198" s="883"/>
      <c r="AS198" s="883"/>
      <c r="AT198" s="883"/>
      <c r="AU198" s="883"/>
      <c r="AV198" s="883"/>
      <c r="AW198" s="883"/>
      <c r="AX198" s="883"/>
    </row>
    <row r="199" spans="1:50" s="917" customFormat="1" x14ac:dyDescent="0.55000000000000004">
      <c r="A199" s="883"/>
      <c r="B199" s="883"/>
      <c r="C199" s="884"/>
      <c r="D199" s="884"/>
      <c r="E199" s="884"/>
      <c r="F199" s="884"/>
      <c r="G199" s="883"/>
      <c r="H199" s="883"/>
      <c r="I199" s="883"/>
      <c r="J199" s="884"/>
      <c r="K199" s="884"/>
      <c r="L199" s="884"/>
      <c r="M199" s="885"/>
      <c r="N199" s="883"/>
      <c r="O199" s="883"/>
      <c r="P199" s="883"/>
      <c r="Q199" s="886"/>
      <c r="R199" s="886"/>
      <c r="S199" s="886"/>
      <c r="T199" s="884"/>
      <c r="U199" s="884"/>
      <c r="V199" s="887"/>
      <c r="W199" s="883"/>
      <c r="X199" s="888"/>
      <c r="Y199" s="888"/>
      <c r="Z199" s="1227"/>
      <c r="AA199" s="1227"/>
      <c r="AC199" s="883"/>
      <c r="AD199" s="883"/>
      <c r="AE199" s="883"/>
      <c r="AF199" s="883"/>
      <c r="AG199" s="883"/>
      <c r="AH199" s="884"/>
      <c r="AI199" s="883"/>
      <c r="AJ199" s="883"/>
      <c r="AK199" s="886"/>
      <c r="AL199" s="886"/>
      <c r="AM199" s="883"/>
      <c r="AN199" s="883"/>
      <c r="AO199" s="883"/>
      <c r="AP199" s="883"/>
      <c r="AQ199" s="883"/>
      <c r="AR199" s="883"/>
      <c r="AS199" s="883"/>
      <c r="AT199" s="883"/>
      <c r="AU199" s="883"/>
      <c r="AV199" s="883"/>
      <c r="AW199" s="883"/>
      <c r="AX199" s="883"/>
    </row>
    <row r="200" spans="1:50" s="917" customFormat="1" x14ac:dyDescent="0.55000000000000004">
      <c r="A200" s="883"/>
      <c r="B200" s="883"/>
      <c r="C200" s="884"/>
      <c r="D200" s="884"/>
      <c r="E200" s="884"/>
      <c r="F200" s="884"/>
      <c r="G200" s="883"/>
      <c r="H200" s="883"/>
      <c r="I200" s="883"/>
      <c r="J200" s="884"/>
      <c r="K200" s="884"/>
      <c r="L200" s="884"/>
      <c r="M200" s="885"/>
      <c r="N200" s="883"/>
      <c r="O200" s="883"/>
      <c r="P200" s="883"/>
      <c r="Q200" s="886"/>
      <c r="R200" s="886"/>
      <c r="S200" s="886"/>
      <c r="T200" s="884"/>
      <c r="U200" s="884"/>
      <c r="V200" s="887"/>
      <c r="W200" s="883"/>
      <c r="X200" s="888"/>
      <c r="Y200" s="888"/>
      <c r="Z200" s="1227"/>
      <c r="AA200" s="1227"/>
      <c r="AC200" s="883"/>
      <c r="AD200" s="883"/>
      <c r="AE200" s="883"/>
      <c r="AF200" s="883"/>
      <c r="AG200" s="883"/>
      <c r="AH200" s="884"/>
      <c r="AI200" s="883"/>
      <c r="AJ200" s="883"/>
      <c r="AK200" s="886"/>
      <c r="AL200" s="886"/>
      <c r="AM200" s="883"/>
      <c r="AN200" s="883"/>
      <c r="AO200" s="883"/>
      <c r="AP200" s="883"/>
      <c r="AQ200" s="883"/>
      <c r="AR200" s="883"/>
      <c r="AS200" s="883"/>
      <c r="AT200" s="883"/>
      <c r="AU200" s="883"/>
      <c r="AV200" s="883"/>
      <c r="AW200" s="883"/>
      <c r="AX200" s="883"/>
    </row>
    <row r="201" spans="1:50" s="917" customFormat="1" x14ac:dyDescent="0.55000000000000004">
      <c r="A201" s="883"/>
      <c r="B201" s="883"/>
      <c r="C201" s="884"/>
      <c r="D201" s="884"/>
      <c r="E201" s="884"/>
      <c r="F201" s="884"/>
      <c r="G201" s="883"/>
      <c r="H201" s="883"/>
      <c r="I201" s="883"/>
      <c r="J201" s="884"/>
      <c r="K201" s="884"/>
      <c r="L201" s="884"/>
      <c r="M201" s="885"/>
      <c r="N201" s="883"/>
      <c r="O201" s="883"/>
      <c r="P201" s="883"/>
      <c r="Q201" s="886"/>
      <c r="R201" s="886"/>
      <c r="S201" s="886"/>
      <c r="T201" s="884"/>
      <c r="U201" s="884"/>
      <c r="V201" s="887"/>
      <c r="W201" s="883"/>
      <c r="X201" s="888"/>
      <c r="Y201" s="888"/>
      <c r="Z201" s="1227"/>
      <c r="AA201" s="1227"/>
      <c r="AC201" s="883"/>
      <c r="AD201" s="883"/>
      <c r="AE201" s="883"/>
      <c r="AF201" s="883"/>
      <c r="AG201" s="883"/>
      <c r="AH201" s="884"/>
      <c r="AI201" s="883"/>
      <c r="AJ201" s="883"/>
      <c r="AK201" s="886"/>
      <c r="AL201" s="886"/>
      <c r="AM201" s="883"/>
      <c r="AN201" s="883"/>
      <c r="AO201" s="883"/>
      <c r="AP201" s="883"/>
      <c r="AQ201" s="883"/>
      <c r="AR201" s="883"/>
      <c r="AS201" s="883"/>
      <c r="AT201" s="883"/>
      <c r="AU201" s="883"/>
      <c r="AV201" s="883"/>
      <c r="AW201" s="883"/>
      <c r="AX201" s="883"/>
    </row>
    <row r="202" spans="1:50" s="917" customFormat="1" x14ac:dyDescent="0.55000000000000004">
      <c r="A202" s="883"/>
      <c r="B202" s="883"/>
      <c r="C202" s="884"/>
      <c r="D202" s="884"/>
      <c r="E202" s="884"/>
      <c r="F202" s="884"/>
      <c r="G202" s="883"/>
      <c r="H202" s="883"/>
      <c r="I202" s="883"/>
      <c r="J202" s="884"/>
      <c r="K202" s="884"/>
      <c r="L202" s="884"/>
      <c r="M202" s="885"/>
      <c r="N202" s="883"/>
      <c r="O202" s="883"/>
      <c r="P202" s="883"/>
      <c r="Q202" s="886"/>
      <c r="R202" s="886"/>
      <c r="S202" s="886"/>
      <c r="T202" s="884"/>
      <c r="U202" s="884"/>
      <c r="V202" s="887"/>
      <c r="W202" s="883"/>
      <c r="X202" s="888"/>
      <c r="Y202" s="888"/>
      <c r="Z202" s="1227"/>
      <c r="AA202" s="1227"/>
      <c r="AC202" s="883"/>
      <c r="AD202" s="883"/>
      <c r="AE202" s="883"/>
      <c r="AF202" s="883"/>
      <c r="AG202" s="883"/>
      <c r="AH202" s="884"/>
      <c r="AI202" s="883"/>
      <c r="AJ202" s="883"/>
      <c r="AK202" s="886"/>
      <c r="AL202" s="886"/>
      <c r="AM202" s="883"/>
      <c r="AN202" s="883"/>
      <c r="AO202" s="883"/>
      <c r="AP202" s="883"/>
      <c r="AQ202" s="883"/>
      <c r="AR202" s="883"/>
      <c r="AS202" s="883"/>
      <c r="AT202" s="883"/>
      <c r="AU202" s="883"/>
      <c r="AV202" s="883"/>
      <c r="AW202" s="883"/>
      <c r="AX202" s="883"/>
    </row>
    <row r="203" spans="1:50" s="917" customFormat="1" x14ac:dyDescent="0.55000000000000004">
      <c r="A203" s="883"/>
      <c r="B203" s="883"/>
      <c r="C203" s="884"/>
      <c r="D203" s="884"/>
      <c r="E203" s="884"/>
      <c r="F203" s="884"/>
      <c r="G203" s="883"/>
      <c r="H203" s="883"/>
      <c r="I203" s="883"/>
      <c r="J203" s="884"/>
      <c r="K203" s="884"/>
      <c r="L203" s="884"/>
      <c r="M203" s="885"/>
      <c r="N203" s="883"/>
      <c r="O203" s="883"/>
      <c r="P203" s="883"/>
      <c r="Q203" s="886"/>
      <c r="R203" s="886"/>
      <c r="S203" s="886"/>
      <c r="T203" s="884"/>
      <c r="U203" s="884"/>
      <c r="V203" s="887"/>
      <c r="W203" s="883"/>
      <c r="X203" s="888"/>
      <c r="Y203" s="888"/>
      <c r="Z203" s="1227"/>
      <c r="AA203" s="1227"/>
      <c r="AC203" s="883"/>
      <c r="AD203" s="883"/>
      <c r="AE203" s="883"/>
      <c r="AF203" s="883"/>
      <c r="AG203" s="883"/>
      <c r="AH203" s="884"/>
      <c r="AI203" s="883"/>
      <c r="AJ203" s="883"/>
      <c r="AK203" s="886"/>
      <c r="AL203" s="886"/>
      <c r="AM203" s="883"/>
      <c r="AN203" s="883"/>
      <c r="AO203" s="883"/>
      <c r="AP203" s="883"/>
      <c r="AQ203" s="883"/>
      <c r="AR203" s="883"/>
      <c r="AS203" s="883"/>
      <c r="AT203" s="883"/>
      <c r="AU203" s="883"/>
      <c r="AV203" s="883"/>
      <c r="AW203" s="883"/>
      <c r="AX203" s="883"/>
    </row>
    <row r="204" spans="1:50" s="917" customFormat="1" x14ac:dyDescent="0.55000000000000004">
      <c r="A204" s="883"/>
      <c r="B204" s="883"/>
      <c r="C204" s="884"/>
      <c r="D204" s="884"/>
      <c r="E204" s="884"/>
      <c r="F204" s="884"/>
      <c r="G204" s="883"/>
      <c r="H204" s="883"/>
      <c r="I204" s="883"/>
      <c r="J204" s="884"/>
      <c r="K204" s="884"/>
      <c r="L204" s="884"/>
      <c r="M204" s="885"/>
      <c r="N204" s="883"/>
      <c r="O204" s="883"/>
      <c r="P204" s="883"/>
      <c r="Q204" s="886"/>
      <c r="R204" s="886"/>
      <c r="S204" s="886"/>
      <c r="T204" s="884"/>
      <c r="U204" s="884"/>
      <c r="V204" s="887"/>
      <c r="W204" s="883"/>
      <c r="X204" s="888"/>
      <c r="Y204" s="888"/>
      <c r="Z204" s="1227"/>
      <c r="AA204" s="1227"/>
      <c r="AC204" s="883"/>
      <c r="AD204" s="883"/>
      <c r="AE204" s="883"/>
      <c r="AF204" s="883"/>
      <c r="AG204" s="883"/>
      <c r="AH204" s="884"/>
      <c r="AI204" s="883"/>
      <c r="AJ204" s="883"/>
      <c r="AK204" s="886"/>
      <c r="AL204" s="886"/>
      <c r="AM204" s="883"/>
      <c r="AN204" s="883"/>
      <c r="AO204" s="883"/>
      <c r="AP204" s="883"/>
      <c r="AQ204" s="883"/>
      <c r="AR204" s="883"/>
      <c r="AS204" s="883"/>
      <c r="AT204" s="883"/>
      <c r="AU204" s="883"/>
      <c r="AV204" s="883"/>
      <c r="AW204" s="883"/>
      <c r="AX204" s="883"/>
    </row>
    <row r="205" spans="1:50" s="917" customFormat="1" x14ac:dyDescent="0.55000000000000004">
      <c r="A205" s="883"/>
      <c r="B205" s="883"/>
      <c r="C205" s="884"/>
      <c r="D205" s="884"/>
      <c r="E205" s="884"/>
      <c r="F205" s="884"/>
      <c r="G205" s="883"/>
      <c r="H205" s="883"/>
      <c r="I205" s="883"/>
      <c r="J205" s="884"/>
      <c r="K205" s="884"/>
      <c r="L205" s="884"/>
      <c r="M205" s="885"/>
      <c r="N205" s="883"/>
      <c r="O205" s="883"/>
      <c r="P205" s="883"/>
      <c r="Q205" s="886"/>
      <c r="R205" s="886"/>
      <c r="S205" s="886"/>
      <c r="T205" s="884"/>
      <c r="U205" s="884"/>
      <c r="V205" s="887"/>
      <c r="W205" s="883"/>
      <c r="X205" s="888"/>
      <c r="Y205" s="888"/>
      <c r="Z205" s="1227"/>
      <c r="AA205" s="1227"/>
      <c r="AC205" s="883"/>
      <c r="AD205" s="883"/>
      <c r="AE205" s="883"/>
      <c r="AF205" s="883"/>
      <c r="AG205" s="883"/>
      <c r="AH205" s="884"/>
      <c r="AI205" s="883"/>
      <c r="AJ205" s="883"/>
      <c r="AK205" s="886"/>
      <c r="AL205" s="886"/>
      <c r="AM205" s="883"/>
      <c r="AN205" s="883"/>
      <c r="AO205" s="883"/>
      <c r="AP205" s="883"/>
      <c r="AQ205" s="883"/>
      <c r="AR205" s="883"/>
      <c r="AS205" s="883"/>
      <c r="AT205" s="883"/>
      <c r="AU205" s="883"/>
      <c r="AV205" s="883"/>
      <c r="AW205" s="883"/>
      <c r="AX205" s="883"/>
    </row>
    <row r="206" spans="1:50" s="917" customFormat="1" x14ac:dyDescent="0.55000000000000004">
      <c r="A206" s="883"/>
      <c r="B206" s="883"/>
      <c r="C206" s="884"/>
      <c r="D206" s="884"/>
      <c r="E206" s="884"/>
      <c r="F206" s="884"/>
      <c r="G206" s="883"/>
      <c r="H206" s="883"/>
      <c r="I206" s="883"/>
      <c r="J206" s="884"/>
      <c r="K206" s="884"/>
      <c r="L206" s="884"/>
      <c r="M206" s="885"/>
      <c r="N206" s="883"/>
      <c r="O206" s="883"/>
      <c r="P206" s="883"/>
      <c r="Q206" s="886"/>
      <c r="R206" s="886"/>
      <c r="S206" s="886"/>
      <c r="T206" s="884"/>
      <c r="U206" s="884"/>
      <c r="V206" s="887"/>
      <c r="W206" s="883"/>
      <c r="X206" s="888"/>
      <c r="Y206" s="888"/>
      <c r="Z206" s="1227"/>
      <c r="AA206" s="1227"/>
      <c r="AC206" s="883"/>
      <c r="AD206" s="883"/>
      <c r="AE206" s="883"/>
      <c r="AF206" s="883"/>
      <c r="AG206" s="883"/>
      <c r="AH206" s="884"/>
      <c r="AI206" s="883"/>
      <c r="AJ206" s="883"/>
      <c r="AK206" s="886"/>
      <c r="AL206" s="886"/>
      <c r="AM206" s="883"/>
      <c r="AN206" s="883"/>
      <c r="AO206" s="883"/>
      <c r="AP206" s="883"/>
      <c r="AQ206" s="883"/>
      <c r="AR206" s="883"/>
      <c r="AS206" s="883"/>
      <c r="AT206" s="883"/>
      <c r="AU206" s="883"/>
      <c r="AV206" s="883"/>
      <c r="AW206" s="883"/>
      <c r="AX206" s="883"/>
    </row>
    <row r="207" spans="1:50" s="917" customFormat="1" x14ac:dyDescent="0.55000000000000004">
      <c r="A207" s="883"/>
      <c r="B207" s="883"/>
      <c r="C207" s="884"/>
      <c r="D207" s="884"/>
      <c r="E207" s="884"/>
      <c r="F207" s="884"/>
      <c r="G207" s="883"/>
      <c r="H207" s="883"/>
      <c r="I207" s="883"/>
      <c r="J207" s="884"/>
      <c r="K207" s="884"/>
      <c r="L207" s="884"/>
      <c r="M207" s="885"/>
      <c r="N207" s="883"/>
      <c r="O207" s="883"/>
      <c r="P207" s="883"/>
      <c r="Q207" s="886"/>
      <c r="R207" s="886"/>
      <c r="S207" s="886"/>
      <c r="T207" s="884"/>
      <c r="U207" s="884"/>
      <c r="V207" s="887"/>
      <c r="W207" s="883"/>
      <c r="X207" s="888"/>
      <c r="Y207" s="888"/>
      <c r="Z207" s="1227"/>
      <c r="AA207" s="1227"/>
      <c r="AC207" s="883"/>
      <c r="AD207" s="883"/>
      <c r="AE207" s="883"/>
      <c r="AF207" s="883"/>
      <c r="AG207" s="883"/>
      <c r="AH207" s="884"/>
      <c r="AI207" s="883"/>
      <c r="AJ207" s="883"/>
      <c r="AK207" s="886"/>
      <c r="AL207" s="886"/>
      <c r="AM207" s="883"/>
      <c r="AN207" s="883"/>
      <c r="AO207" s="883"/>
      <c r="AP207" s="883"/>
      <c r="AQ207" s="883"/>
      <c r="AR207" s="883"/>
      <c r="AS207" s="883"/>
      <c r="AT207" s="883"/>
      <c r="AU207" s="883"/>
      <c r="AV207" s="883"/>
      <c r="AW207" s="883"/>
      <c r="AX207" s="883"/>
    </row>
    <row r="208" spans="1:50" s="917" customFormat="1" x14ac:dyDescent="0.55000000000000004">
      <c r="A208" s="883"/>
      <c r="B208" s="883"/>
      <c r="C208" s="884"/>
      <c r="D208" s="884"/>
      <c r="E208" s="884"/>
      <c r="F208" s="884"/>
      <c r="G208" s="883"/>
      <c r="H208" s="883"/>
      <c r="I208" s="883"/>
      <c r="J208" s="884"/>
      <c r="K208" s="884"/>
      <c r="L208" s="884"/>
      <c r="M208" s="885"/>
      <c r="N208" s="883"/>
      <c r="O208" s="883"/>
      <c r="P208" s="883"/>
      <c r="Q208" s="886"/>
      <c r="R208" s="886"/>
      <c r="S208" s="886"/>
      <c r="T208" s="884"/>
      <c r="U208" s="884"/>
      <c r="V208" s="887"/>
      <c r="W208" s="883"/>
      <c r="X208" s="888"/>
      <c r="Y208" s="888"/>
      <c r="Z208" s="1227"/>
      <c r="AA208" s="1227"/>
      <c r="AC208" s="883"/>
      <c r="AD208" s="883"/>
      <c r="AE208" s="883"/>
      <c r="AF208" s="883"/>
      <c r="AG208" s="883"/>
      <c r="AH208" s="884"/>
      <c r="AI208" s="883"/>
      <c r="AJ208" s="883"/>
      <c r="AK208" s="886"/>
      <c r="AL208" s="886"/>
      <c r="AM208" s="883"/>
      <c r="AN208" s="883"/>
      <c r="AO208" s="883"/>
      <c r="AP208" s="883"/>
      <c r="AQ208" s="883"/>
      <c r="AR208" s="883"/>
      <c r="AS208" s="883"/>
      <c r="AT208" s="883"/>
      <c r="AU208" s="883"/>
      <c r="AV208" s="883"/>
      <c r="AW208" s="883"/>
      <c r="AX208" s="883"/>
    </row>
    <row r="209" spans="1:50" s="917" customFormat="1" x14ac:dyDescent="0.55000000000000004">
      <c r="A209" s="883"/>
      <c r="B209" s="883"/>
      <c r="C209" s="884"/>
      <c r="D209" s="884"/>
      <c r="E209" s="884"/>
      <c r="F209" s="884"/>
      <c r="G209" s="883"/>
      <c r="H209" s="883"/>
      <c r="I209" s="883"/>
      <c r="J209" s="884"/>
      <c r="K209" s="884"/>
      <c r="L209" s="884"/>
      <c r="M209" s="885"/>
      <c r="N209" s="883"/>
      <c r="O209" s="883"/>
      <c r="P209" s="883"/>
      <c r="Q209" s="886"/>
      <c r="R209" s="886"/>
      <c r="S209" s="886"/>
      <c r="T209" s="884"/>
      <c r="U209" s="884"/>
      <c r="V209" s="887"/>
      <c r="W209" s="883"/>
      <c r="X209" s="888"/>
      <c r="Y209" s="888"/>
      <c r="Z209" s="1227"/>
      <c r="AA209" s="1227"/>
      <c r="AC209" s="883"/>
      <c r="AD209" s="883"/>
      <c r="AE209" s="883"/>
      <c r="AF209" s="883"/>
      <c r="AG209" s="883"/>
      <c r="AH209" s="884"/>
      <c r="AI209" s="883"/>
      <c r="AJ209" s="883"/>
      <c r="AK209" s="886"/>
      <c r="AL209" s="886"/>
      <c r="AM209" s="883"/>
      <c r="AN209" s="883"/>
      <c r="AO209" s="883"/>
      <c r="AP209" s="883"/>
      <c r="AQ209" s="883"/>
      <c r="AR209" s="883"/>
      <c r="AS209" s="883"/>
      <c r="AT209" s="883"/>
      <c r="AU209" s="883"/>
      <c r="AV209" s="883"/>
      <c r="AW209" s="883"/>
      <c r="AX209" s="883"/>
    </row>
    <row r="210" spans="1:50" s="917" customFormat="1" x14ac:dyDescent="0.55000000000000004">
      <c r="A210" s="883"/>
      <c r="B210" s="883"/>
      <c r="C210" s="884"/>
      <c r="D210" s="884"/>
      <c r="E210" s="884"/>
      <c r="F210" s="884"/>
      <c r="G210" s="883"/>
      <c r="H210" s="883"/>
      <c r="I210" s="883"/>
      <c r="J210" s="884"/>
      <c r="K210" s="884"/>
      <c r="L210" s="884"/>
      <c r="M210" s="885"/>
      <c r="N210" s="883"/>
      <c r="O210" s="883"/>
      <c r="P210" s="883"/>
      <c r="Q210" s="886"/>
      <c r="R210" s="886"/>
      <c r="S210" s="886"/>
      <c r="T210" s="884"/>
      <c r="U210" s="884"/>
      <c r="V210" s="887"/>
      <c r="W210" s="883"/>
      <c r="X210" s="888"/>
      <c r="Y210" s="888"/>
      <c r="Z210" s="1227"/>
      <c r="AA210" s="1227"/>
      <c r="AC210" s="883"/>
      <c r="AD210" s="883"/>
      <c r="AE210" s="883"/>
      <c r="AF210" s="883"/>
      <c r="AG210" s="883"/>
      <c r="AH210" s="884"/>
      <c r="AI210" s="883"/>
      <c r="AJ210" s="883"/>
      <c r="AK210" s="886"/>
      <c r="AL210" s="886"/>
      <c r="AM210" s="883"/>
      <c r="AN210" s="883"/>
      <c r="AO210" s="883"/>
      <c r="AP210" s="883"/>
      <c r="AQ210" s="883"/>
      <c r="AR210" s="883"/>
      <c r="AS210" s="883"/>
      <c r="AT210" s="883"/>
      <c r="AU210" s="883"/>
      <c r="AV210" s="883"/>
      <c r="AW210" s="883"/>
      <c r="AX210" s="883"/>
    </row>
    <row r="211" spans="1:50" s="917" customFormat="1" x14ac:dyDescent="0.55000000000000004">
      <c r="A211" s="883"/>
      <c r="B211" s="883"/>
      <c r="C211" s="884"/>
      <c r="D211" s="884"/>
      <c r="E211" s="884"/>
      <c r="F211" s="884"/>
      <c r="G211" s="883"/>
      <c r="H211" s="883"/>
      <c r="I211" s="883"/>
      <c r="J211" s="884"/>
      <c r="K211" s="884"/>
      <c r="L211" s="884"/>
      <c r="M211" s="885"/>
      <c r="N211" s="883"/>
      <c r="O211" s="883"/>
      <c r="P211" s="883"/>
      <c r="Q211" s="886"/>
      <c r="R211" s="886"/>
      <c r="S211" s="886"/>
      <c r="T211" s="884"/>
      <c r="U211" s="884"/>
      <c r="V211" s="887"/>
      <c r="W211" s="883"/>
      <c r="X211" s="888"/>
      <c r="Y211" s="888"/>
      <c r="Z211" s="1227"/>
      <c r="AA211" s="1227"/>
      <c r="AC211" s="883"/>
      <c r="AD211" s="883"/>
      <c r="AE211" s="883"/>
      <c r="AF211" s="883"/>
      <c r="AG211" s="883"/>
      <c r="AH211" s="884"/>
      <c r="AI211" s="883"/>
      <c r="AJ211" s="883"/>
      <c r="AK211" s="886"/>
      <c r="AL211" s="886"/>
      <c r="AM211" s="883"/>
      <c r="AN211" s="883"/>
      <c r="AO211" s="883"/>
      <c r="AP211" s="883"/>
      <c r="AQ211" s="883"/>
      <c r="AR211" s="883"/>
      <c r="AS211" s="883"/>
      <c r="AT211" s="883"/>
      <c r="AU211" s="883"/>
      <c r="AV211" s="883"/>
      <c r="AW211" s="883"/>
      <c r="AX211" s="883"/>
    </row>
    <row r="212" spans="1:50" s="917" customFormat="1" x14ac:dyDescent="0.55000000000000004">
      <c r="A212" s="883"/>
      <c r="B212" s="883"/>
      <c r="C212" s="884"/>
      <c r="D212" s="884"/>
      <c r="E212" s="884"/>
      <c r="F212" s="884"/>
      <c r="G212" s="883"/>
      <c r="H212" s="883"/>
      <c r="I212" s="883"/>
      <c r="J212" s="884"/>
      <c r="K212" s="884"/>
      <c r="L212" s="884"/>
      <c r="M212" s="885"/>
      <c r="N212" s="883"/>
      <c r="O212" s="883"/>
      <c r="P212" s="883"/>
      <c r="Q212" s="886"/>
      <c r="R212" s="886"/>
      <c r="S212" s="886"/>
      <c r="T212" s="884"/>
      <c r="U212" s="884"/>
      <c r="V212" s="887"/>
      <c r="W212" s="883"/>
      <c r="X212" s="888"/>
      <c r="Y212" s="888"/>
      <c r="Z212" s="1227"/>
      <c r="AA212" s="1227"/>
      <c r="AC212" s="883"/>
      <c r="AD212" s="883"/>
      <c r="AE212" s="883"/>
      <c r="AF212" s="883"/>
      <c r="AG212" s="883"/>
      <c r="AH212" s="884"/>
      <c r="AI212" s="883"/>
      <c r="AJ212" s="883"/>
      <c r="AK212" s="886"/>
      <c r="AL212" s="886"/>
      <c r="AM212" s="883"/>
      <c r="AN212" s="883"/>
      <c r="AO212" s="883"/>
      <c r="AP212" s="883"/>
      <c r="AQ212" s="883"/>
      <c r="AR212" s="883"/>
      <c r="AS212" s="883"/>
      <c r="AT212" s="883"/>
      <c r="AU212" s="883"/>
      <c r="AV212" s="883"/>
      <c r="AW212" s="883"/>
      <c r="AX212" s="883"/>
    </row>
    <row r="213" spans="1:50" s="917" customFormat="1" x14ac:dyDescent="0.55000000000000004">
      <c r="A213" s="883"/>
      <c r="B213" s="883"/>
      <c r="C213" s="884"/>
      <c r="D213" s="884"/>
      <c r="E213" s="884"/>
      <c r="F213" s="884"/>
      <c r="G213" s="883"/>
      <c r="H213" s="883"/>
      <c r="I213" s="883"/>
      <c r="J213" s="884"/>
      <c r="K213" s="884"/>
      <c r="L213" s="884"/>
      <c r="M213" s="885"/>
      <c r="N213" s="883"/>
      <c r="O213" s="883"/>
      <c r="P213" s="883"/>
      <c r="Q213" s="886"/>
      <c r="R213" s="886"/>
      <c r="S213" s="886"/>
      <c r="T213" s="884"/>
      <c r="U213" s="884"/>
      <c r="V213" s="887"/>
      <c r="W213" s="883"/>
      <c r="X213" s="888"/>
      <c r="Y213" s="888"/>
      <c r="Z213" s="1227"/>
      <c r="AA213" s="1227"/>
      <c r="AC213" s="883"/>
      <c r="AD213" s="883"/>
      <c r="AE213" s="883"/>
      <c r="AF213" s="883"/>
      <c r="AG213" s="883"/>
      <c r="AH213" s="884"/>
      <c r="AI213" s="883"/>
      <c r="AJ213" s="883"/>
      <c r="AK213" s="886"/>
      <c r="AL213" s="886"/>
      <c r="AM213" s="883"/>
      <c r="AN213" s="883"/>
      <c r="AO213" s="883"/>
      <c r="AP213" s="883"/>
      <c r="AQ213" s="883"/>
      <c r="AR213" s="883"/>
      <c r="AS213" s="883"/>
      <c r="AT213" s="883"/>
      <c r="AU213" s="883"/>
      <c r="AV213" s="883"/>
      <c r="AW213" s="883"/>
      <c r="AX213" s="883"/>
    </row>
    <row r="214" spans="1:50" s="917" customFormat="1" x14ac:dyDescent="0.55000000000000004">
      <c r="A214" s="883"/>
      <c r="B214" s="883"/>
      <c r="C214" s="884"/>
      <c r="D214" s="884"/>
      <c r="E214" s="884"/>
      <c r="F214" s="884"/>
      <c r="G214" s="883"/>
      <c r="H214" s="883"/>
      <c r="I214" s="883"/>
      <c r="J214" s="884"/>
      <c r="K214" s="884"/>
      <c r="L214" s="884"/>
      <c r="M214" s="885"/>
      <c r="N214" s="883"/>
      <c r="O214" s="883"/>
      <c r="P214" s="883"/>
      <c r="Q214" s="886"/>
      <c r="R214" s="886"/>
      <c r="S214" s="886"/>
      <c r="T214" s="884"/>
      <c r="U214" s="884"/>
      <c r="V214" s="887"/>
      <c r="W214" s="883"/>
      <c r="X214" s="888"/>
      <c r="Y214" s="888"/>
      <c r="Z214" s="1227"/>
      <c r="AA214" s="1227"/>
      <c r="AC214" s="883"/>
      <c r="AD214" s="883"/>
      <c r="AE214" s="883"/>
      <c r="AF214" s="883"/>
      <c r="AG214" s="883"/>
      <c r="AH214" s="884"/>
      <c r="AI214" s="883"/>
      <c r="AJ214" s="883"/>
      <c r="AK214" s="886"/>
      <c r="AL214" s="886"/>
      <c r="AM214" s="883"/>
      <c r="AN214" s="883"/>
      <c r="AO214" s="883"/>
      <c r="AP214" s="883"/>
      <c r="AQ214" s="883"/>
      <c r="AR214" s="883"/>
      <c r="AS214" s="883"/>
      <c r="AT214" s="883"/>
      <c r="AU214" s="883"/>
      <c r="AV214" s="883"/>
      <c r="AW214" s="883"/>
      <c r="AX214" s="883"/>
    </row>
    <row r="215" spans="1:50" s="917" customFormat="1" x14ac:dyDescent="0.55000000000000004">
      <c r="A215" s="883"/>
      <c r="B215" s="883"/>
      <c r="C215" s="884"/>
      <c r="D215" s="884"/>
      <c r="E215" s="884"/>
      <c r="F215" s="884"/>
      <c r="G215" s="883"/>
      <c r="H215" s="883"/>
      <c r="I215" s="883"/>
      <c r="J215" s="884"/>
      <c r="K215" s="884"/>
      <c r="L215" s="884"/>
      <c r="M215" s="885"/>
      <c r="N215" s="883"/>
      <c r="O215" s="883"/>
      <c r="P215" s="883"/>
      <c r="Q215" s="886"/>
      <c r="R215" s="886"/>
      <c r="S215" s="886"/>
      <c r="T215" s="884"/>
      <c r="U215" s="884"/>
      <c r="V215" s="887"/>
      <c r="W215" s="883"/>
      <c r="X215" s="888"/>
      <c r="Y215" s="888"/>
      <c r="Z215" s="1227"/>
      <c r="AA215" s="1227"/>
      <c r="AC215" s="883"/>
      <c r="AD215" s="883"/>
      <c r="AE215" s="883"/>
      <c r="AF215" s="883"/>
      <c r="AG215" s="883"/>
      <c r="AH215" s="884"/>
      <c r="AI215" s="883"/>
      <c r="AJ215" s="883"/>
      <c r="AK215" s="886"/>
      <c r="AL215" s="886"/>
      <c r="AM215" s="883"/>
      <c r="AN215" s="883"/>
      <c r="AO215" s="883"/>
      <c r="AP215" s="883"/>
      <c r="AQ215" s="883"/>
      <c r="AR215" s="883"/>
      <c r="AS215" s="883"/>
      <c r="AT215" s="883"/>
      <c r="AU215" s="883"/>
      <c r="AV215" s="883"/>
      <c r="AW215" s="883"/>
      <c r="AX215" s="883"/>
    </row>
    <row r="216" spans="1:50" s="917" customFormat="1" x14ac:dyDescent="0.55000000000000004">
      <c r="A216" s="883"/>
      <c r="B216" s="883"/>
      <c r="C216" s="884"/>
      <c r="D216" s="884"/>
      <c r="E216" s="884"/>
      <c r="F216" s="884"/>
      <c r="G216" s="883"/>
      <c r="H216" s="883"/>
      <c r="I216" s="883"/>
      <c r="J216" s="884"/>
      <c r="K216" s="884"/>
      <c r="L216" s="884"/>
      <c r="M216" s="885"/>
      <c r="N216" s="883"/>
      <c r="O216" s="883"/>
      <c r="P216" s="883"/>
      <c r="Q216" s="886"/>
      <c r="R216" s="886"/>
      <c r="S216" s="886"/>
      <c r="T216" s="884"/>
      <c r="U216" s="884"/>
      <c r="V216" s="887"/>
      <c r="W216" s="883"/>
      <c r="X216" s="888"/>
      <c r="Y216" s="888"/>
      <c r="Z216" s="1227"/>
      <c r="AA216" s="1227"/>
      <c r="AC216" s="883"/>
      <c r="AD216" s="883"/>
      <c r="AE216" s="883"/>
      <c r="AF216" s="883"/>
      <c r="AG216" s="883"/>
      <c r="AH216" s="884"/>
      <c r="AI216" s="883"/>
      <c r="AJ216" s="883"/>
      <c r="AK216" s="886"/>
      <c r="AL216" s="886"/>
      <c r="AM216" s="883"/>
      <c r="AN216" s="883"/>
      <c r="AO216" s="883"/>
      <c r="AP216" s="883"/>
      <c r="AQ216" s="883"/>
      <c r="AR216" s="883"/>
      <c r="AS216" s="883"/>
      <c r="AT216" s="883"/>
      <c r="AU216" s="883"/>
      <c r="AV216" s="883"/>
      <c r="AW216" s="883"/>
      <c r="AX216" s="883"/>
    </row>
    <row r="217" spans="1:50" s="917" customFormat="1" x14ac:dyDescent="0.55000000000000004">
      <c r="A217" s="883"/>
      <c r="B217" s="883"/>
      <c r="C217" s="884"/>
      <c r="D217" s="884"/>
      <c r="E217" s="884"/>
      <c r="F217" s="884"/>
      <c r="G217" s="883"/>
      <c r="H217" s="883"/>
      <c r="I217" s="883"/>
      <c r="J217" s="884"/>
      <c r="K217" s="884"/>
      <c r="L217" s="884"/>
      <c r="M217" s="885"/>
      <c r="N217" s="883"/>
      <c r="O217" s="883"/>
      <c r="P217" s="883"/>
      <c r="Q217" s="886"/>
      <c r="R217" s="886"/>
      <c r="S217" s="886"/>
      <c r="T217" s="884"/>
      <c r="U217" s="884"/>
      <c r="V217" s="887"/>
      <c r="W217" s="883"/>
      <c r="X217" s="888"/>
      <c r="Y217" s="888"/>
      <c r="Z217" s="1227"/>
      <c r="AA217" s="1227"/>
      <c r="AC217" s="883"/>
      <c r="AD217" s="883"/>
      <c r="AE217" s="883"/>
      <c r="AF217" s="883"/>
      <c r="AG217" s="883"/>
      <c r="AH217" s="884"/>
      <c r="AI217" s="883"/>
      <c r="AJ217" s="883"/>
      <c r="AK217" s="886"/>
      <c r="AL217" s="886"/>
      <c r="AM217" s="883"/>
      <c r="AN217" s="883"/>
      <c r="AO217" s="883"/>
      <c r="AP217" s="883"/>
      <c r="AQ217" s="883"/>
      <c r="AR217" s="883"/>
      <c r="AS217" s="883"/>
      <c r="AT217" s="883"/>
      <c r="AU217" s="883"/>
      <c r="AV217" s="883"/>
      <c r="AW217" s="883"/>
      <c r="AX217" s="883"/>
    </row>
    <row r="218" spans="1:50" s="917" customFormat="1" x14ac:dyDescent="0.55000000000000004">
      <c r="A218" s="883"/>
      <c r="B218" s="883"/>
      <c r="C218" s="884"/>
      <c r="D218" s="884"/>
      <c r="E218" s="884"/>
      <c r="F218" s="884"/>
      <c r="G218" s="883"/>
      <c r="H218" s="883"/>
      <c r="I218" s="883"/>
      <c r="J218" s="884"/>
      <c r="K218" s="884"/>
      <c r="L218" s="884"/>
      <c r="M218" s="885"/>
      <c r="N218" s="883"/>
      <c r="O218" s="883"/>
      <c r="P218" s="883"/>
      <c r="Q218" s="886"/>
      <c r="R218" s="886"/>
      <c r="S218" s="886"/>
      <c r="T218" s="884"/>
      <c r="U218" s="884"/>
      <c r="V218" s="887"/>
      <c r="W218" s="883"/>
      <c r="X218" s="888"/>
      <c r="Y218" s="888"/>
      <c r="Z218" s="1227"/>
      <c r="AA218" s="1227"/>
      <c r="AC218" s="883"/>
      <c r="AD218" s="883"/>
      <c r="AE218" s="883"/>
      <c r="AF218" s="883"/>
      <c r="AG218" s="883"/>
      <c r="AH218" s="884"/>
      <c r="AI218" s="883"/>
      <c r="AJ218" s="883"/>
      <c r="AK218" s="886"/>
      <c r="AL218" s="886"/>
      <c r="AM218" s="883"/>
      <c r="AN218" s="883"/>
      <c r="AO218" s="883"/>
      <c r="AP218" s="883"/>
      <c r="AQ218" s="883"/>
      <c r="AR218" s="883"/>
      <c r="AS218" s="883"/>
      <c r="AT218" s="883"/>
      <c r="AU218" s="883"/>
      <c r="AV218" s="883"/>
      <c r="AW218" s="883"/>
      <c r="AX218" s="883"/>
    </row>
    <row r="219" spans="1:50" s="917" customFormat="1" x14ac:dyDescent="0.55000000000000004">
      <c r="A219" s="883"/>
      <c r="B219" s="883"/>
      <c r="C219" s="884"/>
      <c r="D219" s="884"/>
      <c r="E219" s="884"/>
      <c r="F219" s="884"/>
      <c r="G219" s="883"/>
      <c r="H219" s="883"/>
      <c r="I219" s="883"/>
      <c r="J219" s="884"/>
      <c r="K219" s="884"/>
      <c r="L219" s="884"/>
      <c r="M219" s="885"/>
      <c r="N219" s="883"/>
      <c r="O219" s="883"/>
      <c r="P219" s="883"/>
      <c r="Q219" s="886"/>
      <c r="R219" s="886"/>
      <c r="S219" s="886"/>
      <c r="T219" s="884"/>
      <c r="U219" s="884"/>
      <c r="V219" s="887"/>
      <c r="W219" s="883"/>
      <c r="X219" s="888"/>
      <c r="Y219" s="888"/>
      <c r="Z219" s="1227"/>
      <c r="AA219" s="1227"/>
      <c r="AC219" s="883"/>
      <c r="AD219" s="883"/>
      <c r="AE219" s="883"/>
      <c r="AF219" s="883"/>
      <c r="AG219" s="883"/>
      <c r="AH219" s="884"/>
      <c r="AI219" s="883"/>
      <c r="AJ219" s="883"/>
      <c r="AK219" s="886"/>
      <c r="AL219" s="886"/>
      <c r="AM219" s="883"/>
      <c r="AN219" s="883"/>
      <c r="AO219" s="883"/>
      <c r="AP219" s="883"/>
      <c r="AQ219" s="883"/>
      <c r="AR219" s="883"/>
      <c r="AS219" s="883"/>
      <c r="AT219" s="883"/>
      <c r="AU219" s="883"/>
      <c r="AV219" s="883"/>
      <c r="AW219" s="883"/>
      <c r="AX219" s="883"/>
    </row>
    <row r="220" spans="1:50" s="917" customFormat="1" x14ac:dyDescent="0.55000000000000004">
      <c r="A220" s="883"/>
      <c r="B220" s="883"/>
      <c r="C220" s="884"/>
      <c r="D220" s="884"/>
      <c r="E220" s="884"/>
      <c r="F220" s="884"/>
      <c r="G220" s="883"/>
      <c r="H220" s="883"/>
      <c r="I220" s="883"/>
      <c r="J220" s="884"/>
      <c r="K220" s="884"/>
      <c r="L220" s="884"/>
      <c r="M220" s="885"/>
      <c r="N220" s="883"/>
      <c r="O220" s="883"/>
      <c r="P220" s="883"/>
      <c r="Q220" s="886"/>
      <c r="R220" s="886"/>
      <c r="S220" s="886"/>
      <c r="T220" s="884"/>
      <c r="U220" s="884"/>
      <c r="V220" s="887"/>
      <c r="W220" s="883"/>
      <c r="X220" s="888"/>
      <c r="Y220" s="888"/>
      <c r="Z220" s="1227"/>
      <c r="AA220" s="1227"/>
      <c r="AC220" s="883"/>
      <c r="AD220" s="883"/>
      <c r="AE220" s="883"/>
      <c r="AF220" s="883"/>
      <c r="AG220" s="883"/>
      <c r="AH220" s="884"/>
      <c r="AI220" s="883"/>
      <c r="AJ220" s="883"/>
      <c r="AK220" s="886"/>
      <c r="AL220" s="886"/>
      <c r="AM220" s="883"/>
      <c r="AN220" s="883"/>
      <c r="AO220" s="883"/>
      <c r="AP220" s="883"/>
      <c r="AQ220" s="883"/>
      <c r="AR220" s="883"/>
      <c r="AS220" s="883"/>
      <c r="AT220" s="883"/>
      <c r="AU220" s="883"/>
      <c r="AV220" s="883"/>
      <c r="AW220" s="883"/>
      <c r="AX220" s="883"/>
    </row>
    <row r="221" spans="1:50" s="917" customFormat="1" x14ac:dyDescent="0.55000000000000004">
      <c r="A221" s="883"/>
      <c r="B221" s="883"/>
      <c r="C221" s="884"/>
      <c r="D221" s="884"/>
      <c r="E221" s="884"/>
      <c r="F221" s="884"/>
      <c r="G221" s="883"/>
      <c r="H221" s="883"/>
      <c r="I221" s="883"/>
      <c r="J221" s="884"/>
      <c r="K221" s="884"/>
      <c r="L221" s="884"/>
      <c r="M221" s="885"/>
      <c r="N221" s="883"/>
      <c r="O221" s="883"/>
      <c r="P221" s="883"/>
      <c r="Q221" s="886"/>
      <c r="R221" s="886"/>
      <c r="S221" s="886"/>
      <c r="T221" s="884"/>
      <c r="U221" s="884"/>
      <c r="V221" s="887"/>
      <c r="W221" s="883"/>
      <c r="X221" s="888"/>
      <c r="Y221" s="888"/>
      <c r="Z221" s="1227"/>
      <c r="AA221" s="1227"/>
      <c r="AC221" s="883"/>
      <c r="AD221" s="883"/>
      <c r="AE221" s="883"/>
      <c r="AF221" s="883"/>
      <c r="AG221" s="883"/>
      <c r="AH221" s="884"/>
      <c r="AI221" s="883"/>
      <c r="AJ221" s="883"/>
      <c r="AK221" s="886"/>
      <c r="AL221" s="886"/>
      <c r="AM221" s="883"/>
      <c r="AN221" s="883"/>
      <c r="AO221" s="883"/>
      <c r="AP221" s="883"/>
      <c r="AQ221" s="883"/>
      <c r="AR221" s="883"/>
      <c r="AS221" s="883"/>
      <c r="AT221" s="883"/>
      <c r="AU221" s="883"/>
      <c r="AV221" s="883"/>
      <c r="AW221" s="883"/>
      <c r="AX221" s="883"/>
    </row>
    <row r="222" spans="1:50" s="917" customFormat="1" x14ac:dyDescent="0.55000000000000004">
      <c r="A222" s="883"/>
      <c r="B222" s="883"/>
      <c r="C222" s="884"/>
      <c r="D222" s="884"/>
      <c r="E222" s="884"/>
      <c r="F222" s="884"/>
      <c r="G222" s="883"/>
      <c r="H222" s="883"/>
      <c r="I222" s="883"/>
      <c r="J222" s="884"/>
      <c r="K222" s="884"/>
      <c r="L222" s="884"/>
      <c r="M222" s="885"/>
      <c r="N222" s="883"/>
      <c r="O222" s="883"/>
      <c r="P222" s="883"/>
      <c r="Q222" s="886"/>
      <c r="R222" s="886"/>
      <c r="S222" s="886"/>
      <c r="T222" s="884"/>
      <c r="U222" s="884"/>
      <c r="V222" s="887"/>
      <c r="W222" s="883"/>
      <c r="X222" s="888"/>
      <c r="Y222" s="888"/>
      <c r="Z222" s="1227"/>
      <c r="AA222" s="1227"/>
      <c r="AC222" s="883"/>
      <c r="AD222" s="883"/>
      <c r="AE222" s="883"/>
      <c r="AF222" s="883"/>
      <c r="AG222" s="883"/>
      <c r="AH222" s="884"/>
      <c r="AI222" s="883"/>
      <c r="AJ222" s="883"/>
      <c r="AK222" s="886"/>
      <c r="AL222" s="886"/>
      <c r="AM222" s="883"/>
      <c r="AN222" s="883"/>
      <c r="AO222" s="883"/>
      <c r="AP222" s="883"/>
      <c r="AQ222" s="883"/>
      <c r="AR222" s="883"/>
      <c r="AS222" s="883"/>
      <c r="AT222" s="883"/>
      <c r="AU222" s="883"/>
      <c r="AV222" s="883"/>
      <c r="AW222" s="883"/>
      <c r="AX222" s="883"/>
    </row>
    <row r="223" spans="1:50" s="917" customFormat="1" x14ac:dyDescent="0.55000000000000004">
      <c r="A223" s="883"/>
      <c r="B223" s="883"/>
      <c r="C223" s="884"/>
      <c r="D223" s="884"/>
      <c r="E223" s="884"/>
      <c r="F223" s="884"/>
      <c r="G223" s="883"/>
      <c r="H223" s="883"/>
      <c r="I223" s="883"/>
      <c r="J223" s="884"/>
      <c r="K223" s="884"/>
      <c r="L223" s="884"/>
      <c r="M223" s="885"/>
      <c r="N223" s="883"/>
      <c r="O223" s="883"/>
      <c r="P223" s="883"/>
      <c r="Q223" s="886"/>
      <c r="R223" s="886"/>
      <c r="S223" s="886"/>
      <c r="T223" s="884"/>
      <c r="U223" s="884"/>
      <c r="V223" s="887"/>
      <c r="W223" s="883"/>
      <c r="X223" s="888"/>
      <c r="Y223" s="888"/>
      <c r="Z223" s="1227"/>
      <c r="AA223" s="1227"/>
      <c r="AC223" s="883"/>
      <c r="AD223" s="883"/>
      <c r="AE223" s="883"/>
      <c r="AF223" s="883"/>
      <c r="AG223" s="883"/>
      <c r="AH223" s="884"/>
      <c r="AI223" s="883"/>
      <c r="AJ223" s="883"/>
      <c r="AK223" s="886"/>
      <c r="AL223" s="886"/>
      <c r="AM223" s="883"/>
      <c r="AN223" s="883"/>
      <c r="AO223" s="883"/>
      <c r="AP223" s="883"/>
      <c r="AQ223" s="883"/>
      <c r="AR223" s="883"/>
      <c r="AS223" s="883"/>
      <c r="AT223" s="883"/>
      <c r="AU223" s="883"/>
      <c r="AV223" s="883"/>
      <c r="AW223" s="883"/>
      <c r="AX223" s="883"/>
    </row>
    <row r="224" spans="1:50" s="917" customFormat="1" x14ac:dyDescent="0.55000000000000004">
      <c r="A224" s="883"/>
      <c r="B224" s="883"/>
      <c r="C224" s="884"/>
      <c r="D224" s="884"/>
      <c r="E224" s="884"/>
      <c r="F224" s="884"/>
      <c r="G224" s="883"/>
      <c r="H224" s="883"/>
      <c r="I224" s="883"/>
      <c r="J224" s="884"/>
      <c r="K224" s="884"/>
      <c r="L224" s="884"/>
      <c r="M224" s="885"/>
      <c r="N224" s="883"/>
      <c r="O224" s="883"/>
      <c r="P224" s="883"/>
      <c r="Q224" s="886"/>
      <c r="R224" s="886"/>
      <c r="S224" s="886"/>
      <c r="T224" s="884"/>
      <c r="U224" s="884"/>
      <c r="V224" s="887"/>
      <c r="W224" s="883"/>
      <c r="X224" s="888"/>
      <c r="Y224" s="888"/>
      <c r="Z224" s="1227"/>
      <c r="AA224" s="1227"/>
      <c r="AC224" s="883"/>
      <c r="AD224" s="883"/>
      <c r="AE224" s="883"/>
      <c r="AF224" s="883"/>
      <c r="AG224" s="883"/>
      <c r="AH224" s="884"/>
      <c r="AI224" s="883"/>
      <c r="AJ224" s="883"/>
      <c r="AK224" s="886"/>
      <c r="AL224" s="886"/>
      <c r="AM224" s="883"/>
      <c r="AN224" s="883"/>
      <c r="AO224" s="883"/>
      <c r="AP224" s="883"/>
      <c r="AQ224" s="883"/>
      <c r="AR224" s="883"/>
      <c r="AS224" s="883"/>
      <c r="AT224" s="883"/>
      <c r="AU224" s="883"/>
      <c r="AV224" s="883"/>
      <c r="AW224" s="883"/>
      <c r="AX224" s="883"/>
    </row>
    <row r="225" spans="1:50" s="917" customFormat="1" x14ac:dyDescent="0.55000000000000004">
      <c r="A225" s="883"/>
      <c r="B225" s="883"/>
      <c r="C225" s="884"/>
      <c r="D225" s="884"/>
      <c r="E225" s="884"/>
      <c r="F225" s="884"/>
      <c r="G225" s="883"/>
      <c r="H225" s="883"/>
      <c r="I225" s="883"/>
      <c r="J225" s="884"/>
      <c r="K225" s="884"/>
      <c r="L225" s="884"/>
      <c r="M225" s="885"/>
      <c r="N225" s="883"/>
      <c r="O225" s="883"/>
      <c r="P225" s="883"/>
      <c r="Q225" s="886"/>
      <c r="R225" s="886"/>
      <c r="S225" s="886"/>
      <c r="T225" s="884"/>
      <c r="U225" s="884"/>
      <c r="V225" s="887"/>
      <c r="W225" s="883"/>
      <c r="X225" s="888"/>
      <c r="Y225" s="888"/>
      <c r="Z225" s="1229"/>
      <c r="AA225" s="1227"/>
      <c r="AC225" s="883"/>
      <c r="AD225" s="883"/>
      <c r="AE225" s="883"/>
      <c r="AF225" s="883"/>
      <c r="AG225" s="883"/>
      <c r="AH225" s="884"/>
      <c r="AI225" s="883"/>
      <c r="AJ225" s="883"/>
      <c r="AK225" s="886"/>
      <c r="AL225" s="886"/>
      <c r="AM225" s="883"/>
      <c r="AN225" s="883"/>
      <c r="AO225" s="883"/>
      <c r="AP225" s="883"/>
      <c r="AQ225" s="883"/>
      <c r="AR225" s="883"/>
      <c r="AS225" s="883"/>
      <c r="AT225" s="883"/>
      <c r="AU225" s="883"/>
      <c r="AV225" s="883"/>
      <c r="AW225" s="883"/>
      <c r="AX225" s="883"/>
    </row>
    <row r="226" spans="1:50" s="917" customFormat="1" x14ac:dyDescent="0.55000000000000004">
      <c r="A226" s="883"/>
      <c r="B226" s="883"/>
      <c r="C226" s="884"/>
      <c r="D226" s="884"/>
      <c r="E226" s="884"/>
      <c r="F226" s="884"/>
      <c r="G226" s="883"/>
      <c r="H226" s="883"/>
      <c r="I226" s="883"/>
      <c r="J226" s="884"/>
      <c r="K226" s="884"/>
      <c r="L226" s="884"/>
      <c r="M226" s="885"/>
      <c r="N226" s="883"/>
      <c r="O226" s="883"/>
      <c r="P226" s="883"/>
      <c r="Q226" s="886"/>
      <c r="R226" s="886"/>
      <c r="S226" s="886"/>
      <c r="T226" s="884"/>
      <c r="U226" s="884"/>
      <c r="V226" s="887"/>
      <c r="W226" s="883"/>
      <c r="X226" s="888"/>
      <c r="Y226" s="888"/>
      <c r="Z226" s="1227"/>
      <c r="AA226" s="1227"/>
      <c r="AC226" s="883"/>
      <c r="AD226" s="883"/>
      <c r="AE226" s="883"/>
      <c r="AF226" s="883"/>
      <c r="AG226" s="883"/>
      <c r="AH226" s="884"/>
      <c r="AI226" s="883"/>
      <c r="AJ226" s="883"/>
      <c r="AK226" s="886"/>
      <c r="AL226" s="886"/>
      <c r="AM226" s="883"/>
      <c r="AN226" s="883"/>
      <c r="AO226" s="883"/>
      <c r="AP226" s="883"/>
      <c r="AQ226" s="883"/>
      <c r="AR226" s="883"/>
      <c r="AS226" s="883"/>
      <c r="AT226" s="883"/>
      <c r="AU226" s="883"/>
      <c r="AV226" s="883"/>
      <c r="AW226" s="883"/>
      <c r="AX226" s="883"/>
    </row>
    <row r="227" spans="1:50" s="917" customFormat="1" x14ac:dyDescent="0.55000000000000004">
      <c r="A227" s="883"/>
      <c r="B227" s="883"/>
      <c r="C227" s="884"/>
      <c r="D227" s="884"/>
      <c r="E227" s="884"/>
      <c r="F227" s="884"/>
      <c r="G227" s="883"/>
      <c r="H227" s="883"/>
      <c r="I227" s="883"/>
      <c r="J227" s="884"/>
      <c r="K227" s="884"/>
      <c r="L227" s="884"/>
      <c r="M227" s="885"/>
      <c r="N227" s="883"/>
      <c r="O227" s="883"/>
      <c r="P227" s="883"/>
      <c r="Q227" s="886"/>
      <c r="R227" s="886"/>
      <c r="S227" s="886"/>
      <c r="T227" s="884"/>
      <c r="U227" s="884"/>
      <c r="V227" s="887"/>
      <c r="W227" s="883"/>
      <c r="X227" s="888"/>
      <c r="Y227" s="888"/>
      <c r="Z227" s="1227"/>
      <c r="AA227" s="1227"/>
      <c r="AC227" s="883"/>
      <c r="AD227" s="883"/>
      <c r="AE227" s="883"/>
      <c r="AF227" s="883"/>
      <c r="AG227" s="883"/>
      <c r="AH227" s="884"/>
      <c r="AI227" s="883"/>
      <c r="AJ227" s="883"/>
      <c r="AK227" s="886"/>
      <c r="AL227" s="886"/>
      <c r="AM227" s="883"/>
      <c r="AN227" s="883"/>
      <c r="AO227" s="883"/>
      <c r="AP227" s="883"/>
      <c r="AQ227" s="883"/>
      <c r="AR227" s="883"/>
      <c r="AS227" s="883"/>
      <c r="AT227" s="883"/>
      <c r="AU227" s="883"/>
      <c r="AV227" s="883"/>
      <c r="AW227" s="883"/>
      <c r="AX227" s="883"/>
    </row>
    <row r="228" spans="1:50" s="917" customFormat="1" x14ac:dyDescent="0.55000000000000004">
      <c r="A228" s="883"/>
      <c r="B228" s="883"/>
      <c r="C228" s="884"/>
      <c r="D228" s="884"/>
      <c r="E228" s="884"/>
      <c r="F228" s="884"/>
      <c r="G228" s="883"/>
      <c r="H228" s="883"/>
      <c r="I228" s="883"/>
      <c r="J228" s="884"/>
      <c r="K228" s="884"/>
      <c r="L228" s="884"/>
      <c r="M228" s="885"/>
      <c r="N228" s="883"/>
      <c r="O228" s="883"/>
      <c r="P228" s="883"/>
      <c r="Q228" s="886"/>
      <c r="R228" s="886"/>
      <c r="S228" s="886"/>
      <c r="T228" s="884"/>
      <c r="U228" s="884"/>
      <c r="V228" s="887"/>
      <c r="W228" s="883"/>
      <c r="X228" s="888"/>
      <c r="Y228" s="888"/>
      <c r="Z228" s="1227"/>
      <c r="AA228" s="1227"/>
      <c r="AC228" s="883"/>
      <c r="AD228" s="883"/>
      <c r="AE228" s="883"/>
      <c r="AF228" s="883"/>
      <c r="AG228" s="883"/>
      <c r="AH228" s="884"/>
      <c r="AI228" s="883"/>
      <c r="AJ228" s="883"/>
      <c r="AK228" s="886"/>
      <c r="AL228" s="886"/>
      <c r="AM228" s="883"/>
      <c r="AN228" s="883"/>
      <c r="AO228" s="883"/>
      <c r="AP228" s="883"/>
      <c r="AQ228" s="883"/>
      <c r="AR228" s="883"/>
      <c r="AS228" s="883"/>
      <c r="AT228" s="883"/>
      <c r="AU228" s="883"/>
      <c r="AV228" s="883"/>
      <c r="AW228" s="883"/>
      <c r="AX228" s="883"/>
    </row>
    <row r="229" spans="1:50" s="917" customFormat="1" x14ac:dyDescent="0.55000000000000004">
      <c r="A229" s="883"/>
      <c r="B229" s="883"/>
      <c r="C229" s="884"/>
      <c r="D229" s="884"/>
      <c r="E229" s="884"/>
      <c r="F229" s="884"/>
      <c r="G229" s="883"/>
      <c r="H229" s="883"/>
      <c r="I229" s="883"/>
      <c r="J229" s="884"/>
      <c r="K229" s="884"/>
      <c r="L229" s="884"/>
      <c r="M229" s="885"/>
      <c r="N229" s="883"/>
      <c r="O229" s="883"/>
      <c r="P229" s="883"/>
      <c r="Q229" s="886"/>
      <c r="R229" s="886"/>
      <c r="S229" s="886"/>
      <c r="T229" s="884"/>
      <c r="U229" s="884"/>
      <c r="V229" s="887"/>
      <c r="W229" s="883"/>
      <c r="X229" s="888"/>
      <c r="Y229" s="888"/>
      <c r="Z229" s="921"/>
      <c r="AA229" s="921"/>
      <c r="AC229" s="883"/>
      <c r="AD229" s="883"/>
      <c r="AE229" s="883"/>
      <c r="AF229" s="883"/>
      <c r="AG229" s="883"/>
      <c r="AH229" s="884"/>
      <c r="AI229" s="883"/>
      <c r="AJ229" s="883"/>
      <c r="AK229" s="886"/>
      <c r="AL229" s="886"/>
      <c r="AM229" s="883"/>
      <c r="AN229" s="883"/>
      <c r="AO229" s="883"/>
      <c r="AP229" s="883"/>
      <c r="AQ229" s="883"/>
      <c r="AR229" s="883"/>
      <c r="AS229" s="883"/>
      <c r="AT229" s="883"/>
      <c r="AU229" s="883"/>
      <c r="AV229" s="883"/>
      <c r="AW229" s="883"/>
      <c r="AX229" s="883"/>
    </row>
    <row r="230" spans="1:50" s="917" customFormat="1" x14ac:dyDescent="0.55000000000000004">
      <c r="A230" s="883"/>
      <c r="B230" s="883"/>
      <c r="C230" s="884"/>
      <c r="D230" s="884"/>
      <c r="E230" s="884"/>
      <c r="F230" s="884"/>
      <c r="G230" s="883"/>
      <c r="H230" s="883"/>
      <c r="I230" s="883"/>
      <c r="J230" s="884"/>
      <c r="K230" s="884"/>
      <c r="L230" s="884"/>
      <c r="M230" s="885"/>
      <c r="N230" s="883"/>
      <c r="O230" s="883"/>
      <c r="P230" s="883"/>
      <c r="Q230" s="886"/>
      <c r="R230" s="886"/>
      <c r="S230" s="886"/>
      <c r="T230" s="884"/>
      <c r="U230" s="884"/>
      <c r="V230" s="887"/>
      <c r="W230" s="883"/>
      <c r="X230" s="888"/>
      <c r="Y230" s="888"/>
      <c r="Z230" s="921"/>
      <c r="AA230" s="921"/>
      <c r="AC230" s="883"/>
      <c r="AD230" s="883"/>
      <c r="AE230" s="883"/>
      <c r="AF230" s="883"/>
      <c r="AG230" s="883"/>
      <c r="AH230" s="884"/>
      <c r="AI230" s="883"/>
      <c r="AJ230" s="883"/>
      <c r="AK230" s="886"/>
      <c r="AL230" s="886"/>
      <c r="AM230" s="883"/>
      <c r="AN230" s="883"/>
      <c r="AO230" s="883"/>
      <c r="AP230" s="883"/>
      <c r="AQ230" s="883"/>
      <c r="AR230" s="883"/>
      <c r="AS230" s="883"/>
      <c r="AT230" s="883"/>
      <c r="AU230" s="883"/>
      <c r="AV230" s="883"/>
      <c r="AW230" s="883"/>
      <c r="AX230" s="883"/>
    </row>
    <row r="231" spans="1:50" s="917" customFormat="1" x14ac:dyDescent="0.55000000000000004">
      <c r="A231" s="883"/>
      <c r="B231" s="883"/>
      <c r="C231" s="884"/>
      <c r="D231" s="884"/>
      <c r="E231" s="884"/>
      <c r="F231" s="884"/>
      <c r="G231" s="883"/>
      <c r="H231" s="883"/>
      <c r="I231" s="883"/>
      <c r="J231" s="884"/>
      <c r="K231" s="884"/>
      <c r="L231" s="884"/>
      <c r="M231" s="885"/>
      <c r="N231" s="883"/>
      <c r="O231" s="883"/>
      <c r="P231" s="883"/>
      <c r="Q231" s="886"/>
      <c r="R231" s="886"/>
      <c r="S231" s="886"/>
      <c r="T231" s="884"/>
      <c r="U231" s="884"/>
      <c r="V231" s="887"/>
      <c r="W231" s="883"/>
      <c r="X231" s="888"/>
      <c r="Y231" s="888"/>
      <c r="Z231" s="921"/>
      <c r="AA231" s="921"/>
      <c r="AC231" s="883"/>
      <c r="AD231" s="883"/>
      <c r="AE231" s="883"/>
      <c r="AF231" s="883"/>
      <c r="AG231" s="883"/>
      <c r="AH231" s="884"/>
      <c r="AI231" s="883"/>
      <c r="AJ231" s="883"/>
      <c r="AK231" s="886"/>
      <c r="AL231" s="886"/>
      <c r="AM231" s="883"/>
      <c r="AN231" s="883"/>
      <c r="AO231" s="883"/>
      <c r="AP231" s="883"/>
      <c r="AQ231" s="883"/>
      <c r="AR231" s="883"/>
      <c r="AS231" s="883"/>
      <c r="AT231" s="883"/>
      <c r="AU231" s="883"/>
      <c r="AV231" s="883"/>
      <c r="AW231" s="883"/>
      <c r="AX231" s="883"/>
    </row>
    <row r="232" spans="1:50" s="917" customFormat="1" x14ac:dyDescent="0.55000000000000004">
      <c r="A232" s="883"/>
      <c r="B232" s="883"/>
      <c r="C232" s="884"/>
      <c r="D232" s="884"/>
      <c r="E232" s="884"/>
      <c r="F232" s="884"/>
      <c r="G232" s="883"/>
      <c r="H232" s="883"/>
      <c r="I232" s="883"/>
      <c r="J232" s="884"/>
      <c r="K232" s="884"/>
      <c r="L232" s="884"/>
      <c r="M232" s="885"/>
      <c r="N232" s="883"/>
      <c r="O232" s="883"/>
      <c r="P232" s="883"/>
      <c r="Q232" s="886"/>
      <c r="R232" s="886"/>
      <c r="S232" s="886"/>
      <c r="T232" s="884"/>
      <c r="U232" s="884"/>
      <c r="V232" s="887"/>
      <c r="W232" s="883"/>
      <c r="X232" s="888"/>
      <c r="Y232" s="888"/>
      <c r="Z232" s="921"/>
      <c r="AA232" s="1228"/>
      <c r="AC232" s="883"/>
      <c r="AD232" s="883"/>
      <c r="AE232" s="883"/>
      <c r="AF232" s="883"/>
      <c r="AG232" s="883"/>
      <c r="AH232" s="884"/>
      <c r="AI232" s="883"/>
      <c r="AJ232" s="883"/>
      <c r="AK232" s="886"/>
      <c r="AL232" s="886"/>
      <c r="AM232" s="883"/>
      <c r="AN232" s="883"/>
      <c r="AO232" s="883"/>
      <c r="AP232" s="883"/>
      <c r="AQ232" s="883"/>
      <c r="AR232" s="883"/>
      <c r="AS232" s="883"/>
      <c r="AT232" s="883"/>
      <c r="AU232" s="883"/>
      <c r="AV232" s="883"/>
      <c r="AW232" s="883"/>
      <c r="AX232" s="883"/>
    </row>
    <row r="233" spans="1:50" s="917" customFormat="1" x14ac:dyDescent="0.55000000000000004">
      <c r="A233" s="883"/>
      <c r="B233" s="883"/>
      <c r="C233" s="884"/>
      <c r="D233" s="884"/>
      <c r="E233" s="884"/>
      <c r="F233" s="884"/>
      <c r="G233" s="883"/>
      <c r="H233" s="883"/>
      <c r="I233" s="883"/>
      <c r="J233" s="884"/>
      <c r="K233" s="884"/>
      <c r="L233" s="884"/>
      <c r="M233" s="885"/>
      <c r="N233" s="883"/>
      <c r="O233" s="883"/>
      <c r="P233" s="883"/>
      <c r="Q233" s="886"/>
      <c r="R233" s="886"/>
      <c r="S233" s="886"/>
      <c r="T233" s="884"/>
      <c r="U233" s="884"/>
      <c r="V233" s="887"/>
      <c r="W233" s="883"/>
      <c r="X233" s="888"/>
      <c r="Y233" s="888"/>
      <c r="Z233" s="921"/>
      <c r="AA233" s="921"/>
      <c r="AC233" s="883"/>
      <c r="AD233" s="883"/>
      <c r="AE233" s="883"/>
      <c r="AF233" s="883"/>
      <c r="AG233" s="883"/>
      <c r="AH233" s="884"/>
      <c r="AI233" s="883"/>
      <c r="AJ233" s="883"/>
      <c r="AK233" s="886"/>
      <c r="AL233" s="886"/>
      <c r="AM233" s="883"/>
      <c r="AN233" s="883"/>
      <c r="AO233" s="883"/>
      <c r="AP233" s="883"/>
      <c r="AQ233" s="883"/>
      <c r="AR233" s="883"/>
      <c r="AS233" s="883"/>
      <c r="AT233" s="883"/>
      <c r="AU233" s="883"/>
      <c r="AV233" s="883"/>
      <c r="AW233" s="883"/>
      <c r="AX233" s="883"/>
    </row>
    <row r="234" spans="1:50" s="917" customFormat="1" x14ac:dyDescent="0.55000000000000004">
      <c r="A234" s="883"/>
      <c r="B234" s="883"/>
      <c r="C234" s="884"/>
      <c r="D234" s="884"/>
      <c r="E234" s="884"/>
      <c r="F234" s="884"/>
      <c r="G234" s="883"/>
      <c r="H234" s="883"/>
      <c r="I234" s="883"/>
      <c r="J234" s="884"/>
      <c r="K234" s="884"/>
      <c r="L234" s="884"/>
      <c r="M234" s="885"/>
      <c r="N234" s="883"/>
      <c r="O234" s="883"/>
      <c r="P234" s="883"/>
      <c r="Q234" s="886"/>
      <c r="R234" s="886"/>
      <c r="S234" s="886"/>
      <c r="T234" s="884"/>
      <c r="U234" s="884"/>
      <c r="V234" s="887"/>
      <c r="W234" s="883"/>
      <c r="X234" s="888"/>
      <c r="Y234" s="888"/>
      <c r="Z234" s="921"/>
      <c r="AA234" s="921"/>
      <c r="AC234" s="883"/>
      <c r="AD234" s="883"/>
      <c r="AE234" s="883"/>
      <c r="AF234" s="883"/>
      <c r="AG234" s="883"/>
      <c r="AH234" s="884"/>
      <c r="AI234" s="883"/>
      <c r="AJ234" s="883"/>
      <c r="AK234" s="886"/>
      <c r="AL234" s="886"/>
      <c r="AM234" s="883"/>
      <c r="AN234" s="883"/>
      <c r="AO234" s="883"/>
      <c r="AP234" s="883"/>
      <c r="AQ234" s="883"/>
      <c r="AR234" s="883"/>
      <c r="AS234" s="883"/>
      <c r="AT234" s="883"/>
      <c r="AU234" s="883"/>
      <c r="AV234" s="883"/>
      <c r="AW234" s="883"/>
      <c r="AX234" s="883"/>
    </row>
    <row r="235" spans="1:50" s="917" customFormat="1" x14ac:dyDescent="0.55000000000000004">
      <c r="A235" s="883"/>
      <c r="B235" s="883"/>
      <c r="C235" s="884"/>
      <c r="D235" s="884"/>
      <c r="E235" s="884"/>
      <c r="F235" s="884"/>
      <c r="G235" s="883"/>
      <c r="H235" s="883"/>
      <c r="I235" s="883"/>
      <c r="J235" s="884"/>
      <c r="K235" s="884"/>
      <c r="L235" s="884"/>
      <c r="M235" s="885"/>
      <c r="N235" s="883"/>
      <c r="O235" s="883"/>
      <c r="P235" s="883"/>
      <c r="Q235" s="886"/>
      <c r="R235" s="886"/>
      <c r="S235" s="886"/>
      <c r="T235" s="884"/>
      <c r="U235" s="884"/>
      <c r="V235" s="887"/>
      <c r="W235" s="883"/>
      <c r="X235" s="888"/>
      <c r="Y235" s="888"/>
      <c r="Z235" s="921"/>
      <c r="AA235" s="921"/>
      <c r="AC235" s="883"/>
      <c r="AD235" s="883"/>
      <c r="AE235" s="883"/>
      <c r="AF235" s="883"/>
      <c r="AG235" s="883"/>
      <c r="AH235" s="884"/>
      <c r="AI235" s="883"/>
      <c r="AJ235" s="883"/>
      <c r="AK235" s="886"/>
      <c r="AL235" s="886"/>
      <c r="AM235" s="883"/>
      <c r="AN235" s="883"/>
      <c r="AO235" s="883"/>
      <c r="AP235" s="883"/>
      <c r="AQ235" s="883"/>
      <c r="AR235" s="883"/>
      <c r="AS235" s="883"/>
      <c r="AT235" s="883"/>
      <c r="AU235" s="883"/>
      <c r="AV235" s="883"/>
      <c r="AW235" s="883"/>
      <c r="AX235" s="883"/>
    </row>
    <row r="236" spans="1:50" s="917" customFormat="1" x14ac:dyDescent="0.55000000000000004">
      <c r="A236" s="883"/>
      <c r="B236" s="883"/>
      <c r="C236" s="884"/>
      <c r="D236" s="884"/>
      <c r="E236" s="884"/>
      <c r="F236" s="884"/>
      <c r="G236" s="883"/>
      <c r="H236" s="883"/>
      <c r="I236" s="883"/>
      <c r="J236" s="884"/>
      <c r="K236" s="884"/>
      <c r="L236" s="884"/>
      <c r="M236" s="885"/>
      <c r="N236" s="883"/>
      <c r="O236" s="883"/>
      <c r="P236" s="883"/>
      <c r="Q236" s="886"/>
      <c r="R236" s="886"/>
      <c r="S236" s="886"/>
      <c r="T236" s="884"/>
      <c r="U236" s="884"/>
      <c r="V236" s="887"/>
      <c r="W236" s="883"/>
      <c r="X236" s="888"/>
      <c r="Y236" s="888"/>
      <c r="Z236" s="921"/>
      <c r="AA236" s="921"/>
      <c r="AC236" s="883"/>
      <c r="AD236" s="883"/>
      <c r="AE236" s="883"/>
      <c r="AF236" s="883"/>
      <c r="AG236" s="883"/>
      <c r="AH236" s="884"/>
      <c r="AI236" s="883"/>
      <c r="AJ236" s="883"/>
      <c r="AK236" s="886"/>
      <c r="AL236" s="886"/>
      <c r="AM236" s="883"/>
      <c r="AN236" s="883"/>
      <c r="AO236" s="883"/>
      <c r="AP236" s="883"/>
      <c r="AQ236" s="883"/>
      <c r="AR236" s="883"/>
      <c r="AS236" s="883"/>
      <c r="AT236" s="883"/>
      <c r="AU236" s="883"/>
      <c r="AV236" s="883"/>
      <c r="AW236" s="883"/>
      <c r="AX236" s="883"/>
    </row>
    <row r="237" spans="1:50" s="917" customFormat="1" x14ac:dyDescent="0.55000000000000004">
      <c r="A237" s="883"/>
      <c r="B237" s="883"/>
      <c r="C237" s="884"/>
      <c r="D237" s="884"/>
      <c r="E237" s="884"/>
      <c r="F237" s="884"/>
      <c r="G237" s="883"/>
      <c r="H237" s="883"/>
      <c r="I237" s="883"/>
      <c r="J237" s="884"/>
      <c r="K237" s="884"/>
      <c r="L237" s="884"/>
      <c r="M237" s="885"/>
      <c r="N237" s="883"/>
      <c r="O237" s="883"/>
      <c r="P237" s="883"/>
      <c r="Q237" s="886"/>
      <c r="R237" s="886"/>
      <c r="S237" s="886"/>
      <c r="T237" s="884"/>
      <c r="U237" s="884"/>
      <c r="V237" s="887"/>
      <c r="W237" s="883"/>
      <c r="X237" s="888"/>
      <c r="Y237" s="888"/>
      <c r="Z237" s="921"/>
      <c r="AA237" s="921"/>
      <c r="AC237" s="883"/>
      <c r="AD237" s="883"/>
      <c r="AE237" s="883"/>
      <c r="AF237" s="883"/>
      <c r="AG237" s="883"/>
      <c r="AH237" s="884"/>
      <c r="AI237" s="883"/>
      <c r="AJ237" s="883"/>
      <c r="AK237" s="886"/>
      <c r="AL237" s="886"/>
      <c r="AM237" s="883"/>
      <c r="AN237" s="883"/>
      <c r="AO237" s="883"/>
      <c r="AP237" s="883"/>
      <c r="AQ237" s="883"/>
      <c r="AR237" s="883"/>
      <c r="AS237" s="883"/>
      <c r="AT237" s="883"/>
      <c r="AU237" s="883"/>
      <c r="AV237" s="883"/>
      <c r="AW237" s="883"/>
      <c r="AX237" s="883"/>
    </row>
    <row r="238" spans="1:50" s="917" customFormat="1" x14ac:dyDescent="0.55000000000000004">
      <c r="A238" s="883"/>
      <c r="B238" s="883"/>
      <c r="C238" s="884"/>
      <c r="D238" s="884"/>
      <c r="E238" s="884"/>
      <c r="F238" s="884"/>
      <c r="G238" s="883"/>
      <c r="H238" s="883"/>
      <c r="I238" s="883"/>
      <c r="J238" s="884"/>
      <c r="K238" s="884"/>
      <c r="L238" s="884"/>
      <c r="M238" s="885"/>
      <c r="N238" s="883"/>
      <c r="O238" s="883"/>
      <c r="P238" s="883"/>
      <c r="Q238" s="886"/>
      <c r="R238" s="886"/>
      <c r="S238" s="886"/>
      <c r="T238" s="884"/>
      <c r="U238" s="884"/>
      <c r="V238" s="887"/>
      <c r="W238" s="883"/>
      <c r="X238" s="888"/>
      <c r="Y238" s="888"/>
      <c r="Z238" s="921"/>
      <c r="AA238" s="921"/>
      <c r="AC238" s="883"/>
      <c r="AD238" s="883"/>
      <c r="AE238" s="883"/>
      <c r="AF238" s="883"/>
      <c r="AG238" s="883"/>
      <c r="AH238" s="884"/>
      <c r="AI238" s="883"/>
      <c r="AJ238" s="883"/>
      <c r="AK238" s="886"/>
      <c r="AL238" s="886"/>
      <c r="AM238" s="883"/>
      <c r="AN238" s="883"/>
      <c r="AO238" s="883"/>
      <c r="AP238" s="883"/>
      <c r="AQ238" s="883"/>
      <c r="AR238" s="883"/>
      <c r="AS238" s="883"/>
      <c r="AT238" s="883"/>
      <c r="AU238" s="883"/>
      <c r="AV238" s="883"/>
      <c r="AW238" s="883"/>
      <c r="AX238" s="883"/>
    </row>
    <row r="239" spans="1:50" s="917" customFormat="1" x14ac:dyDescent="0.55000000000000004">
      <c r="A239" s="883"/>
      <c r="B239" s="883"/>
      <c r="C239" s="884"/>
      <c r="D239" s="884"/>
      <c r="E239" s="884"/>
      <c r="F239" s="884"/>
      <c r="G239" s="883"/>
      <c r="H239" s="883"/>
      <c r="I239" s="883"/>
      <c r="J239" s="884"/>
      <c r="K239" s="884"/>
      <c r="L239" s="884"/>
      <c r="M239" s="885"/>
      <c r="N239" s="883"/>
      <c r="O239" s="883"/>
      <c r="P239" s="883"/>
      <c r="Q239" s="886"/>
      <c r="R239" s="886"/>
      <c r="S239" s="886"/>
      <c r="T239" s="884"/>
      <c r="U239" s="884"/>
      <c r="V239" s="887"/>
      <c r="W239" s="883"/>
      <c r="X239" s="888"/>
      <c r="Y239" s="888"/>
      <c r="Z239" s="921"/>
      <c r="AA239" s="921"/>
      <c r="AC239" s="883"/>
      <c r="AD239" s="883"/>
      <c r="AE239" s="883"/>
      <c r="AF239" s="883"/>
      <c r="AG239" s="883"/>
      <c r="AH239" s="884"/>
      <c r="AI239" s="883"/>
      <c r="AJ239" s="883"/>
      <c r="AK239" s="886"/>
      <c r="AL239" s="886"/>
      <c r="AM239" s="883"/>
      <c r="AN239" s="883"/>
      <c r="AO239" s="883"/>
      <c r="AP239" s="883"/>
      <c r="AQ239" s="883"/>
      <c r="AR239" s="883"/>
      <c r="AS239" s="883"/>
      <c r="AT239" s="883"/>
      <c r="AU239" s="883"/>
      <c r="AV239" s="883"/>
      <c r="AW239" s="883"/>
      <c r="AX239" s="883"/>
    </row>
    <row r="240" spans="1:50" s="917" customFormat="1" x14ac:dyDescent="0.55000000000000004">
      <c r="A240" s="883"/>
      <c r="B240" s="883"/>
      <c r="C240" s="884"/>
      <c r="D240" s="884"/>
      <c r="E240" s="884"/>
      <c r="F240" s="884"/>
      <c r="G240" s="883"/>
      <c r="H240" s="883"/>
      <c r="I240" s="883"/>
      <c r="J240" s="884"/>
      <c r="K240" s="884"/>
      <c r="L240" s="884"/>
      <c r="M240" s="885"/>
      <c r="N240" s="883"/>
      <c r="O240" s="883"/>
      <c r="P240" s="883"/>
      <c r="Q240" s="886"/>
      <c r="R240" s="886"/>
      <c r="S240" s="886"/>
      <c r="T240" s="884"/>
      <c r="U240" s="884"/>
      <c r="V240" s="887"/>
      <c r="W240" s="883"/>
      <c r="X240" s="888"/>
      <c r="Y240" s="888"/>
      <c r="Z240" s="1227"/>
      <c r="AA240" s="921"/>
      <c r="AC240" s="883"/>
      <c r="AD240" s="883"/>
      <c r="AE240" s="883"/>
      <c r="AF240" s="883"/>
      <c r="AG240" s="883"/>
      <c r="AH240" s="884"/>
      <c r="AI240" s="883"/>
      <c r="AJ240" s="883"/>
      <c r="AK240" s="886"/>
      <c r="AL240" s="886"/>
      <c r="AM240" s="883"/>
      <c r="AN240" s="883"/>
      <c r="AO240" s="883"/>
      <c r="AP240" s="883"/>
      <c r="AQ240" s="883"/>
      <c r="AR240" s="883"/>
      <c r="AS240" s="883"/>
      <c r="AT240" s="883"/>
      <c r="AU240" s="883"/>
      <c r="AV240" s="883"/>
      <c r="AW240" s="883"/>
      <c r="AX240" s="883"/>
    </row>
    <row r="241" spans="1:50" s="917" customFormat="1" x14ac:dyDescent="0.55000000000000004">
      <c r="A241" s="883"/>
      <c r="B241" s="883"/>
      <c r="C241" s="884"/>
      <c r="D241" s="884"/>
      <c r="E241" s="884"/>
      <c r="F241" s="884"/>
      <c r="G241" s="883"/>
      <c r="H241" s="883"/>
      <c r="I241" s="883"/>
      <c r="J241" s="884"/>
      <c r="K241" s="884"/>
      <c r="L241" s="884"/>
      <c r="M241" s="885"/>
      <c r="N241" s="883"/>
      <c r="O241" s="883"/>
      <c r="P241" s="883"/>
      <c r="Q241" s="886"/>
      <c r="R241" s="886"/>
      <c r="S241" s="886"/>
      <c r="T241" s="884"/>
      <c r="U241" s="884"/>
      <c r="V241" s="887"/>
      <c r="W241" s="883"/>
      <c r="X241" s="888"/>
      <c r="Y241" s="888"/>
      <c r="Z241" s="921"/>
      <c r="AA241" s="1228"/>
      <c r="AC241" s="883"/>
      <c r="AD241" s="883"/>
      <c r="AE241" s="883"/>
      <c r="AF241" s="883"/>
      <c r="AG241" s="883"/>
      <c r="AH241" s="884"/>
      <c r="AI241" s="883"/>
      <c r="AJ241" s="883"/>
      <c r="AK241" s="886"/>
      <c r="AL241" s="886"/>
      <c r="AM241" s="883"/>
      <c r="AN241" s="883"/>
      <c r="AO241" s="883"/>
      <c r="AP241" s="883"/>
      <c r="AQ241" s="883"/>
      <c r="AR241" s="883"/>
      <c r="AS241" s="883"/>
      <c r="AT241" s="883"/>
      <c r="AU241" s="883"/>
      <c r="AV241" s="883"/>
      <c r="AW241" s="883"/>
      <c r="AX241" s="883"/>
    </row>
    <row r="242" spans="1:50" s="917" customFormat="1" x14ac:dyDescent="0.55000000000000004">
      <c r="A242" s="883"/>
      <c r="B242" s="883"/>
      <c r="C242" s="884"/>
      <c r="D242" s="884"/>
      <c r="E242" s="884"/>
      <c r="F242" s="884"/>
      <c r="G242" s="883"/>
      <c r="H242" s="883"/>
      <c r="I242" s="883"/>
      <c r="J242" s="884"/>
      <c r="K242" s="884"/>
      <c r="L242" s="884"/>
      <c r="M242" s="885"/>
      <c r="N242" s="883"/>
      <c r="O242" s="883"/>
      <c r="P242" s="883"/>
      <c r="Q242" s="886"/>
      <c r="R242" s="886"/>
      <c r="S242" s="886"/>
      <c r="T242" s="884"/>
      <c r="U242" s="884"/>
      <c r="V242" s="887"/>
      <c r="W242" s="883"/>
      <c r="X242" s="888"/>
      <c r="Y242" s="888"/>
      <c r="Z242" s="921"/>
      <c r="AA242" s="921"/>
      <c r="AC242" s="883"/>
      <c r="AD242" s="883"/>
      <c r="AE242" s="883"/>
      <c r="AF242" s="883"/>
      <c r="AG242" s="883"/>
      <c r="AH242" s="884"/>
      <c r="AI242" s="883"/>
      <c r="AJ242" s="883"/>
      <c r="AK242" s="886"/>
      <c r="AL242" s="886"/>
      <c r="AM242" s="883"/>
      <c r="AN242" s="883"/>
      <c r="AO242" s="883"/>
      <c r="AP242" s="883"/>
      <c r="AQ242" s="883"/>
      <c r="AR242" s="883"/>
      <c r="AS242" s="883"/>
      <c r="AT242" s="883"/>
      <c r="AU242" s="883"/>
      <c r="AV242" s="883"/>
      <c r="AW242" s="883"/>
      <c r="AX242" s="883"/>
    </row>
    <row r="243" spans="1:50" s="917" customFormat="1" x14ac:dyDescent="0.55000000000000004">
      <c r="A243" s="883"/>
      <c r="B243" s="883"/>
      <c r="C243" s="884"/>
      <c r="D243" s="884"/>
      <c r="E243" s="884"/>
      <c r="F243" s="884"/>
      <c r="G243" s="883"/>
      <c r="H243" s="883"/>
      <c r="I243" s="883"/>
      <c r="J243" s="884"/>
      <c r="K243" s="884"/>
      <c r="L243" s="884"/>
      <c r="M243" s="885"/>
      <c r="N243" s="883"/>
      <c r="O243" s="883"/>
      <c r="P243" s="883"/>
      <c r="Q243" s="886"/>
      <c r="R243" s="886"/>
      <c r="S243" s="886"/>
      <c r="T243" s="884"/>
      <c r="U243" s="884"/>
      <c r="V243" s="887"/>
      <c r="W243" s="883"/>
      <c r="X243" s="888"/>
      <c r="Y243" s="888"/>
      <c r="Z243" s="921"/>
      <c r="AA243" s="921"/>
      <c r="AC243" s="883"/>
      <c r="AD243" s="883"/>
      <c r="AE243" s="883"/>
      <c r="AF243" s="883"/>
      <c r="AG243" s="883"/>
      <c r="AH243" s="884"/>
      <c r="AI243" s="883"/>
      <c r="AJ243" s="883"/>
      <c r="AK243" s="886"/>
      <c r="AL243" s="886"/>
      <c r="AM243" s="883"/>
      <c r="AN243" s="883"/>
      <c r="AO243" s="883"/>
      <c r="AP243" s="883"/>
      <c r="AQ243" s="883"/>
      <c r="AR243" s="883"/>
      <c r="AS243" s="883"/>
      <c r="AT243" s="883"/>
      <c r="AU243" s="883"/>
      <c r="AV243" s="883"/>
      <c r="AW243" s="883"/>
      <c r="AX243" s="883"/>
    </row>
    <row r="244" spans="1:50" s="917" customFormat="1" x14ac:dyDescent="0.55000000000000004">
      <c r="A244" s="883"/>
      <c r="B244" s="883"/>
      <c r="C244" s="884"/>
      <c r="D244" s="884"/>
      <c r="E244" s="884"/>
      <c r="F244" s="884"/>
      <c r="G244" s="883"/>
      <c r="H244" s="883"/>
      <c r="I244" s="883"/>
      <c r="J244" s="884"/>
      <c r="K244" s="884"/>
      <c r="L244" s="884"/>
      <c r="M244" s="885"/>
      <c r="N244" s="883"/>
      <c r="O244" s="883"/>
      <c r="P244" s="883"/>
      <c r="Q244" s="886"/>
      <c r="R244" s="886"/>
      <c r="S244" s="886"/>
      <c r="T244" s="884"/>
      <c r="U244" s="884"/>
      <c r="V244" s="887"/>
      <c r="W244" s="883"/>
      <c r="X244" s="888"/>
      <c r="Y244" s="888"/>
      <c r="Z244" s="921"/>
      <c r="AA244" s="921"/>
      <c r="AC244" s="883"/>
      <c r="AD244" s="883"/>
      <c r="AE244" s="883"/>
      <c r="AF244" s="883"/>
      <c r="AG244" s="883"/>
      <c r="AH244" s="884"/>
      <c r="AI244" s="883"/>
      <c r="AJ244" s="883"/>
      <c r="AK244" s="886"/>
      <c r="AL244" s="886"/>
      <c r="AM244" s="883"/>
      <c r="AN244" s="883"/>
      <c r="AO244" s="883"/>
      <c r="AP244" s="883"/>
      <c r="AQ244" s="883"/>
      <c r="AR244" s="883"/>
      <c r="AS244" s="883"/>
      <c r="AT244" s="883"/>
      <c r="AU244" s="883"/>
      <c r="AV244" s="883"/>
      <c r="AW244" s="883"/>
      <c r="AX244" s="883"/>
    </row>
    <row r="245" spans="1:50" s="917" customFormat="1" x14ac:dyDescent="0.55000000000000004">
      <c r="A245" s="883"/>
      <c r="B245" s="883"/>
      <c r="C245" s="884"/>
      <c r="D245" s="884"/>
      <c r="E245" s="884"/>
      <c r="F245" s="884"/>
      <c r="G245" s="883"/>
      <c r="H245" s="883"/>
      <c r="I245" s="883"/>
      <c r="J245" s="884"/>
      <c r="K245" s="884"/>
      <c r="L245" s="884"/>
      <c r="M245" s="885"/>
      <c r="N245" s="883"/>
      <c r="O245" s="883"/>
      <c r="P245" s="883"/>
      <c r="Q245" s="886"/>
      <c r="R245" s="886"/>
      <c r="S245" s="886"/>
      <c r="T245" s="884"/>
      <c r="U245" s="884"/>
      <c r="V245" s="887"/>
      <c r="W245" s="883"/>
      <c r="X245" s="888"/>
      <c r="Y245" s="888"/>
      <c r="Z245" s="921"/>
      <c r="AA245" s="921"/>
      <c r="AC245" s="883"/>
      <c r="AD245" s="883"/>
      <c r="AE245" s="883"/>
      <c r="AF245" s="883"/>
      <c r="AG245" s="883"/>
      <c r="AH245" s="884"/>
      <c r="AI245" s="883"/>
      <c r="AJ245" s="883"/>
      <c r="AK245" s="886"/>
      <c r="AL245" s="886"/>
      <c r="AM245" s="883"/>
      <c r="AN245" s="883"/>
      <c r="AO245" s="883"/>
      <c r="AP245" s="883"/>
      <c r="AQ245" s="883"/>
      <c r="AR245" s="883"/>
      <c r="AS245" s="883"/>
      <c r="AT245" s="883"/>
      <c r="AU245" s="883"/>
      <c r="AV245" s="883"/>
      <c r="AW245" s="883"/>
      <c r="AX245" s="883"/>
    </row>
    <row r="246" spans="1:50" s="917" customFormat="1" x14ac:dyDescent="0.55000000000000004">
      <c r="A246" s="883"/>
      <c r="B246" s="883"/>
      <c r="C246" s="884"/>
      <c r="D246" s="884"/>
      <c r="E246" s="884"/>
      <c r="F246" s="884"/>
      <c r="G246" s="883"/>
      <c r="H246" s="883"/>
      <c r="I246" s="883"/>
      <c r="J246" s="884"/>
      <c r="K246" s="884"/>
      <c r="L246" s="884"/>
      <c r="M246" s="885"/>
      <c r="N246" s="883"/>
      <c r="O246" s="883"/>
      <c r="P246" s="883"/>
      <c r="Q246" s="886"/>
      <c r="R246" s="886"/>
      <c r="S246" s="886"/>
      <c r="T246" s="884"/>
      <c r="U246" s="884"/>
      <c r="V246" s="887"/>
      <c r="W246" s="883"/>
      <c r="X246" s="888"/>
      <c r="Y246" s="888"/>
      <c r="Z246" s="1227"/>
      <c r="AA246" s="921"/>
      <c r="AC246" s="883"/>
      <c r="AD246" s="883"/>
      <c r="AE246" s="883"/>
      <c r="AF246" s="883"/>
      <c r="AG246" s="883"/>
      <c r="AH246" s="884"/>
      <c r="AI246" s="883"/>
      <c r="AJ246" s="883"/>
      <c r="AK246" s="886"/>
      <c r="AL246" s="886"/>
      <c r="AM246" s="883"/>
      <c r="AN246" s="883"/>
      <c r="AO246" s="883"/>
      <c r="AP246" s="883"/>
      <c r="AQ246" s="883"/>
      <c r="AR246" s="883"/>
      <c r="AS246" s="883"/>
      <c r="AT246" s="883"/>
      <c r="AU246" s="883"/>
      <c r="AV246" s="883"/>
      <c r="AW246" s="883"/>
      <c r="AX246" s="883"/>
    </row>
    <row r="247" spans="1:50" s="917" customFormat="1" x14ac:dyDescent="0.55000000000000004">
      <c r="A247" s="883"/>
      <c r="B247" s="883"/>
      <c r="C247" s="884"/>
      <c r="D247" s="884"/>
      <c r="E247" s="884"/>
      <c r="F247" s="884"/>
      <c r="G247" s="883"/>
      <c r="H247" s="883"/>
      <c r="I247" s="883"/>
      <c r="J247" s="884"/>
      <c r="K247" s="884"/>
      <c r="L247" s="884"/>
      <c r="M247" s="885"/>
      <c r="N247" s="883"/>
      <c r="O247" s="883"/>
      <c r="P247" s="883"/>
      <c r="Q247" s="886"/>
      <c r="R247" s="886"/>
      <c r="S247" s="886"/>
      <c r="T247" s="884"/>
      <c r="U247" s="884"/>
      <c r="V247" s="887"/>
      <c r="W247" s="883"/>
      <c r="X247" s="888"/>
      <c r="Y247" s="888"/>
      <c r="Z247" s="1227"/>
      <c r="AA247" s="921"/>
      <c r="AC247" s="883"/>
      <c r="AD247" s="883"/>
      <c r="AE247" s="883"/>
      <c r="AF247" s="883"/>
      <c r="AG247" s="883"/>
      <c r="AH247" s="884"/>
      <c r="AI247" s="883"/>
      <c r="AJ247" s="883"/>
      <c r="AK247" s="886"/>
      <c r="AL247" s="886"/>
      <c r="AM247" s="883"/>
      <c r="AN247" s="883"/>
      <c r="AO247" s="883"/>
      <c r="AP247" s="883"/>
      <c r="AQ247" s="883"/>
      <c r="AR247" s="883"/>
      <c r="AS247" s="883"/>
      <c r="AT247" s="883"/>
      <c r="AU247" s="883"/>
      <c r="AV247" s="883"/>
      <c r="AW247" s="883"/>
      <c r="AX247" s="883"/>
    </row>
    <row r="248" spans="1:50" s="917" customFormat="1" x14ac:dyDescent="0.55000000000000004">
      <c r="A248" s="883"/>
      <c r="B248" s="883"/>
      <c r="C248" s="884"/>
      <c r="D248" s="884"/>
      <c r="E248" s="884"/>
      <c r="F248" s="884"/>
      <c r="G248" s="883"/>
      <c r="H248" s="883"/>
      <c r="I248" s="883"/>
      <c r="J248" s="884"/>
      <c r="K248" s="884"/>
      <c r="L248" s="884"/>
      <c r="M248" s="885"/>
      <c r="N248" s="883"/>
      <c r="O248" s="883"/>
      <c r="P248" s="883"/>
      <c r="Q248" s="886"/>
      <c r="R248" s="886"/>
      <c r="S248" s="886"/>
      <c r="T248" s="884"/>
      <c r="U248" s="884"/>
      <c r="V248" s="887"/>
      <c r="W248" s="883"/>
      <c r="X248" s="888"/>
      <c r="Y248" s="888"/>
      <c r="Z248" s="1227"/>
      <c r="AA248" s="921"/>
      <c r="AC248" s="883"/>
      <c r="AD248" s="883"/>
      <c r="AE248" s="883"/>
      <c r="AF248" s="883"/>
      <c r="AG248" s="883"/>
      <c r="AH248" s="884"/>
      <c r="AI248" s="883"/>
      <c r="AJ248" s="883"/>
      <c r="AK248" s="886"/>
      <c r="AL248" s="886"/>
      <c r="AM248" s="883"/>
      <c r="AN248" s="883"/>
      <c r="AO248" s="883"/>
      <c r="AP248" s="883"/>
      <c r="AQ248" s="883"/>
      <c r="AR248" s="883"/>
      <c r="AS248" s="883"/>
      <c r="AT248" s="883"/>
      <c r="AU248" s="883"/>
      <c r="AV248" s="883"/>
      <c r="AW248" s="883"/>
      <c r="AX248" s="883"/>
    </row>
    <row r="249" spans="1:50" s="917" customFormat="1" x14ac:dyDescent="0.55000000000000004">
      <c r="A249" s="883"/>
      <c r="B249" s="883"/>
      <c r="C249" s="884"/>
      <c r="D249" s="884"/>
      <c r="E249" s="884"/>
      <c r="F249" s="884"/>
      <c r="G249" s="883"/>
      <c r="H249" s="883"/>
      <c r="I249" s="883"/>
      <c r="J249" s="884"/>
      <c r="K249" s="884"/>
      <c r="L249" s="884"/>
      <c r="M249" s="885"/>
      <c r="N249" s="883"/>
      <c r="O249" s="883"/>
      <c r="P249" s="883"/>
      <c r="Q249" s="886"/>
      <c r="R249" s="886"/>
      <c r="S249" s="886"/>
      <c r="T249" s="884"/>
      <c r="U249" s="884"/>
      <c r="V249" s="887"/>
      <c r="W249" s="883"/>
      <c r="X249" s="888"/>
      <c r="Y249" s="888"/>
      <c r="Z249" s="1227"/>
      <c r="AA249" s="921"/>
      <c r="AC249" s="883"/>
      <c r="AD249" s="883"/>
      <c r="AE249" s="883"/>
      <c r="AF249" s="883"/>
      <c r="AG249" s="883"/>
      <c r="AH249" s="884"/>
      <c r="AI249" s="883"/>
      <c r="AJ249" s="883"/>
      <c r="AK249" s="886"/>
      <c r="AL249" s="886"/>
      <c r="AM249" s="883"/>
      <c r="AN249" s="883"/>
      <c r="AO249" s="883"/>
      <c r="AP249" s="883"/>
      <c r="AQ249" s="883"/>
      <c r="AR249" s="883"/>
      <c r="AS249" s="883"/>
      <c r="AT249" s="883"/>
      <c r="AU249" s="883"/>
      <c r="AV249" s="883"/>
      <c r="AW249" s="883"/>
      <c r="AX249" s="883"/>
    </row>
    <row r="250" spans="1:50" s="917" customFormat="1" x14ac:dyDescent="0.55000000000000004">
      <c r="A250" s="883"/>
      <c r="B250" s="883"/>
      <c r="C250" s="884"/>
      <c r="D250" s="884"/>
      <c r="E250" s="884"/>
      <c r="F250" s="884"/>
      <c r="G250" s="883"/>
      <c r="H250" s="883"/>
      <c r="I250" s="883"/>
      <c r="J250" s="884"/>
      <c r="K250" s="884"/>
      <c r="L250" s="884"/>
      <c r="M250" s="885"/>
      <c r="N250" s="883"/>
      <c r="O250" s="883"/>
      <c r="P250" s="883"/>
      <c r="Q250" s="886"/>
      <c r="R250" s="886"/>
      <c r="S250" s="886"/>
      <c r="T250" s="884"/>
      <c r="U250" s="884"/>
      <c r="V250" s="887"/>
      <c r="W250" s="883"/>
      <c r="X250" s="888"/>
      <c r="Y250" s="888"/>
      <c r="Z250" s="1227"/>
      <c r="AA250" s="921"/>
      <c r="AC250" s="883"/>
      <c r="AD250" s="883"/>
      <c r="AE250" s="883"/>
      <c r="AF250" s="883"/>
      <c r="AG250" s="883"/>
      <c r="AH250" s="884"/>
      <c r="AI250" s="883"/>
      <c r="AJ250" s="883"/>
      <c r="AK250" s="886"/>
      <c r="AL250" s="886"/>
      <c r="AM250" s="883"/>
      <c r="AN250" s="883"/>
      <c r="AO250" s="883"/>
      <c r="AP250" s="883"/>
      <c r="AQ250" s="883"/>
      <c r="AR250" s="883"/>
      <c r="AS250" s="883"/>
      <c r="AT250" s="883"/>
      <c r="AU250" s="883"/>
      <c r="AV250" s="883"/>
      <c r="AW250" s="883"/>
      <c r="AX250" s="883"/>
    </row>
    <row r="251" spans="1:50" s="917" customFormat="1" x14ac:dyDescent="0.55000000000000004">
      <c r="A251" s="883"/>
      <c r="B251" s="883"/>
      <c r="C251" s="884"/>
      <c r="D251" s="884"/>
      <c r="E251" s="884"/>
      <c r="F251" s="884"/>
      <c r="G251" s="883"/>
      <c r="H251" s="883"/>
      <c r="I251" s="883"/>
      <c r="J251" s="884"/>
      <c r="K251" s="884"/>
      <c r="L251" s="884"/>
      <c r="M251" s="885"/>
      <c r="N251" s="883"/>
      <c r="O251" s="883"/>
      <c r="P251" s="883"/>
      <c r="Q251" s="886"/>
      <c r="R251" s="886"/>
      <c r="S251" s="886"/>
      <c r="T251" s="884"/>
      <c r="U251" s="884"/>
      <c r="V251" s="887"/>
      <c r="W251" s="883"/>
      <c r="X251" s="888"/>
      <c r="Y251" s="888"/>
      <c r="Z251" s="921"/>
      <c r="AA251" s="921"/>
      <c r="AC251" s="883"/>
      <c r="AD251" s="883"/>
      <c r="AE251" s="883"/>
      <c r="AF251" s="883"/>
      <c r="AG251" s="883"/>
      <c r="AH251" s="884"/>
      <c r="AI251" s="883"/>
      <c r="AJ251" s="883"/>
      <c r="AK251" s="886"/>
      <c r="AL251" s="886"/>
      <c r="AM251" s="883"/>
      <c r="AN251" s="883"/>
      <c r="AO251" s="883"/>
      <c r="AP251" s="883"/>
      <c r="AQ251" s="883"/>
      <c r="AR251" s="883"/>
      <c r="AS251" s="883"/>
      <c r="AT251" s="883"/>
      <c r="AU251" s="883"/>
      <c r="AV251" s="883"/>
      <c r="AW251" s="883"/>
      <c r="AX251" s="883"/>
    </row>
    <row r="252" spans="1:50" s="917" customFormat="1" x14ac:dyDescent="0.55000000000000004">
      <c r="A252" s="883"/>
      <c r="B252" s="883"/>
      <c r="C252" s="884"/>
      <c r="D252" s="884"/>
      <c r="E252" s="884"/>
      <c r="F252" s="884"/>
      <c r="G252" s="883"/>
      <c r="H252" s="883"/>
      <c r="I252" s="883"/>
      <c r="J252" s="884"/>
      <c r="K252" s="884"/>
      <c r="L252" s="884"/>
      <c r="M252" s="885"/>
      <c r="N252" s="883"/>
      <c r="O252" s="883"/>
      <c r="P252" s="883"/>
      <c r="Q252" s="886"/>
      <c r="R252" s="886"/>
      <c r="S252" s="886"/>
      <c r="T252" s="884"/>
      <c r="U252" s="884"/>
      <c r="V252" s="887"/>
      <c r="W252" s="883"/>
      <c r="X252" s="888"/>
      <c r="Y252" s="888"/>
      <c r="Z252" s="921"/>
      <c r="AA252" s="921"/>
      <c r="AC252" s="883"/>
      <c r="AD252" s="883"/>
      <c r="AE252" s="883"/>
      <c r="AF252" s="883"/>
      <c r="AG252" s="883"/>
      <c r="AH252" s="884"/>
      <c r="AI252" s="883"/>
      <c r="AJ252" s="883"/>
      <c r="AK252" s="886"/>
      <c r="AL252" s="886"/>
      <c r="AM252" s="883"/>
      <c r="AN252" s="883"/>
      <c r="AO252" s="883"/>
      <c r="AP252" s="883"/>
      <c r="AQ252" s="883"/>
      <c r="AR252" s="883"/>
      <c r="AS252" s="883"/>
      <c r="AT252" s="883"/>
      <c r="AU252" s="883"/>
      <c r="AV252" s="883"/>
      <c r="AW252" s="883"/>
      <c r="AX252" s="883"/>
    </row>
    <row r="253" spans="1:50" s="917" customFormat="1" x14ac:dyDescent="0.55000000000000004">
      <c r="A253" s="883"/>
      <c r="B253" s="883"/>
      <c r="C253" s="884"/>
      <c r="D253" s="884"/>
      <c r="E253" s="884"/>
      <c r="F253" s="884"/>
      <c r="G253" s="883"/>
      <c r="H253" s="883"/>
      <c r="I253" s="883"/>
      <c r="J253" s="884"/>
      <c r="K253" s="884"/>
      <c r="L253" s="884"/>
      <c r="M253" s="885"/>
      <c r="N253" s="883"/>
      <c r="O253" s="883"/>
      <c r="P253" s="883"/>
      <c r="Q253" s="886"/>
      <c r="R253" s="886"/>
      <c r="S253" s="886"/>
      <c r="T253" s="884"/>
      <c r="U253" s="884"/>
      <c r="V253" s="887"/>
      <c r="W253" s="883"/>
      <c r="X253" s="888"/>
      <c r="Y253" s="888"/>
      <c r="Z253" s="921"/>
      <c r="AA253" s="921"/>
      <c r="AC253" s="883"/>
      <c r="AD253" s="883"/>
      <c r="AE253" s="883"/>
      <c r="AF253" s="883"/>
      <c r="AG253" s="883"/>
      <c r="AH253" s="884"/>
      <c r="AI253" s="883"/>
      <c r="AJ253" s="883"/>
      <c r="AK253" s="886"/>
      <c r="AL253" s="886"/>
      <c r="AM253" s="883"/>
      <c r="AN253" s="883"/>
      <c r="AO253" s="883"/>
      <c r="AP253" s="883"/>
      <c r="AQ253" s="883"/>
      <c r="AR253" s="883"/>
      <c r="AS253" s="883"/>
      <c r="AT253" s="883"/>
      <c r="AU253" s="883"/>
      <c r="AV253" s="883"/>
      <c r="AW253" s="883"/>
      <c r="AX253" s="883"/>
    </row>
    <row r="254" spans="1:50" s="917" customFormat="1" x14ac:dyDescent="0.55000000000000004">
      <c r="A254" s="883"/>
      <c r="B254" s="883"/>
      <c r="C254" s="884"/>
      <c r="D254" s="884"/>
      <c r="E254" s="884"/>
      <c r="F254" s="884"/>
      <c r="G254" s="883"/>
      <c r="H254" s="883"/>
      <c r="I254" s="883"/>
      <c r="J254" s="884"/>
      <c r="K254" s="884"/>
      <c r="L254" s="884"/>
      <c r="M254" s="885"/>
      <c r="N254" s="883"/>
      <c r="O254" s="883"/>
      <c r="P254" s="883"/>
      <c r="Q254" s="886"/>
      <c r="R254" s="886"/>
      <c r="S254" s="886"/>
      <c r="T254" s="884"/>
      <c r="U254" s="884"/>
      <c r="V254" s="887"/>
      <c r="W254" s="883"/>
      <c r="X254" s="888"/>
      <c r="Y254" s="888"/>
      <c r="Z254" s="921"/>
      <c r="AA254" s="921"/>
      <c r="AC254" s="883"/>
      <c r="AD254" s="883"/>
      <c r="AE254" s="883"/>
      <c r="AF254" s="883"/>
      <c r="AG254" s="883"/>
      <c r="AH254" s="884"/>
      <c r="AI254" s="883"/>
      <c r="AJ254" s="883"/>
      <c r="AK254" s="886"/>
      <c r="AL254" s="886"/>
      <c r="AM254" s="883"/>
      <c r="AN254" s="883"/>
      <c r="AO254" s="883"/>
      <c r="AP254" s="883"/>
      <c r="AQ254" s="883"/>
      <c r="AR254" s="883"/>
      <c r="AS254" s="883"/>
      <c r="AT254" s="883"/>
      <c r="AU254" s="883"/>
      <c r="AV254" s="883"/>
      <c r="AW254" s="883"/>
      <c r="AX254" s="883"/>
    </row>
    <row r="255" spans="1:50" s="917" customFormat="1" x14ac:dyDescent="0.55000000000000004">
      <c r="A255" s="883"/>
      <c r="B255" s="883"/>
      <c r="C255" s="884"/>
      <c r="D255" s="884"/>
      <c r="E255" s="884"/>
      <c r="F255" s="884"/>
      <c r="G255" s="883"/>
      <c r="H255" s="883"/>
      <c r="I255" s="883"/>
      <c r="J255" s="884"/>
      <c r="K255" s="884"/>
      <c r="L255" s="884"/>
      <c r="M255" s="885"/>
      <c r="N255" s="883"/>
      <c r="O255" s="883"/>
      <c r="P255" s="883"/>
      <c r="Q255" s="886"/>
      <c r="R255" s="886"/>
      <c r="S255" s="886"/>
      <c r="T255" s="884"/>
      <c r="U255" s="884"/>
      <c r="V255" s="887"/>
      <c r="W255" s="883"/>
      <c r="X255" s="888"/>
      <c r="Y255" s="888"/>
      <c r="Z255" s="921"/>
      <c r="AA255" s="921"/>
      <c r="AC255" s="883"/>
      <c r="AD255" s="883"/>
      <c r="AE255" s="883"/>
      <c r="AF255" s="883"/>
      <c r="AG255" s="883"/>
      <c r="AH255" s="884"/>
      <c r="AI255" s="883"/>
      <c r="AJ255" s="883"/>
      <c r="AK255" s="886"/>
      <c r="AL255" s="886"/>
      <c r="AM255" s="883"/>
      <c r="AN255" s="883"/>
      <c r="AO255" s="883"/>
      <c r="AP255" s="883"/>
      <c r="AQ255" s="883"/>
      <c r="AR255" s="883"/>
      <c r="AS255" s="883"/>
      <c r="AT255" s="883"/>
      <c r="AU255" s="883"/>
      <c r="AV255" s="883"/>
      <c r="AW255" s="883"/>
      <c r="AX255" s="883"/>
    </row>
    <row r="256" spans="1:50" s="917" customFormat="1" x14ac:dyDescent="0.55000000000000004">
      <c r="A256" s="883"/>
      <c r="B256" s="883"/>
      <c r="C256" s="884"/>
      <c r="D256" s="884"/>
      <c r="E256" s="884"/>
      <c r="F256" s="884"/>
      <c r="G256" s="883"/>
      <c r="H256" s="883"/>
      <c r="I256" s="883"/>
      <c r="J256" s="884"/>
      <c r="K256" s="884"/>
      <c r="L256" s="884"/>
      <c r="M256" s="885"/>
      <c r="N256" s="883"/>
      <c r="O256" s="883"/>
      <c r="P256" s="883"/>
      <c r="Q256" s="886"/>
      <c r="R256" s="886"/>
      <c r="S256" s="886"/>
      <c r="T256" s="884"/>
      <c r="U256" s="884"/>
      <c r="V256" s="887"/>
      <c r="W256" s="883"/>
      <c r="X256" s="888"/>
      <c r="Y256" s="888"/>
      <c r="Z256" s="921"/>
      <c r="AA256" s="921"/>
      <c r="AC256" s="883"/>
      <c r="AD256" s="883"/>
      <c r="AE256" s="883"/>
      <c r="AF256" s="883"/>
      <c r="AG256" s="883"/>
      <c r="AH256" s="884"/>
      <c r="AI256" s="883"/>
      <c r="AJ256" s="883"/>
      <c r="AK256" s="886"/>
      <c r="AL256" s="886"/>
      <c r="AM256" s="883"/>
      <c r="AN256" s="883"/>
      <c r="AO256" s="883"/>
      <c r="AP256" s="883"/>
      <c r="AQ256" s="883"/>
      <c r="AR256" s="883"/>
      <c r="AS256" s="883"/>
      <c r="AT256" s="883"/>
      <c r="AU256" s="883"/>
      <c r="AV256" s="883"/>
      <c r="AW256" s="883"/>
      <c r="AX256" s="883"/>
    </row>
    <row r="257" spans="1:50" s="917" customFormat="1" x14ac:dyDescent="0.55000000000000004">
      <c r="A257" s="883"/>
      <c r="B257" s="883"/>
      <c r="C257" s="884"/>
      <c r="D257" s="884"/>
      <c r="E257" s="884"/>
      <c r="F257" s="884"/>
      <c r="G257" s="883"/>
      <c r="H257" s="883"/>
      <c r="I257" s="883"/>
      <c r="J257" s="884"/>
      <c r="K257" s="884"/>
      <c r="L257" s="884"/>
      <c r="M257" s="885"/>
      <c r="N257" s="883"/>
      <c r="O257" s="883"/>
      <c r="P257" s="883"/>
      <c r="Q257" s="886"/>
      <c r="R257" s="886"/>
      <c r="S257" s="886"/>
      <c r="T257" s="884"/>
      <c r="U257" s="884"/>
      <c r="V257" s="887"/>
      <c r="W257" s="883"/>
      <c r="X257" s="888"/>
      <c r="Y257" s="888"/>
      <c r="Z257" s="921"/>
      <c r="AA257" s="921"/>
      <c r="AC257" s="883"/>
      <c r="AD257" s="883"/>
      <c r="AE257" s="883"/>
      <c r="AF257" s="883"/>
      <c r="AG257" s="883"/>
      <c r="AH257" s="884"/>
      <c r="AI257" s="883"/>
      <c r="AJ257" s="883"/>
      <c r="AK257" s="886"/>
      <c r="AL257" s="886"/>
      <c r="AM257" s="883"/>
      <c r="AN257" s="883"/>
      <c r="AO257" s="883"/>
      <c r="AP257" s="883"/>
      <c r="AQ257" s="883"/>
      <c r="AR257" s="883"/>
      <c r="AS257" s="883"/>
      <c r="AT257" s="883"/>
      <c r="AU257" s="883"/>
      <c r="AV257" s="883"/>
      <c r="AW257" s="883"/>
      <c r="AX257" s="883"/>
    </row>
    <row r="258" spans="1:50" s="917" customFormat="1" x14ac:dyDescent="0.55000000000000004">
      <c r="A258" s="883"/>
      <c r="B258" s="883"/>
      <c r="C258" s="884"/>
      <c r="D258" s="884"/>
      <c r="E258" s="884"/>
      <c r="F258" s="884"/>
      <c r="G258" s="883"/>
      <c r="H258" s="883"/>
      <c r="I258" s="883"/>
      <c r="J258" s="884"/>
      <c r="K258" s="884"/>
      <c r="L258" s="884"/>
      <c r="M258" s="885"/>
      <c r="N258" s="883"/>
      <c r="O258" s="883"/>
      <c r="P258" s="883"/>
      <c r="Q258" s="886"/>
      <c r="R258" s="886"/>
      <c r="S258" s="886"/>
      <c r="T258" s="884"/>
      <c r="U258" s="884"/>
      <c r="V258" s="887"/>
      <c r="W258" s="883"/>
      <c r="X258" s="888"/>
      <c r="Y258" s="888"/>
      <c r="Z258" s="921"/>
      <c r="AA258" s="921"/>
      <c r="AC258" s="883"/>
      <c r="AD258" s="883"/>
      <c r="AE258" s="883"/>
      <c r="AF258" s="883"/>
      <c r="AG258" s="883"/>
      <c r="AH258" s="884"/>
      <c r="AI258" s="883"/>
      <c r="AJ258" s="883"/>
      <c r="AK258" s="886"/>
      <c r="AL258" s="886"/>
      <c r="AM258" s="883"/>
      <c r="AN258" s="883"/>
      <c r="AO258" s="883"/>
      <c r="AP258" s="883"/>
      <c r="AQ258" s="883"/>
      <c r="AR258" s="883"/>
      <c r="AS258" s="883"/>
      <c r="AT258" s="883"/>
      <c r="AU258" s="883"/>
      <c r="AV258" s="883"/>
      <c r="AW258" s="883"/>
      <c r="AX258" s="883"/>
    </row>
    <row r="259" spans="1:50" s="917" customFormat="1" x14ac:dyDescent="0.55000000000000004">
      <c r="A259" s="883"/>
      <c r="B259" s="883"/>
      <c r="C259" s="884"/>
      <c r="D259" s="884"/>
      <c r="E259" s="884"/>
      <c r="F259" s="884"/>
      <c r="G259" s="883"/>
      <c r="H259" s="883"/>
      <c r="I259" s="883"/>
      <c r="J259" s="884"/>
      <c r="K259" s="884"/>
      <c r="L259" s="884"/>
      <c r="M259" s="885"/>
      <c r="N259" s="883"/>
      <c r="O259" s="883"/>
      <c r="P259" s="883"/>
      <c r="Q259" s="886"/>
      <c r="R259" s="886"/>
      <c r="S259" s="886"/>
      <c r="T259" s="884"/>
      <c r="U259" s="884"/>
      <c r="V259" s="887"/>
      <c r="W259" s="883"/>
      <c r="X259" s="888"/>
      <c r="Y259" s="888"/>
      <c r="Z259" s="921"/>
      <c r="AA259" s="921"/>
      <c r="AC259" s="883"/>
      <c r="AD259" s="883"/>
      <c r="AE259" s="883"/>
      <c r="AF259" s="883"/>
      <c r="AG259" s="883"/>
      <c r="AH259" s="884"/>
      <c r="AI259" s="883"/>
      <c r="AJ259" s="883"/>
      <c r="AK259" s="886"/>
      <c r="AL259" s="886"/>
      <c r="AM259" s="883"/>
      <c r="AN259" s="883"/>
      <c r="AO259" s="883"/>
      <c r="AP259" s="883"/>
      <c r="AQ259" s="883"/>
      <c r="AR259" s="883"/>
      <c r="AS259" s="883"/>
      <c r="AT259" s="883"/>
      <c r="AU259" s="883"/>
      <c r="AV259" s="883"/>
      <c r="AW259" s="883"/>
      <c r="AX259" s="883"/>
    </row>
    <row r="260" spans="1:50" s="917" customFormat="1" x14ac:dyDescent="0.55000000000000004">
      <c r="A260" s="883"/>
      <c r="B260" s="883"/>
      <c r="C260" s="884"/>
      <c r="D260" s="884"/>
      <c r="E260" s="884"/>
      <c r="F260" s="884"/>
      <c r="G260" s="883"/>
      <c r="H260" s="883"/>
      <c r="I260" s="883"/>
      <c r="J260" s="884"/>
      <c r="K260" s="884"/>
      <c r="L260" s="884"/>
      <c r="M260" s="885"/>
      <c r="N260" s="883"/>
      <c r="O260" s="883"/>
      <c r="P260" s="883"/>
      <c r="Q260" s="886"/>
      <c r="R260" s="886"/>
      <c r="S260" s="886"/>
      <c r="T260" s="884"/>
      <c r="U260" s="884"/>
      <c r="V260" s="887"/>
      <c r="W260" s="883"/>
      <c r="X260" s="888"/>
      <c r="Y260" s="888"/>
      <c r="Z260" s="921"/>
      <c r="AA260" s="921"/>
      <c r="AC260" s="883"/>
      <c r="AD260" s="883"/>
      <c r="AE260" s="883"/>
      <c r="AF260" s="883"/>
      <c r="AG260" s="883"/>
      <c r="AH260" s="884"/>
      <c r="AI260" s="883"/>
      <c r="AJ260" s="883"/>
      <c r="AK260" s="886"/>
      <c r="AL260" s="886"/>
      <c r="AM260" s="883"/>
      <c r="AN260" s="883"/>
      <c r="AO260" s="883"/>
      <c r="AP260" s="883"/>
      <c r="AQ260" s="883"/>
      <c r="AR260" s="883"/>
      <c r="AS260" s="883"/>
      <c r="AT260" s="883"/>
      <c r="AU260" s="883"/>
      <c r="AV260" s="883"/>
      <c r="AW260" s="883"/>
      <c r="AX260" s="883"/>
    </row>
    <row r="261" spans="1:50" s="917" customFormat="1" x14ac:dyDescent="0.55000000000000004">
      <c r="A261" s="883"/>
      <c r="B261" s="883"/>
      <c r="C261" s="884"/>
      <c r="D261" s="884"/>
      <c r="E261" s="884"/>
      <c r="F261" s="884"/>
      <c r="G261" s="883"/>
      <c r="H261" s="883"/>
      <c r="I261" s="883"/>
      <c r="J261" s="884"/>
      <c r="K261" s="884"/>
      <c r="L261" s="884"/>
      <c r="M261" s="885"/>
      <c r="N261" s="883"/>
      <c r="O261" s="883"/>
      <c r="P261" s="883"/>
      <c r="Q261" s="886"/>
      <c r="R261" s="886"/>
      <c r="S261" s="886"/>
      <c r="T261" s="884"/>
      <c r="U261" s="884"/>
      <c r="V261" s="887"/>
      <c r="W261" s="883"/>
      <c r="X261" s="888"/>
      <c r="Y261" s="888"/>
      <c r="Z261" s="921"/>
      <c r="AA261" s="921"/>
      <c r="AC261" s="883"/>
      <c r="AD261" s="883"/>
      <c r="AE261" s="883"/>
      <c r="AF261" s="883"/>
      <c r="AG261" s="883"/>
      <c r="AH261" s="884"/>
      <c r="AI261" s="883"/>
      <c r="AJ261" s="883"/>
      <c r="AK261" s="886"/>
      <c r="AL261" s="886"/>
      <c r="AM261" s="883"/>
      <c r="AN261" s="883"/>
      <c r="AO261" s="883"/>
      <c r="AP261" s="883"/>
      <c r="AQ261" s="883"/>
      <c r="AR261" s="883"/>
      <c r="AS261" s="883"/>
      <c r="AT261" s="883"/>
      <c r="AU261" s="883"/>
      <c r="AV261" s="883"/>
      <c r="AW261" s="883"/>
      <c r="AX261" s="883"/>
    </row>
    <row r="262" spans="1:50" s="917" customFormat="1" x14ac:dyDescent="0.55000000000000004">
      <c r="A262" s="883"/>
      <c r="B262" s="883"/>
      <c r="C262" s="884"/>
      <c r="D262" s="884"/>
      <c r="E262" s="884"/>
      <c r="F262" s="884"/>
      <c r="G262" s="883"/>
      <c r="H262" s="883"/>
      <c r="I262" s="883"/>
      <c r="J262" s="884"/>
      <c r="K262" s="884"/>
      <c r="L262" s="884"/>
      <c r="M262" s="885"/>
      <c r="N262" s="883"/>
      <c r="O262" s="883"/>
      <c r="P262" s="883"/>
      <c r="Q262" s="886"/>
      <c r="R262" s="886"/>
      <c r="S262" s="886"/>
      <c r="T262" s="884"/>
      <c r="U262" s="884"/>
      <c r="V262" s="887"/>
      <c r="W262" s="883"/>
      <c r="X262" s="888"/>
      <c r="Y262" s="888"/>
      <c r="Z262" s="921"/>
      <c r="AA262" s="921"/>
      <c r="AC262" s="883"/>
      <c r="AD262" s="883"/>
      <c r="AE262" s="883"/>
      <c r="AF262" s="883"/>
      <c r="AG262" s="883"/>
      <c r="AH262" s="884"/>
      <c r="AI262" s="883"/>
      <c r="AJ262" s="883"/>
      <c r="AK262" s="886"/>
      <c r="AL262" s="886"/>
      <c r="AM262" s="883"/>
      <c r="AN262" s="883"/>
      <c r="AO262" s="883"/>
      <c r="AP262" s="883"/>
      <c r="AQ262" s="883"/>
      <c r="AR262" s="883"/>
      <c r="AS262" s="883"/>
      <c r="AT262" s="883"/>
      <c r="AU262" s="883"/>
      <c r="AV262" s="883"/>
      <c r="AW262" s="883"/>
      <c r="AX262" s="883"/>
    </row>
    <row r="263" spans="1:50" s="917" customFormat="1" x14ac:dyDescent="0.55000000000000004">
      <c r="A263" s="883"/>
      <c r="B263" s="883"/>
      <c r="C263" s="884"/>
      <c r="D263" s="884"/>
      <c r="E263" s="884"/>
      <c r="F263" s="884"/>
      <c r="G263" s="883"/>
      <c r="H263" s="883"/>
      <c r="I263" s="883"/>
      <c r="J263" s="884"/>
      <c r="K263" s="884"/>
      <c r="L263" s="884"/>
      <c r="M263" s="885"/>
      <c r="N263" s="883"/>
      <c r="O263" s="883"/>
      <c r="P263" s="883"/>
      <c r="Q263" s="886"/>
      <c r="R263" s="886"/>
      <c r="S263" s="886"/>
      <c r="T263" s="884"/>
      <c r="U263" s="884"/>
      <c r="V263" s="887"/>
      <c r="W263" s="883"/>
      <c r="X263" s="888"/>
      <c r="Y263" s="888"/>
      <c r="Z263" s="921"/>
      <c r="AA263" s="921"/>
      <c r="AC263" s="883"/>
      <c r="AD263" s="883"/>
      <c r="AE263" s="883"/>
      <c r="AF263" s="883"/>
      <c r="AG263" s="883"/>
      <c r="AH263" s="884"/>
      <c r="AI263" s="883"/>
      <c r="AJ263" s="883"/>
      <c r="AK263" s="886"/>
      <c r="AL263" s="886"/>
      <c r="AM263" s="883"/>
      <c r="AN263" s="883"/>
      <c r="AO263" s="883"/>
      <c r="AP263" s="883"/>
      <c r="AQ263" s="883"/>
      <c r="AR263" s="883"/>
      <c r="AS263" s="883"/>
      <c r="AT263" s="883"/>
      <c r="AU263" s="883"/>
      <c r="AV263" s="883"/>
      <c r="AW263" s="883"/>
      <c r="AX263" s="883"/>
    </row>
    <row r="264" spans="1:50" s="917" customFormat="1" x14ac:dyDescent="0.55000000000000004">
      <c r="A264" s="883"/>
      <c r="B264" s="883"/>
      <c r="C264" s="884"/>
      <c r="D264" s="884"/>
      <c r="E264" s="884"/>
      <c r="F264" s="884"/>
      <c r="G264" s="883"/>
      <c r="H264" s="883"/>
      <c r="I264" s="883"/>
      <c r="J264" s="884"/>
      <c r="K264" s="884"/>
      <c r="L264" s="884"/>
      <c r="M264" s="885"/>
      <c r="N264" s="883"/>
      <c r="O264" s="883"/>
      <c r="P264" s="883"/>
      <c r="Q264" s="886"/>
      <c r="R264" s="886"/>
      <c r="S264" s="886"/>
      <c r="T264" s="884"/>
      <c r="U264" s="884"/>
      <c r="V264" s="887"/>
      <c r="W264" s="883"/>
      <c r="X264" s="888"/>
      <c r="Y264" s="888"/>
      <c r="Z264" s="921"/>
      <c r="AA264" s="921"/>
      <c r="AC264" s="883"/>
      <c r="AD264" s="883"/>
      <c r="AE264" s="883"/>
      <c r="AF264" s="883"/>
      <c r="AG264" s="883"/>
      <c r="AH264" s="884"/>
      <c r="AI264" s="883"/>
      <c r="AJ264" s="883"/>
      <c r="AK264" s="886"/>
      <c r="AL264" s="886"/>
      <c r="AM264" s="883"/>
      <c r="AN264" s="883"/>
      <c r="AO264" s="883"/>
      <c r="AP264" s="883"/>
      <c r="AQ264" s="883"/>
      <c r="AR264" s="883"/>
      <c r="AS264" s="883"/>
      <c r="AT264" s="883"/>
      <c r="AU264" s="883"/>
      <c r="AV264" s="883"/>
      <c r="AW264" s="883"/>
      <c r="AX264" s="883"/>
    </row>
    <row r="265" spans="1:50" s="917" customFormat="1" x14ac:dyDescent="0.55000000000000004">
      <c r="A265" s="883"/>
      <c r="B265" s="883"/>
      <c r="C265" s="884"/>
      <c r="D265" s="884"/>
      <c r="E265" s="884"/>
      <c r="F265" s="884"/>
      <c r="G265" s="883"/>
      <c r="H265" s="883"/>
      <c r="I265" s="883"/>
      <c r="J265" s="884"/>
      <c r="K265" s="884"/>
      <c r="L265" s="884"/>
      <c r="M265" s="885"/>
      <c r="N265" s="883"/>
      <c r="O265" s="883"/>
      <c r="P265" s="883"/>
      <c r="Q265" s="886"/>
      <c r="R265" s="886"/>
      <c r="S265" s="886"/>
      <c r="T265" s="884"/>
      <c r="U265" s="884"/>
      <c r="V265" s="887"/>
      <c r="W265" s="883"/>
      <c r="X265" s="888"/>
      <c r="Y265" s="888"/>
      <c r="Z265" s="921"/>
      <c r="AA265" s="921"/>
      <c r="AC265" s="883"/>
      <c r="AD265" s="883"/>
      <c r="AE265" s="883"/>
      <c r="AF265" s="883"/>
      <c r="AG265" s="883"/>
      <c r="AH265" s="884"/>
      <c r="AI265" s="883"/>
      <c r="AJ265" s="883"/>
      <c r="AK265" s="886"/>
      <c r="AL265" s="886"/>
      <c r="AM265" s="883"/>
      <c r="AN265" s="883"/>
      <c r="AO265" s="883"/>
      <c r="AP265" s="883"/>
      <c r="AQ265" s="883"/>
      <c r="AR265" s="883"/>
      <c r="AS265" s="883"/>
      <c r="AT265" s="883"/>
      <c r="AU265" s="883"/>
      <c r="AV265" s="883"/>
      <c r="AW265" s="883"/>
      <c r="AX265" s="883"/>
    </row>
    <row r="266" spans="1:50" s="917" customFormat="1" x14ac:dyDescent="0.55000000000000004">
      <c r="A266" s="883"/>
      <c r="B266" s="883"/>
      <c r="C266" s="884"/>
      <c r="D266" s="884"/>
      <c r="E266" s="884"/>
      <c r="F266" s="884"/>
      <c r="G266" s="883"/>
      <c r="H266" s="883"/>
      <c r="I266" s="883"/>
      <c r="J266" s="884"/>
      <c r="K266" s="884"/>
      <c r="L266" s="884"/>
      <c r="M266" s="885"/>
      <c r="N266" s="883"/>
      <c r="O266" s="883"/>
      <c r="P266" s="883"/>
      <c r="Q266" s="886"/>
      <c r="R266" s="886"/>
      <c r="S266" s="886"/>
      <c r="T266" s="884"/>
      <c r="U266" s="884"/>
      <c r="V266" s="887"/>
      <c r="W266" s="883"/>
      <c r="X266" s="888"/>
      <c r="Y266" s="888"/>
      <c r="Z266" s="921"/>
      <c r="AA266" s="921"/>
      <c r="AC266" s="883"/>
      <c r="AD266" s="883"/>
      <c r="AE266" s="883"/>
      <c r="AF266" s="883"/>
      <c r="AG266" s="883"/>
      <c r="AH266" s="884"/>
      <c r="AI266" s="883"/>
      <c r="AJ266" s="883"/>
      <c r="AK266" s="886"/>
      <c r="AL266" s="886"/>
      <c r="AM266" s="883"/>
      <c r="AN266" s="883"/>
      <c r="AO266" s="883"/>
      <c r="AP266" s="883"/>
      <c r="AQ266" s="883"/>
      <c r="AR266" s="883"/>
      <c r="AS266" s="883"/>
      <c r="AT266" s="883"/>
      <c r="AU266" s="883"/>
      <c r="AV266" s="883"/>
      <c r="AW266" s="883"/>
      <c r="AX266" s="883"/>
    </row>
    <row r="267" spans="1:50" s="917" customFormat="1" x14ac:dyDescent="0.55000000000000004">
      <c r="A267" s="883"/>
      <c r="B267" s="883"/>
      <c r="C267" s="884"/>
      <c r="D267" s="884"/>
      <c r="E267" s="884"/>
      <c r="F267" s="884"/>
      <c r="G267" s="883"/>
      <c r="H267" s="883"/>
      <c r="I267" s="883"/>
      <c r="J267" s="884"/>
      <c r="K267" s="884"/>
      <c r="L267" s="884"/>
      <c r="M267" s="885"/>
      <c r="N267" s="883"/>
      <c r="O267" s="883"/>
      <c r="P267" s="883"/>
      <c r="Q267" s="886"/>
      <c r="R267" s="886"/>
      <c r="S267" s="886"/>
      <c r="T267" s="884"/>
      <c r="U267" s="884"/>
      <c r="V267" s="887"/>
      <c r="W267" s="883"/>
      <c r="X267" s="888"/>
      <c r="Y267" s="888"/>
      <c r="Z267" s="921"/>
      <c r="AA267" s="921"/>
      <c r="AC267" s="883"/>
      <c r="AD267" s="883"/>
      <c r="AE267" s="883"/>
      <c r="AF267" s="883"/>
      <c r="AG267" s="883"/>
      <c r="AH267" s="884"/>
      <c r="AI267" s="883"/>
      <c r="AJ267" s="883"/>
      <c r="AK267" s="886"/>
      <c r="AL267" s="886"/>
      <c r="AM267" s="883"/>
      <c r="AN267" s="883"/>
      <c r="AO267" s="883"/>
      <c r="AP267" s="883"/>
      <c r="AQ267" s="883"/>
      <c r="AR267" s="883"/>
      <c r="AS267" s="883"/>
      <c r="AT267" s="883"/>
      <c r="AU267" s="883"/>
      <c r="AV267" s="883"/>
      <c r="AW267" s="883"/>
      <c r="AX267" s="883"/>
    </row>
    <row r="268" spans="1:50" s="917" customFormat="1" x14ac:dyDescent="0.55000000000000004">
      <c r="A268" s="883"/>
      <c r="B268" s="883"/>
      <c r="C268" s="884"/>
      <c r="D268" s="884"/>
      <c r="E268" s="884"/>
      <c r="F268" s="884"/>
      <c r="G268" s="883"/>
      <c r="H268" s="883"/>
      <c r="I268" s="883"/>
      <c r="J268" s="884"/>
      <c r="K268" s="884"/>
      <c r="L268" s="884"/>
      <c r="M268" s="885"/>
      <c r="N268" s="883"/>
      <c r="O268" s="883"/>
      <c r="P268" s="883"/>
      <c r="Q268" s="886"/>
      <c r="R268" s="886"/>
      <c r="S268" s="886"/>
      <c r="T268" s="884"/>
      <c r="U268" s="884"/>
      <c r="V268" s="887"/>
      <c r="W268" s="883"/>
      <c r="X268" s="888"/>
      <c r="Y268" s="888"/>
      <c r="Z268" s="921"/>
      <c r="AA268" s="921"/>
      <c r="AC268" s="883"/>
      <c r="AD268" s="883"/>
      <c r="AE268" s="883"/>
      <c r="AF268" s="883"/>
      <c r="AG268" s="883"/>
      <c r="AH268" s="884"/>
      <c r="AI268" s="883"/>
      <c r="AJ268" s="883"/>
      <c r="AK268" s="886"/>
      <c r="AL268" s="886"/>
      <c r="AM268" s="883"/>
      <c r="AN268" s="883"/>
      <c r="AO268" s="883"/>
      <c r="AP268" s="883"/>
      <c r="AQ268" s="883"/>
      <c r="AR268" s="883"/>
      <c r="AS268" s="883"/>
      <c r="AT268" s="883"/>
      <c r="AU268" s="883"/>
      <c r="AV268" s="883"/>
      <c r="AW268" s="883"/>
      <c r="AX268" s="883"/>
    </row>
    <row r="269" spans="1:50" s="917" customFormat="1" x14ac:dyDescent="0.55000000000000004">
      <c r="A269" s="883"/>
      <c r="B269" s="883"/>
      <c r="C269" s="884"/>
      <c r="D269" s="884"/>
      <c r="E269" s="884"/>
      <c r="F269" s="884"/>
      <c r="G269" s="883"/>
      <c r="H269" s="883"/>
      <c r="I269" s="883"/>
      <c r="J269" s="884"/>
      <c r="K269" s="884"/>
      <c r="L269" s="884"/>
      <c r="M269" s="885"/>
      <c r="N269" s="883"/>
      <c r="O269" s="883"/>
      <c r="P269" s="883"/>
      <c r="Q269" s="886"/>
      <c r="R269" s="886"/>
      <c r="S269" s="886"/>
      <c r="T269" s="884"/>
      <c r="U269" s="884"/>
      <c r="V269" s="887"/>
      <c r="W269" s="883"/>
      <c r="X269" s="888"/>
      <c r="Y269" s="888"/>
      <c r="Z269" s="921"/>
      <c r="AA269" s="921"/>
      <c r="AC269" s="883"/>
      <c r="AD269" s="883"/>
      <c r="AE269" s="883"/>
      <c r="AF269" s="883"/>
      <c r="AG269" s="883"/>
      <c r="AH269" s="884"/>
      <c r="AI269" s="883"/>
      <c r="AJ269" s="883"/>
      <c r="AK269" s="886"/>
      <c r="AL269" s="886"/>
      <c r="AM269" s="883"/>
      <c r="AN269" s="883"/>
      <c r="AO269" s="883"/>
      <c r="AP269" s="883"/>
      <c r="AQ269" s="883"/>
      <c r="AR269" s="883"/>
      <c r="AS269" s="883"/>
      <c r="AT269" s="883"/>
      <c r="AU269" s="883"/>
      <c r="AV269" s="883"/>
      <c r="AW269" s="883"/>
      <c r="AX269" s="883"/>
    </row>
    <row r="270" spans="1:50" s="917" customFormat="1" x14ac:dyDescent="0.55000000000000004">
      <c r="A270" s="883"/>
      <c r="B270" s="883"/>
      <c r="C270" s="884"/>
      <c r="D270" s="884"/>
      <c r="E270" s="884"/>
      <c r="F270" s="884"/>
      <c r="G270" s="883"/>
      <c r="H270" s="883"/>
      <c r="I270" s="883"/>
      <c r="J270" s="884"/>
      <c r="K270" s="884"/>
      <c r="L270" s="884"/>
      <c r="M270" s="885"/>
      <c r="N270" s="883"/>
      <c r="O270" s="883"/>
      <c r="P270" s="883"/>
      <c r="Q270" s="886"/>
      <c r="R270" s="886"/>
      <c r="S270" s="886"/>
      <c r="T270" s="884"/>
      <c r="U270" s="884"/>
      <c r="V270" s="887"/>
      <c r="W270" s="883"/>
      <c r="X270" s="888"/>
      <c r="Y270" s="888"/>
      <c r="Z270" s="921"/>
      <c r="AA270" s="921"/>
      <c r="AC270" s="883"/>
      <c r="AD270" s="883"/>
      <c r="AE270" s="883"/>
      <c r="AF270" s="883"/>
      <c r="AG270" s="883"/>
      <c r="AH270" s="884"/>
      <c r="AI270" s="883"/>
      <c r="AJ270" s="883"/>
      <c r="AK270" s="886"/>
      <c r="AL270" s="886"/>
      <c r="AM270" s="883"/>
      <c r="AN270" s="883"/>
      <c r="AO270" s="883"/>
      <c r="AP270" s="883"/>
      <c r="AQ270" s="883"/>
      <c r="AR270" s="883"/>
      <c r="AS270" s="883"/>
      <c r="AT270" s="883"/>
      <c r="AU270" s="883"/>
      <c r="AV270" s="883"/>
      <c r="AW270" s="883"/>
      <c r="AX270" s="883"/>
    </row>
    <row r="271" spans="1:50" s="917" customFormat="1" x14ac:dyDescent="0.55000000000000004">
      <c r="A271" s="883"/>
      <c r="B271" s="883"/>
      <c r="C271" s="884"/>
      <c r="D271" s="884"/>
      <c r="E271" s="884"/>
      <c r="F271" s="884"/>
      <c r="G271" s="883"/>
      <c r="H271" s="883"/>
      <c r="I271" s="883"/>
      <c r="J271" s="884"/>
      <c r="K271" s="884"/>
      <c r="L271" s="884"/>
      <c r="M271" s="885"/>
      <c r="N271" s="883"/>
      <c r="O271" s="883"/>
      <c r="P271" s="883"/>
      <c r="Q271" s="886"/>
      <c r="R271" s="886"/>
      <c r="S271" s="886"/>
      <c r="T271" s="884"/>
      <c r="U271" s="884"/>
      <c r="V271" s="887"/>
      <c r="W271" s="883"/>
      <c r="X271" s="888"/>
      <c r="Y271" s="888"/>
      <c r="Z271" s="921"/>
      <c r="AA271" s="921"/>
      <c r="AC271" s="883"/>
      <c r="AD271" s="883"/>
      <c r="AE271" s="883"/>
      <c r="AF271" s="883"/>
      <c r="AG271" s="883"/>
      <c r="AH271" s="884"/>
      <c r="AI271" s="883"/>
      <c r="AJ271" s="883"/>
      <c r="AK271" s="886"/>
      <c r="AL271" s="886"/>
      <c r="AM271" s="883"/>
      <c r="AN271" s="883"/>
      <c r="AO271" s="883"/>
      <c r="AP271" s="883"/>
      <c r="AQ271" s="883"/>
      <c r="AR271" s="883"/>
      <c r="AS271" s="883"/>
      <c r="AT271" s="883"/>
      <c r="AU271" s="883"/>
      <c r="AV271" s="883"/>
      <c r="AW271" s="883"/>
      <c r="AX271" s="883"/>
    </row>
    <row r="272" spans="1:50" s="917" customFormat="1" x14ac:dyDescent="0.55000000000000004">
      <c r="A272" s="883"/>
      <c r="B272" s="883"/>
      <c r="C272" s="884"/>
      <c r="D272" s="884"/>
      <c r="E272" s="884"/>
      <c r="F272" s="884"/>
      <c r="G272" s="883"/>
      <c r="H272" s="883"/>
      <c r="I272" s="883"/>
      <c r="J272" s="884"/>
      <c r="K272" s="884"/>
      <c r="L272" s="884"/>
      <c r="M272" s="885"/>
      <c r="N272" s="883"/>
      <c r="O272" s="883"/>
      <c r="P272" s="883"/>
      <c r="Q272" s="886"/>
      <c r="R272" s="886"/>
      <c r="S272" s="886"/>
      <c r="T272" s="884"/>
      <c r="U272" s="884"/>
      <c r="V272" s="887"/>
      <c r="W272" s="883"/>
      <c r="X272" s="888"/>
      <c r="Y272" s="888"/>
      <c r="Z272" s="921"/>
      <c r="AA272" s="921"/>
      <c r="AC272" s="883"/>
      <c r="AD272" s="883"/>
      <c r="AE272" s="883"/>
      <c r="AF272" s="883"/>
      <c r="AG272" s="883"/>
      <c r="AH272" s="884"/>
      <c r="AI272" s="883"/>
      <c r="AJ272" s="883"/>
      <c r="AK272" s="886"/>
      <c r="AL272" s="886"/>
      <c r="AM272" s="883"/>
      <c r="AN272" s="883"/>
      <c r="AO272" s="883"/>
      <c r="AP272" s="883"/>
      <c r="AQ272" s="883"/>
      <c r="AR272" s="883"/>
      <c r="AS272" s="883"/>
      <c r="AT272" s="883"/>
      <c r="AU272" s="883"/>
      <c r="AV272" s="883"/>
      <c r="AW272" s="883"/>
      <c r="AX272" s="883"/>
    </row>
    <row r="273" spans="1:50" s="917" customFormat="1" x14ac:dyDescent="0.55000000000000004">
      <c r="A273" s="883"/>
      <c r="B273" s="883"/>
      <c r="C273" s="884"/>
      <c r="D273" s="884"/>
      <c r="E273" s="884"/>
      <c r="F273" s="884"/>
      <c r="G273" s="883"/>
      <c r="H273" s="883"/>
      <c r="I273" s="883"/>
      <c r="J273" s="884"/>
      <c r="K273" s="884"/>
      <c r="L273" s="884"/>
      <c r="M273" s="885"/>
      <c r="N273" s="883"/>
      <c r="O273" s="883"/>
      <c r="P273" s="883"/>
      <c r="Q273" s="886"/>
      <c r="R273" s="886"/>
      <c r="S273" s="886"/>
      <c r="T273" s="884"/>
      <c r="U273" s="884"/>
      <c r="V273" s="887"/>
      <c r="W273" s="883"/>
      <c r="X273" s="888"/>
      <c r="Y273" s="888"/>
      <c r="Z273" s="921"/>
      <c r="AA273" s="921"/>
      <c r="AC273" s="883"/>
      <c r="AD273" s="883"/>
      <c r="AE273" s="883"/>
      <c r="AF273" s="883"/>
      <c r="AG273" s="883"/>
      <c r="AH273" s="884"/>
      <c r="AI273" s="883"/>
      <c r="AJ273" s="883"/>
      <c r="AK273" s="886"/>
      <c r="AL273" s="886"/>
      <c r="AM273" s="883"/>
      <c r="AN273" s="883"/>
      <c r="AO273" s="883"/>
      <c r="AP273" s="883"/>
      <c r="AQ273" s="883"/>
      <c r="AR273" s="883"/>
      <c r="AS273" s="883"/>
      <c r="AT273" s="883"/>
      <c r="AU273" s="883"/>
      <c r="AV273" s="883"/>
      <c r="AW273" s="883"/>
      <c r="AX273" s="883"/>
    </row>
    <row r="274" spans="1:50" s="917" customFormat="1" x14ac:dyDescent="0.55000000000000004">
      <c r="A274" s="883"/>
      <c r="B274" s="883"/>
      <c r="C274" s="884"/>
      <c r="D274" s="884"/>
      <c r="E274" s="884"/>
      <c r="F274" s="884"/>
      <c r="G274" s="883"/>
      <c r="H274" s="883"/>
      <c r="I274" s="883"/>
      <c r="J274" s="884"/>
      <c r="K274" s="884"/>
      <c r="L274" s="884"/>
      <c r="M274" s="885"/>
      <c r="N274" s="883"/>
      <c r="O274" s="883"/>
      <c r="P274" s="883"/>
      <c r="Q274" s="886"/>
      <c r="R274" s="886"/>
      <c r="S274" s="886"/>
      <c r="T274" s="884"/>
      <c r="U274" s="884"/>
      <c r="V274" s="887"/>
      <c r="W274" s="883"/>
      <c r="X274" s="888"/>
      <c r="Y274" s="888"/>
      <c r="Z274" s="921"/>
      <c r="AA274" s="921"/>
      <c r="AC274" s="883"/>
      <c r="AD274" s="883"/>
      <c r="AE274" s="883"/>
      <c r="AF274" s="883"/>
      <c r="AG274" s="883"/>
      <c r="AH274" s="884"/>
      <c r="AI274" s="883"/>
      <c r="AJ274" s="883"/>
      <c r="AK274" s="886"/>
      <c r="AL274" s="886"/>
      <c r="AM274" s="883"/>
      <c r="AN274" s="883"/>
      <c r="AO274" s="883"/>
      <c r="AP274" s="883"/>
      <c r="AQ274" s="883"/>
      <c r="AR274" s="883"/>
      <c r="AS274" s="883"/>
      <c r="AT274" s="883"/>
      <c r="AU274" s="883"/>
      <c r="AV274" s="883"/>
      <c r="AW274" s="883"/>
      <c r="AX274" s="883"/>
    </row>
    <row r="275" spans="1:50" s="917" customFormat="1" x14ac:dyDescent="0.55000000000000004">
      <c r="A275" s="883"/>
      <c r="B275" s="883"/>
      <c r="C275" s="884"/>
      <c r="D275" s="884"/>
      <c r="E275" s="884"/>
      <c r="F275" s="884"/>
      <c r="G275" s="883"/>
      <c r="H275" s="883"/>
      <c r="I275" s="883"/>
      <c r="J275" s="884"/>
      <c r="K275" s="884"/>
      <c r="L275" s="884"/>
      <c r="M275" s="885"/>
      <c r="N275" s="883"/>
      <c r="O275" s="883"/>
      <c r="P275" s="883"/>
      <c r="Q275" s="886"/>
      <c r="R275" s="886"/>
      <c r="S275" s="886"/>
      <c r="T275" s="884"/>
      <c r="U275" s="884"/>
      <c r="V275" s="887"/>
      <c r="W275" s="883"/>
      <c r="X275" s="888"/>
      <c r="Y275" s="888"/>
      <c r="Z275" s="921"/>
      <c r="AA275" s="921"/>
      <c r="AC275" s="883"/>
      <c r="AD275" s="883"/>
      <c r="AE275" s="883"/>
      <c r="AF275" s="883"/>
      <c r="AG275" s="883"/>
      <c r="AH275" s="884"/>
      <c r="AI275" s="883"/>
      <c r="AJ275" s="883"/>
      <c r="AK275" s="886"/>
      <c r="AL275" s="886"/>
      <c r="AM275" s="883"/>
      <c r="AN275" s="883"/>
      <c r="AO275" s="883"/>
      <c r="AP275" s="883"/>
      <c r="AQ275" s="883"/>
      <c r="AR275" s="883"/>
      <c r="AS275" s="883"/>
      <c r="AT275" s="883"/>
      <c r="AU275" s="883"/>
      <c r="AV275" s="883"/>
      <c r="AW275" s="883"/>
      <c r="AX275" s="883"/>
    </row>
    <row r="276" spans="1:50" s="917" customFormat="1" x14ac:dyDescent="0.55000000000000004">
      <c r="A276" s="883"/>
      <c r="B276" s="883"/>
      <c r="C276" s="884"/>
      <c r="D276" s="884"/>
      <c r="E276" s="884"/>
      <c r="F276" s="884"/>
      <c r="G276" s="883"/>
      <c r="H276" s="883"/>
      <c r="I276" s="883"/>
      <c r="J276" s="884"/>
      <c r="K276" s="884"/>
      <c r="L276" s="884"/>
      <c r="M276" s="885"/>
      <c r="N276" s="883"/>
      <c r="O276" s="883"/>
      <c r="P276" s="883"/>
      <c r="Q276" s="886"/>
      <c r="R276" s="886"/>
      <c r="S276" s="886"/>
      <c r="T276" s="884"/>
      <c r="U276" s="884"/>
      <c r="V276" s="887"/>
      <c r="W276" s="883"/>
      <c r="X276" s="888"/>
      <c r="Y276" s="888"/>
      <c r="Z276" s="921"/>
      <c r="AA276" s="921"/>
      <c r="AC276" s="883"/>
      <c r="AD276" s="883"/>
      <c r="AE276" s="883"/>
      <c r="AF276" s="883"/>
      <c r="AG276" s="883"/>
      <c r="AH276" s="884"/>
      <c r="AI276" s="883"/>
      <c r="AJ276" s="883"/>
      <c r="AK276" s="886"/>
      <c r="AL276" s="886"/>
      <c r="AM276" s="883"/>
      <c r="AN276" s="883"/>
      <c r="AO276" s="883"/>
      <c r="AP276" s="883"/>
      <c r="AQ276" s="883"/>
      <c r="AR276" s="883"/>
      <c r="AS276" s="883"/>
      <c r="AT276" s="883"/>
      <c r="AU276" s="883"/>
      <c r="AV276" s="883"/>
      <c r="AW276" s="883"/>
      <c r="AX276" s="883"/>
    </row>
    <row r="277" spans="1:50" s="917" customFormat="1" x14ac:dyDescent="0.55000000000000004">
      <c r="A277" s="883"/>
      <c r="B277" s="883"/>
      <c r="C277" s="884"/>
      <c r="D277" s="884"/>
      <c r="E277" s="884"/>
      <c r="F277" s="884"/>
      <c r="G277" s="883"/>
      <c r="H277" s="883"/>
      <c r="I277" s="883"/>
      <c r="J277" s="884"/>
      <c r="K277" s="884"/>
      <c r="L277" s="884"/>
      <c r="M277" s="885"/>
      <c r="N277" s="883"/>
      <c r="O277" s="883"/>
      <c r="P277" s="883"/>
      <c r="Q277" s="886"/>
      <c r="R277" s="886"/>
      <c r="S277" s="886"/>
      <c r="T277" s="884"/>
      <c r="U277" s="884"/>
      <c r="V277" s="887"/>
      <c r="W277" s="883"/>
      <c r="X277" s="888"/>
      <c r="Y277" s="888"/>
      <c r="Z277" s="921"/>
      <c r="AA277" s="921"/>
      <c r="AC277" s="883"/>
      <c r="AD277" s="883"/>
      <c r="AE277" s="883"/>
      <c r="AF277" s="883"/>
      <c r="AG277" s="883"/>
      <c r="AH277" s="884"/>
      <c r="AI277" s="883"/>
      <c r="AJ277" s="883"/>
      <c r="AK277" s="886"/>
      <c r="AL277" s="886"/>
      <c r="AM277" s="883"/>
      <c r="AN277" s="883"/>
      <c r="AO277" s="883"/>
      <c r="AP277" s="883"/>
      <c r="AQ277" s="883"/>
      <c r="AR277" s="883"/>
      <c r="AS277" s="883"/>
      <c r="AT277" s="883"/>
      <c r="AU277" s="883"/>
      <c r="AV277" s="883"/>
      <c r="AW277" s="883"/>
      <c r="AX277" s="883"/>
    </row>
    <row r="278" spans="1:50" s="917" customFormat="1" x14ac:dyDescent="0.55000000000000004">
      <c r="A278" s="883"/>
      <c r="B278" s="883"/>
      <c r="C278" s="884"/>
      <c r="D278" s="884"/>
      <c r="E278" s="884"/>
      <c r="F278" s="884"/>
      <c r="G278" s="883"/>
      <c r="H278" s="883"/>
      <c r="I278" s="883"/>
      <c r="J278" s="884"/>
      <c r="K278" s="884"/>
      <c r="L278" s="884"/>
      <c r="M278" s="885"/>
      <c r="N278" s="883"/>
      <c r="O278" s="883"/>
      <c r="P278" s="883"/>
      <c r="Q278" s="886"/>
      <c r="R278" s="886"/>
      <c r="S278" s="886"/>
      <c r="T278" s="884"/>
      <c r="U278" s="884"/>
      <c r="V278" s="887"/>
      <c r="W278" s="883"/>
      <c r="X278" s="888"/>
      <c r="Y278" s="888"/>
      <c r="Z278" s="921"/>
      <c r="AA278" s="921"/>
      <c r="AC278" s="883"/>
      <c r="AD278" s="883"/>
      <c r="AE278" s="883"/>
      <c r="AF278" s="883"/>
      <c r="AG278" s="883"/>
      <c r="AH278" s="884"/>
      <c r="AI278" s="883"/>
      <c r="AJ278" s="883"/>
      <c r="AK278" s="886"/>
      <c r="AL278" s="886"/>
      <c r="AM278" s="883"/>
      <c r="AN278" s="883"/>
      <c r="AO278" s="883"/>
      <c r="AP278" s="883"/>
      <c r="AQ278" s="883"/>
      <c r="AR278" s="883"/>
      <c r="AS278" s="883"/>
      <c r="AT278" s="883"/>
      <c r="AU278" s="883"/>
      <c r="AV278" s="883"/>
      <c r="AW278" s="883"/>
      <c r="AX278" s="883"/>
    </row>
    <row r="279" spans="1:50" s="917" customFormat="1" x14ac:dyDescent="0.55000000000000004">
      <c r="A279" s="883"/>
      <c r="B279" s="883"/>
      <c r="C279" s="884"/>
      <c r="D279" s="884"/>
      <c r="E279" s="884"/>
      <c r="F279" s="884"/>
      <c r="G279" s="883"/>
      <c r="H279" s="883"/>
      <c r="I279" s="883"/>
      <c r="J279" s="884"/>
      <c r="K279" s="884"/>
      <c r="L279" s="884"/>
      <c r="M279" s="885"/>
      <c r="N279" s="883"/>
      <c r="O279" s="883"/>
      <c r="P279" s="883"/>
      <c r="Q279" s="886"/>
      <c r="R279" s="886"/>
      <c r="S279" s="886"/>
      <c r="T279" s="884"/>
      <c r="U279" s="884"/>
      <c r="V279" s="887"/>
      <c r="W279" s="883"/>
      <c r="X279" s="888"/>
      <c r="Y279" s="888"/>
      <c r="Z279" s="921"/>
      <c r="AA279" s="921"/>
      <c r="AC279" s="883"/>
      <c r="AD279" s="883"/>
      <c r="AE279" s="883"/>
      <c r="AF279" s="883"/>
      <c r="AG279" s="883"/>
      <c r="AH279" s="884"/>
      <c r="AI279" s="883"/>
      <c r="AJ279" s="883"/>
      <c r="AK279" s="886"/>
      <c r="AL279" s="886"/>
      <c r="AM279" s="883"/>
      <c r="AN279" s="883"/>
      <c r="AO279" s="883"/>
      <c r="AP279" s="883"/>
      <c r="AQ279" s="883"/>
      <c r="AR279" s="883"/>
      <c r="AS279" s="883"/>
      <c r="AT279" s="883"/>
      <c r="AU279" s="883"/>
      <c r="AV279" s="883"/>
      <c r="AW279" s="883"/>
      <c r="AX279" s="883"/>
    </row>
    <row r="280" spans="1:50" s="917" customFormat="1" x14ac:dyDescent="0.55000000000000004">
      <c r="A280" s="883"/>
      <c r="B280" s="883"/>
      <c r="C280" s="884"/>
      <c r="D280" s="884"/>
      <c r="E280" s="884"/>
      <c r="F280" s="884"/>
      <c r="G280" s="883"/>
      <c r="H280" s="883"/>
      <c r="I280" s="883"/>
      <c r="J280" s="884"/>
      <c r="K280" s="884"/>
      <c r="L280" s="884"/>
      <c r="M280" s="885"/>
      <c r="N280" s="883"/>
      <c r="O280" s="883"/>
      <c r="P280" s="883"/>
      <c r="Q280" s="886"/>
      <c r="R280" s="886"/>
      <c r="S280" s="886"/>
      <c r="T280" s="884"/>
      <c r="U280" s="884"/>
      <c r="V280" s="887"/>
      <c r="W280" s="883"/>
      <c r="X280" s="888"/>
      <c r="Y280" s="888"/>
      <c r="Z280" s="921"/>
      <c r="AA280" s="921"/>
      <c r="AC280" s="883"/>
      <c r="AD280" s="883"/>
      <c r="AE280" s="883"/>
      <c r="AF280" s="883"/>
      <c r="AG280" s="883"/>
      <c r="AH280" s="884"/>
      <c r="AI280" s="883"/>
      <c r="AJ280" s="883"/>
      <c r="AK280" s="886"/>
      <c r="AL280" s="886"/>
      <c r="AM280" s="883"/>
      <c r="AN280" s="883"/>
      <c r="AO280" s="883"/>
      <c r="AP280" s="883"/>
      <c r="AQ280" s="883"/>
      <c r="AR280" s="883"/>
      <c r="AS280" s="883"/>
      <c r="AT280" s="883"/>
      <c r="AU280" s="883"/>
      <c r="AV280" s="883"/>
      <c r="AW280" s="883"/>
      <c r="AX280" s="883"/>
    </row>
    <row r="281" spans="1:50" s="917" customFormat="1" x14ac:dyDescent="0.55000000000000004">
      <c r="A281" s="883"/>
      <c r="B281" s="883"/>
      <c r="C281" s="884"/>
      <c r="D281" s="884"/>
      <c r="E281" s="884"/>
      <c r="F281" s="884"/>
      <c r="G281" s="883"/>
      <c r="H281" s="883"/>
      <c r="I281" s="883"/>
      <c r="J281" s="884"/>
      <c r="K281" s="884"/>
      <c r="L281" s="884"/>
      <c r="M281" s="885"/>
      <c r="N281" s="883"/>
      <c r="O281" s="883"/>
      <c r="P281" s="883"/>
      <c r="Q281" s="886"/>
      <c r="R281" s="886"/>
      <c r="S281" s="886"/>
      <c r="T281" s="884"/>
      <c r="U281" s="884"/>
      <c r="V281" s="887"/>
      <c r="W281" s="883"/>
      <c r="X281" s="888"/>
      <c r="Y281" s="888"/>
      <c r="Z281" s="921"/>
      <c r="AA281" s="921"/>
      <c r="AC281" s="883"/>
      <c r="AD281" s="883"/>
      <c r="AE281" s="883"/>
      <c r="AF281" s="883"/>
      <c r="AG281" s="883"/>
      <c r="AH281" s="884"/>
      <c r="AI281" s="883"/>
      <c r="AJ281" s="883"/>
      <c r="AK281" s="886"/>
      <c r="AL281" s="886"/>
      <c r="AM281" s="883"/>
      <c r="AN281" s="883"/>
      <c r="AO281" s="883"/>
      <c r="AP281" s="883"/>
      <c r="AQ281" s="883"/>
      <c r="AR281" s="883"/>
      <c r="AS281" s="883"/>
      <c r="AT281" s="883"/>
      <c r="AU281" s="883"/>
      <c r="AV281" s="883"/>
      <c r="AW281" s="883"/>
      <c r="AX281" s="883"/>
    </row>
    <row r="282" spans="1:50" s="917" customFormat="1" x14ac:dyDescent="0.55000000000000004">
      <c r="A282" s="883"/>
      <c r="B282" s="883"/>
      <c r="C282" s="884"/>
      <c r="D282" s="884"/>
      <c r="E282" s="884"/>
      <c r="F282" s="884"/>
      <c r="G282" s="883"/>
      <c r="H282" s="883"/>
      <c r="I282" s="883"/>
      <c r="J282" s="884"/>
      <c r="K282" s="884"/>
      <c r="L282" s="884"/>
      <c r="M282" s="885"/>
      <c r="N282" s="883"/>
      <c r="O282" s="883"/>
      <c r="P282" s="883"/>
      <c r="Q282" s="886"/>
      <c r="R282" s="886"/>
      <c r="S282" s="886"/>
      <c r="T282" s="884"/>
      <c r="U282" s="884"/>
      <c r="V282" s="887"/>
      <c r="W282" s="883"/>
      <c r="X282" s="888"/>
      <c r="Y282" s="888"/>
      <c r="Z282" s="921"/>
      <c r="AA282" s="921"/>
      <c r="AC282" s="883"/>
      <c r="AD282" s="883"/>
      <c r="AE282" s="883"/>
      <c r="AF282" s="883"/>
      <c r="AG282" s="883"/>
      <c r="AH282" s="884"/>
      <c r="AI282" s="883"/>
      <c r="AJ282" s="883"/>
      <c r="AK282" s="886"/>
      <c r="AL282" s="886"/>
      <c r="AM282" s="883"/>
      <c r="AN282" s="883"/>
      <c r="AO282" s="883"/>
      <c r="AP282" s="883"/>
      <c r="AQ282" s="883"/>
      <c r="AR282" s="883"/>
      <c r="AS282" s="883"/>
      <c r="AT282" s="883"/>
      <c r="AU282" s="883"/>
      <c r="AV282" s="883"/>
      <c r="AW282" s="883"/>
      <c r="AX282" s="883"/>
    </row>
    <row r="283" spans="1:50" s="917" customFormat="1" x14ac:dyDescent="0.55000000000000004">
      <c r="A283" s="883"/>
      <c r="B283" s="883"/>
      <c r="C283" s="884"/>
      <c r="D283" s="884"/>
      <c r="E283" s="884"/>
      <c r="F283" s="884"/>
      <c r="G283" s="883"/>
      <c r="H283" s="883"/>
      <c r="I283" s="883"/>
      <c r="J283" s="884"/>
      <c r="K283" s="884"/>
      <c r="L283" s="884"/>
      <c r="M283" s="885"/>
      <c r="N283" s="883"/>
      <c r="O283" s="883"/>
      <c r="P283" s="883"/>
      <c r="Q283" s="886"/>
      <c r="R283" s="886"/>
      <c r="S283" s="886"/>
      <c r="T283" s="884"/>
      <c r="U283" s="884"/>
      <c r="V283" s="887"/>
      <c r="W283" s="883"/>
      <c r="X283" s="888"/>
      <c r="Y283" s="888"/>
      <c r="Z283" s="1227"/>
      <c r="AA283" s="921"/>
      <c r="AC283" s="883"/>
      <c r="AD283" s="883"/>
      <c r="AE283" s="883"/>
      <c r="AF283" s="883"/>
      <c r="AG283" s="883"/>
      <c r="AH283" s="884"/>
      <c r="AI283" s="883"/>
      <c r="AJ283" s="883"/>
      <c r="AK283" s="886"/>
      <c r="AL283" s="886"/>
      <c r="AM283" s="883"/>
      <c r="AN283" s="883"/>
      <c r="AO283" s="883"/>
      <c r="AP283" s="883"/>
      <c r="AQ283" s="883"/>
      <c r="AR283" s="883"/>
      <c r="AS283" s="883"/>
      <c r="AT283" s="883"/>
      <c r="AU283" s="883"/>
      <c r="AV283" s="883"/>
      <c r="AW283" s="883"/>
      <c r="AX283" s="883"/>
    </row>
  </sheetData>
  <mergeCells count="98">
    <mergeCell ref="AB65:AI67"/>
    <mergeCell ref="E41:F41"/>
    <mergeCell ref="AE53:AH53"/>
    <mergeCell ref="AC54:AD54"/>
    <mergeCell ref="AF54:AH54"/>
    <mergeCell ref="Y50:Z50"/>
    <mergeCell ref="AE50:AH50"/>
    <mergeCell ref="AE51:AH51"/>
    <mergeCell ref="AE52:AH52"/>
    <mergeCell ref="AC45:AD45"/>
    <mergeCell ref="AF47:AH47"/>
    <mergeCell ref="AE46:AH46"/>
    <mergeCell ref="AE45:AH45"/>
    <mergeCell ref="AC47:AD47"/>
    <mergeCell ref="AC46:AD46"/>
    <mergeCell ref="J47:M47"/>
    <mergeCell ref="D47:F47"/>
    <mergeCell ref="G47:H47"/>
    <mergeCell ref="H68:I68"/>
    <mergeCell ref="I58:K58"/>
    <mergeCell ref="H53:I53"/>
    <mergeCell ref="H66:I66"/>
    <mergeCell ref="H67:I67"/>
    <mergeCell ref="K67:L67"/>
    <mergeCell ref="G50:H50"/>
    <mergeCell ref="L52:V52"/>
    <mergeCell ref="AC43:AD43"/>
    <mergeCell ref="AE43:AH43"/>
    <mergeCell ref="D44:F44"/>
    <mergeCell ref="G44:H44"/>
    <mergeCell ref="J44:M44"/>
    <mergeCell ref="O44:P44"/>
    <mergeCell ref="AC44:AD44"/>
    <mergeCell ref="AE44:AH44"/>
    <mergeCell ref="AO5:AO8"/>
    <mergeCell ref="C6:F7"/>
    <mergeCell ref="G6:M7"/>
    <mergeCell ref="N6:N8"/>
    <mergeCell ref="O6:O8"/>
    <mergeCell ref="P6:P8"/>
    <mergeCell ref="Q6:S7"/>
    <mergeCell ref="AC5:AE7"/>
    <mergeCell ref="AF5:AF8"/>
    <mergeCell ref="AG5:AG8"/>
    <mergeCell ref="AH5:AH8"/>
    <mergeCell ref="AI5:AI8"/>
    <mergeCell ref="AJ5:AJ8"/>
    <mergeCell ref="AB5:AB8"/>
    <mergeCell ref="AN5:AN8"/>
    <mergeCell ref="AK5:AK8"/>
    <mergeCell ref="AM5:AM8"/>
    <mergeCell ref="AA5:AA8"/>
    <mergeCell ref="T6:X7"/>
    <mergeCell ref="Y6:Y8"/>
    <mergeCell ref="Q5:Y5"/>
    <mergeCell ref="Z5:Z8"/>
    <mergeCell ref="H8:I8"/>
    <mergeCell ref="K8:L8"/>
    <mergeCell ref="L51:P51"/>
    <mergeCell ref="B5:B8"/>
    <mergeCell ref="C5:P5"/>
    <mergeCell ref="D45:F45"/>
    <mergeCell ref="O43:P43"/>
    <mergeCell ref="G43:H43"/>
    <mergeCell ref="D46:F46"/>
    <mergeCell ref="G46:H46"/>
    <mergeCell ref="J46:M46"/>
    <mergeCell ref="O46:P46"/>
    <mergeCell ref="D43:F43"/>
    <mergeCell ref="G45:H45"/>
    <mergeCell ref="D42:F42"/>
    <mergeCell ref="G42:H42"/>
    <mergeCell ref="AC50:AD50"/>
    <mergeCell ref="AC53:AD53"/>
    <mergeCell ref="AC51:AD51"/>
    <mergeCell ref="AC52:AD52"/>
    <mergeCell ref="AC58:AD58"/>
    <mergeCell ref="W41:X41"/>
    <mergeCell ref="O42:P42"/>
    <mergeCell ref="R42:S42"/>
    <mergeCell ref="J43:M43"/>
    <mergeCell ref="O47:P47"/>
    <mergeCell ref="O45:P45"/>
    <mergeCell ref="R43:S43"/>
    <mergeCell ref="J42:M42"/>
    <mergeCell ref="J45:M45"/>
    <mergeCell ref="AG64:AH64"/>
    <mergeCell ref="AG63:AH63"/>
    <mergeCell ref="AB62:AH62"/>
    <mergeCell ref="AF58:AG58"/>
    <mergeCell ref="I59:K59"/>
    <mergeCell ref="AC59:AD59"/>
    <mergeCell ref="AF59:AG59"/>
    <mergeCell ref="AH58:AI58"/>
    <mergeCell ref="AH59:AI59"/>
    <mergeCell ref="AC63:AD63"/>
    <mergeCell ref="AC64:AD64"/>
    <mergeCell ref="AC60:AD60"/>
  </mergeCells>
  <conditionalFormatting sqref="O9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2">
      <colorScale>
        <cfvo type="min"/>
        <cfvo type="max"/>
        <color theme="0"/>
        <color theme="0"/>
      </colorScale>
    </cfRule>
  </conditionalFormatting>
  <conditionalFormatting sqref="O10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5">
      <colorScale>
        <cfvo type="min"/>
        <cfvo type="max"/>
        <color theme="0"/>
        <color theme="0"/>
      </colorScale>
    </cfRule>
  </conditionalFormatting>
  <conditionalFormatting sqref="O11">
    <cfRule type="colorScale" priority="19">
      <colorScale>
        <cfvo type="min"/>
        <cfvo type="max"/>
        <color theme="0"/>
        <color theme="0"/>
      </colorScale>
    </cfRule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2">
    <cfRule type="colorScale" priority="17">
      <colorScale>
        <cfvo type="min"/>
        <cfvo type="max"/>
        <color theme="0"/>
        <color theme="0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3">
    <cfRule type="colorScale" priority="15">
      <colorScale>
        <cfvo type="min"/>
        <cfvo type="max"/>
        <color theme="0"/>
        <color theme="0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4">
    <cfRule type="colorScale" priority="13">
      <colorScale>
        <cfvo type="min"/>
        <cfvo type="max"/>
        <color theme="0"/>
        <color theme="0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">
      <colorScale>
        <cfvo type="min"/>
        <cfvo type="max"/>
        <color theme="0"/>
        <color theme="0"/>
      </colorScale>
    </cfRule>
  </conditionalFormatting>
  <conditionalFormatting sqref="O16">
    <cfRule type="colorScale" priority="9">
      <colorScale>
        <cfvo type="min"/>
        <cfvo type="max"/>
        <color theme="0"/>
        <color theme="0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max"/>
        <color theme="0"/>
        <color theme="0"/>
      </colorScale>
    </cfRule>
  </conditionalFormatting>
  <conditionalFormatting sqref="O21">
    <cfRule type="colorScale" priority="119">
      <colorScale>
        <cfvo type="min"/>
        <cfvo type="max"/>
        <color theme="0"/>
        <color theme="0"/>
      </colorScale>
    </cfRule>
  </conditionalFormatting>
  <conditionalFormatting sqref="O22">
    <cfRule type="colorScale" priority="36">
      <colorScale>
        <cfvo type="min"/>
        <cfvo type="max"/>
        <color theme="0"/>
        <color theme="0"/>
      </colorScale>
    </cfRule>
  </conditionalFormatting>
  <conditionalFormatting sqref="O23">
    <cfRule type="colorScale" priority="35">
      <colorScale>
        <cfvo type="min"/>
        <cfvo type="max"/>
        <color theme="0"/>
        <color theme="0"/>
      </colorScale>
    </cfRule>
  </conditionalFormatting>
  <conditionalFormatting sqref="O24">
    <cfRule type="colorScale" priority="34">
      <colorScale>
        <cfvo type="min"/>
        <cfvo type="max"/>
        <color theme="0"/>
        <color theme="0"/>
      </colorScale>
    </cfRule>
  </conditionalFormatting>
  <conditionalFormatting sqref="O25">
    <cfRule type="colorScale" priority="33">
      <colorScale>
        <cfvo type="min"/>
        <cfvo type="max"/>
        <color theme="0"/>
        <color theme="0"/>
      </colorScale>
    </cfRule>
  </conditionalFormatting>
  <conditionalFormatting sqref="O26">
    <cfRule type="colorScale" priority="32">
      <colorScale>
        <cfvo type="min"/>
        <cfvo type="max"/>
        <color theme="0"/>
        <color theme="0"/>
      </colorScale>
    </cfRule>
  </conditionalFormatting>
  <conditionalFormatting sqref="O27">
    <cfRule type="colorScale" priority="31">
      <colorScale>
        <cfvo type="min"/>
        <cfvo type="max"/>
        <color theme="0"/>
        <color theme="0"/>
      </colorScale>
    </cfRule>
  </conditionalFormatting>
  <conditionalFormatting sqref="O28">
    <cfRule type="colorScale" priority="30">
      <colorScale>
        <cfvo type="min"/>
        <cfvo type="max"/>
        <color theme="0"/>
        <color theme="0"/>
      </colorScale>
    </cfRule>
  </conditionalFormatting>
  <conditionalFormatting sqref="O29">
    <cfRule type="colorScale" priority="29">
      <colorScale>
        <cfvo type="min"/>
        <cfvo type="max"/>
        <color theme="0"/>
        <color theme="0"/>
      </colorScale>
    </cfRule>
  </conditionalFormatting>
  <conditionalFormatting sqref="O30">
    <cfRule type="colorScale" priority="28">
      <colorScale>
        <cfvo type="min"/>
        <cfvo type="max"/>
        <color theme="0"/>
        <color theme="0"/>
      </colorScale>
    </cfRule>
  </conditionalFormatting>
  <conditionalFormatting sqref="O31">
    <cfRule type="colorScale" priority="27">
      <colorScale>
        <cfvo type="min"/>
        <cfvo type="max"/>
        <color theme="0"/>
        <color theme="0"/>
      </colorScale>
    </cfRule>
  </conditionalFormatting>
  <conditionalFormatting sqref="O32">
    <cfRule type="colorScale" priority="26">
      <colorScale>
        <cfvo type="min"/>
        <cfvo type="max"/>
        <color theme="0"/>
        <color theme="0"/>
      </colorScale>
    </cfRule>
  </conditionalFormatting>
  <conditionalFormatting sqref="O33">
    <cfRule type="colorScale" priority="25">
      <colorScale>
        <cfvo type="min"/>
        <cfvo type="max"/>
        <color theme="0"/>
        <color theme="0"/>
      </colorScale>
    </cfRule>
  </conditionalFormatting>
  <conditionalFormatting sqref="O34">
    <cfRule type="colorScale" priority="24">
      <colorScale>
        <cfvo type="min"/>
        <cfvo type="max"/>
        <color theme="0"/>
        <color theme="0"/>
      </colorScale>
    </cfRule>
  </conditionalFormatting>
  <conditionalFormatting sqref="O35">
    <cfRule type="colorScale" priority="59">
      <colorScale>
        <cfvo type="min"/>
        <cfvo type="max"/>
        <color theme="0"/>
        <color theme="0"/>
      </colorScale>
    </cfRule>
  </conditionalFormatting>
  <conditionalFormatting sqref="O36">
    <cfRule type="colorScale" priority="23">
      <colorScale>
        <cfvo type="min"/>
        <cfvo type="max"/>
        <color theme="0"/>
        <color theme="0"/>
      </colorScale>
    </cfRule>
  </conditionalFormatting>
  <conditionalFormatting sqref="O37">
    <cfRule type="colorScale" priority="79">
      <colorScale>
        <cfvo type="min"/>
        <cfvo type="max"/>
        <color theme="0"/>
        <color theme="0"/>
      </colorScale>
    </cfRule>
  </conditionalFormatting>
  <conditionalFormatting sqref="O38">
    <cfRule type="colorScale" priority="22">
      <colorScale>
        <cfvo type="min"/>
        <cfvo type="max"/>
        <color theme="0"/>
        <color theme="0"/>
      </colorScale>
    </cfRule>
  </conditionalFormatting>
  <conditionalFormatting sqref="O39">
    <cfRule type="colorScale" priority="21">
      <colorScale>
        <cfvo type="min"/>
        <cfvo type="max"/>
        <color theme="0"/>
        <color theme="0"/>
      </colorScale>
    </cfRule>
  </conditionalFormatting>
  <conditionalFormatting sqref="O18">
    <cfRule type="colorScale" priority="5">
      <colorScale>
        <cfvo type="min"/>
        <cfvo type="max"/>
        <color theme="0"/>
        <color theme="0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9">
    <cfRule type="colorScale" priority="3">
      <colorScale>
        <cfvo type="min"/>
        <cfvo type="max"/>
        <color theme="0"/>
        <color theme="0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0">
    <cfRule type="colorScale" priority="1">
      <colorScale>
        <cfvo type="min"/>
        <cfvo type="max"/>
        <color theme="0"/>
        <color theme="0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118110236220472" right="0.118110236220472" top="0.65748031500000004" bottom="0.196850393700787" header="0.31496062992126" footer="0.31496062992126"/>
  <pageSetup paperSize="8" scale="3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69"/>
  <sheetViews>
    <sheetView showGridLines="0" zoomScale="50" zoomScaleNormal="50" zoomScaleSheetLayoutView="40" workbookViewId="0">
      <pane xSplit="2" ySplit="7" topLeftCell="S39" activePane="bottomRight" state="frozen"/>
      <selection pane="topRight" activeCell="C1" sqref="C1"/>
      <selection pane="bottomLeft" activeCell="A8" sqref="A8"/>
      <selection pane="bottomRight" activeCell="V40" sqref="V40"/>
    </sheetView>
  </sheetViews>
  <sheetFormatPr defaultColWidth="21.26171875" defaultRowHeight="27" x14ac:dyDescent="0.85"/>
  <cols>
    <col min="1" max="1" width="7.26171875" style="951" customWidth="1"/>
    <col min="2" max="2" width="24.83984375" style="951" customWidth="1"/>
    <col min="3" max="3" width="28" style="951" bestFit="1" customWidth="1"/>
    <col min="4" max="5" width="30.26171875" style="1182" customWidth="1"/>
    <col min="6" max="6" width="30.26171875" style="1362" customWidth="1"/>
    <col min="7" max="7" width="15.41796875" style="952" customWidth="1"/>
    <col min="8" max="8" width="15.41796875" style="951" customWidth="1"/>
    <col min="9" max="9" width="30.26171875" style="947" customWidth="1"/>
    <col min="10" max="10" width="15.41796875" style="952" customWidth="1"/>
    <col min="11" max="11" width="15.41796875" style="1182" customWidth="1"/>
    <col min="12" max="12" width="30.26171875" style="942" customWidth="1"/>
    <col min="13" max="13" width="25.578125" style="951" bestFit="1" customWidth="1"/>
    <col min="14" max="14" width="30.26171875" style="951" customWidth="1"/>
    <col min="15" max="16" width="30.83984375" style="1177" customWidth="1"/>
    <col min="17" max="18" width="26.578125" style="1182" bestFit="1" customWidth="1"/>
    <col min="19" max="19" width="32.578125" style="1182" customWidth="1"/>
    <col min="20" max="20" width="17" style="951" bestFit="1" customWidth="1"/>
    <col min="21" max="21" width="27" style="953" bestFit="1" customWidth="1"/>
    <col min="22" max="22" width="31.26171875" style="1182" bestFit="1" customWidth="1"/>
    <col min="23" max="23" width="22.68359375" style="973" bestFit="1" customWidth="1"/>
    <col min="24" max="24" width="21.83984375" style="973" customWidth="1"/>
    <col min="25" max="25" width="37" style="1178" customWidth="1"/>
    <col min="26" max="26" width="13.41796875" style="951" bestFit="1" customWidth="1"/>
    <col min="27" max="27" width="22.578125" style="951" customWidth="1"/>
    <col min="28" max="28" width="2.15625" style="951" hidden="1" customWidth="1"/>
    <col min="29" max="29" width="23" style="951" bestFit="1" customWidth="1"/>
    <col min="30" max="30" width="18.26171875" style="951" bestFit="1" customWidth="1"/>
    <col min="31" max="31" width="18.83984375" style="1182" customWidth="1"/>
    <col min="32" max="32" width="18" style="951" bestFit="1" customWidth="1"/>
    <col min="33" max="33" width="35.15625" style="951" bestFit="1" customWidth="1"/>
    <col min="34" max="34" width="16.26171875" style="1177" hidden="1" customWidth="1"/>
    <col min="35" max="35" width="21.26171875" style="1177" customWidth="1"/>
    <col min="36" max="36" width="23.15625" style="951" hidden="1" customWidth="1"/>
    <col min="37" max="43" width="21.41796875" style="951" hidden="1" customWidth="1"/>
    <col min="44" max="44" width="21.26171875" style="951" hidden="1" customWidth="1"/>
    <col min="45" max="45" width="21.41796875" style="951" hidden="1" customWidth="1"/>
    <col min="46" max="46" width="21.41796875" style="951" bestFit="1" customWidth="1"/>
    <col min="47" max="47" width="22.578125" style="951" bestFit="1" customWidth="1"/>
    <col min="48" max="16384" width="21.26171875" style="951"/>
  </cols>
  <sheetData>
    <row r="1" spans="2:47" x14ac:dyDescent="0.85">
      <c r="G1" s="972"/>
      <c r="H1" s="1362"/>
      <c r="J1" s="972"/>
      <c r="S1" s="1215"/>
    </row>
    <row r="2" spans="2:47" x14ac:dyDescent="0.85">
      <c r="B2" s="863" t="s">
        <v>33</v>
      </c>
      <c r="C2" s="863"/>
      <c r="D2" s="1160"/>
      <c r="E2" s="1160"/>
      <c r="F2" s="1361"/>
      <c r="G2" s="1273"/>
      <c r="H2" s="1361"/>
      <c r="I2" s="865"/>
      <c r="J2" s="1273"/>
      <c r="K2" s="1160"/>
      <c r="L2" s="1162"/>
      <c r="M2" s="804"/>
      <c r="N2" s="804"/>
      <c r="O2" s="1157"/>
      <c r="P2" s="1157"/>
      <c r="Q2" s="1160"/>
      <c r="R2" s="1160"/>
      <c r="S2" s="1160"/>
      <c r="T2" s="804"/>
      <c r="U2" s="1156"/>
      <c r="V2" s="1160"/>
      <c r="W2" s="1375"/>
      <c r="X2" s="1375"/>
      <c r="Y2" s="808"/>
      <c r="Z2" s="804"/>
      <c r="AA2" s="804"/>
      <c r="AB2" s="804"/>
      <c r="AC2" s="804"/>
      <c r="AD2" s="804"/>
      <c r="AE2" s="804" t="s">
        <v>137</v>
      </c>
      <c r="AF2" s="804"/>
      <c r="AG2" s="804"/>
    </row>
    <row r="3" spans="2:47" x14ac:dyDescent="0.85">
      <c r="B3" s="863" t="s">
        <v>234</v>
      </c>
      <c r="C3" s="863"/>
      <c r="D3" s="1160"/>
      <c r="E3" s="865"/>
      <c r="F3" s="1366"/>
      <c r="G3" s="1273"/>
      <c r="H3" s="1361"/>
      <c r="I3" s="865"/>
      <c r="J3" s="1273"/>
      <c r="K3" s="1160"/>
      <c r="L3" s="1162"/>
      <c r="M3" s="804"/>
      <c r="N3" s="804"/>
      <c r="O3" s="1157"/>
      <c r="P3" s="1157"/>
      <c r="Q3" s="1157"/>
      <c r="R3" s="1157"/>
      <c r="S3" s="1157"/>
      <c r="T3" s="902"/>
      <c r="U3" s="1156"/>
      <c r="V3" s="1160"/>
      <c r="W3" s="1375"/>
      <c r="X3" s="1375"/>
      <c r="Y3" s="808"/>
      <c r="Z3" s="804"/>
      <c r="AA3" s="804"/>
      <c r="AB3" s="804"/>
      <c r="AC3" s="804"/>
      <c r="AD3" s="804"/>
      <c r="AE3" s="1160"/>
      <c r="AF3" s="804"/>
      <c r="AG3" s="804"/>
    </row>
    <row r="4" spans="2:47" ht="27.3" thickBot="1" x14ac:dyDescent="0.9">
      <c r="B4" s="863" t="s">
        <v>135</v>
      </c>
      <c r="C4" s="863"/>
      <c r="D4" s="1160"/>
      <c r="E4" s="1160"/>
      <c r="F4" s="1361"/>
      <c r="G4" s="1273"/>
      <c r="H4" s="1361"/>
      <c r="I4" s="865"/>
      <c r="J4" s="1273"/>
      <c r="K4" s="1160"/>
      <c r="L4" s="1162"/>
      <c r="M4" s="804"/>
      <c r="N4" s="804"/>
      <c r="O4" s="1157"/>
      <c r="P4" s="1157"/>
      <c r="Q4" s="1160"/>
      <c r="R4" s="1160"/>
      <c r="S4" s="1160"/>
      <c r="T4" s="804"/>
      <c r="U4" s="1156"/>
      <c r="V4" s="1160"/>
      <c r="W4" s="1375"/>
      <c r="X4" s="1375"/>
      <c r="Y4" s="808"/>
      <c r="Z4" s="804"/>
      <c r="AA4" s="804"/>
      <c r="AB4" s="804"/>
      <c r="AC4" s="804"/>
      <c r="AD4" s="804"/>
      <c r="AE4" s="1160"/>
      <c r="AF4" s="804"/>
      <c r="AG4" s="804"/>
      <c r="AJ4" s="951" t="s">
        <v>0</v>
      </c>
    </row>
    <row r="5" spans="2:47" s="958" customFormat="1" ht="30" customHeight="1" x14ac:dyDescent="0.85">
      <c r="B5" s="1668" t="s">
        <v>1</v>
      </c>
      <c r="C5" s="1683" t="s">
        <v>119</v>
      </c>
      <c r="D5" s="1684"/>
      <c r="E5" s="1684"/>
      <c r="F5" s="1684"/>
      <c r="G5" s="1684"/>
      <c r="H5" s="1684"/>
      <c r="I5" s="1684"/>
      <c r="J5" s="1684"/>
      <c r="K5" s="1684"/>
      <c r="L5" s="1684"/>
      <c r="M5" s="1684"/>
      <c r="N5" s="1685"/>
      <c r="O5" s="1689" t="s">
        <v>123</v>
      </c>
      <c r="P5" s="1690"/>
      <c r="Q5" s="1690"/>
      <c r="R5" s="1690"/>
      <c r="S5" s="1690"/>
      <c r="T5" s="1690"/>
      <c r="U5" s="1690"/>
      <c r="V5" s="1691"/>
      <c r="W5" s="1671" t="s">
        <v>94</v>
      </c>
      <c r="X5" s="1671" t="s">
        <v>95</v>
      </c>
      <c r="Y5" s="1671" t="s">
        <v>4</v>
      </c>
      <c r="Z5" s="1695" t="s">
        <v>5</v>
      </c>
      <c r="AA5" s="1695"/>
      <c r="AB5" s="1695"/>
      <c r="AC5" s="1695" t="s">
        <v>99</v>
      </c>
      <c r="AD5" s="1695" t="s">
        <v>100</v>
      </c>
      <c r="AE5" s="1697" t="s">
        <v>6</v>
      </c>
      <c r="AF5" s="1695" t="s">
        <v>7</v>
      </c>
      <c r="AG5" s="1700" t="s">
        <v>8</v>
      </c>
      <c r="AH5" s="1674" t="s">
        <v>22</v>
      </c>
      <c r="AI5" s="957"/>
      <c r="AJ5" s="1677" t="s">
        <v>2</v>
      </c>
      <c r="AK5" s="1692" t="s">
        <v>97</v>
      </c>
      <c r="AL5" s="1692" t="s">
        <v>98</v>
      </c>
    </row>
    <row r="6" spans="2:47" s="958" customFormat="1" ht="60.75" customHeight="1" x14ac:dyDescent="0.85">
      <c r="B6" s="1669"/>
      <c r="C6" s="1679" t="s">
        <v>14</v>
      </c>
      <c r="D6" s="1679"/>
      <c r="E6" s="1679"/>
      <c r="F6" s="1680" t="s">
        <v>213</v>
      </c>
      <c r="G6" s="1681"/>
      <c r="H6" s="1681"/>
      <c r="I6" s="1681"/>
      <c r="J6" s="1681"/>
      <c r="K6" s="1681"/>
      <c r="L6" s="1681"/>
      <c r="M6" s="1681"/>
      <c r="N6" s="1682"/>
      <c r="O6" s="1686" t="s">
        <v>207</v>
      </c>
      <c r="P6" s="1687"/>
      <c r="Q6" s="1686" t="s">
        <v>17</v>
      </c>
      <c r="R6" s="1688"/>
      <c r="S6" s="1688"/>
      <c r="T6" s="1688"/>
      <c r="U6" s="1688"/>
      <c r="V6" s="1687"/>
      <c r="W6" s="1672"/>
      <c r="X6" s="1672"/>
      <c r="Y6" s="1672"/>
      <c r="Z6" s="1694"/>
      <c r="AA6" s="1694"/>
      <c r="AB6" s="1694"/>
      <c r="AC6" s="1693"/>
      <c r="AD6" s="1693"/>
      <c r="AE6" s="1698"/>
      <c r="AF6" s="1693"/>
      <c r="AG6" s="1701"/>
      <c r="AH6" s="1675"/>
      <c r="AI6" s="957"/>
      <c r="AJ6" s="1677"/>
      <c r="AK6" s="1693"/>
      <c r="AL6" s="1693"/>
    </row>
    <row r="7" spans="2:47" s="958" customFormat="1" ht="72" customHeight="1" thickBot="1" x14ac:dyDescent="0.9">
      <c r="B7" s="1670"/>
      <c r="C7" s="1350" t="s">
        <v>216</v>
      </c>
      <c r="D7" s="1351" t="s">
        <v>217</v>
      </c>
      <c r="E7" s="1351" t="s">
        <v>212</v>
      </c>
      <c r="F7" s="1373" t="s">
        <v>9</v>
      </c>
      <c r="G7" s="1678" t="s">
        <v>112</v>
      </c>
      <c r="H7" s="1678"/>
      <c r="I7" s="1374" t="s">
        <v>10</v>
      </c>
      <c r="J7" s="1678" t="s">
        <v>112</v>
      </c>
      <c r="K7" s="1678"/>
      <c r="L7" s="943" t="s">
        <v>15</v>
      </c>
      <c r="M7" s="1183" t="s">
        <v>21</v>
      </c>
      <c r="N7" s="1183" t="s">
        <v>128</v>
      </c>
      <c r="O7" s="960" t="s">
        <v>14</v>
      </c>
      <c r="P7" s="961" t="s">
        <v>212</v>
      </c>
      <c r="Q7" s="962" t="s">
        <v>9</v>
      </c>
      <c r="R7" s="963" t="s">
        <v>10</v>
      </c>
      <c r="S7" s="963" t="s">
        <v>15</v>
      </c>
      <c r="T7" s="962" t="s">
        <v>21</v>
      </c>
      <c r="U7" s="963" t="s">
        <v>128</v>
      </c>
      <c r="V7" s="963" t="s">
        <v>198</v>
      </c>
      <c r="W7" s="1673"/>
      <c r="X7" s="1673"/>
      <c r="Y7" s="1673"/>
      <c r="Z7" s="1184" t="s">
        <v>14</v>
      </c>
      <c r="AA7" s="964" t="s">
        <v>18</v>
      </c>
      <c r="AB7" s="1184" t="s">
        <v>16</v>
      </c>
      <c r="AC7" s="1696"/>
      <c r="AD7" s="1696"/>
      <c r="AE7" s="1699"/>
      <c r="AF7" s="1696"/>
      <c r="AG7" s="1702"/>
      <c r="AH7" s="1676"/>
      <c r="AI7" s="957"/>
      <c r="AJ7" s="1677"/>
      <c r="AK7" s="1694"/>
      <c r="AL7" s="1694"/>
    </row>
    <row r="8" spans="2:47" s="804" customFormat="1" ht="39" customHeight="1" thickBot="1" x14ac:dyDescent="0.6">
      <c r="B8" s="850">
        <v>45505</v>
      </c>
      <c r="C8" s="850" t="s">
        <v>224</v>
      </c>
      <c r="D8" s="1274">
        <v>50000</v>
      </c>
      <c r="E8" s="1274">
        <f>+D8</f>
        <v>50000</v>
      </c>
      <c r="F8" s="851">
        <v>18700</v>
      </c>
      <c r="G8" s="1235">
        <v>6</v>
      </c>
      <c r="H8" s="1236" t="s">
        <v>118</v>
      </c>
      <c r="I8" s="851">
        <v>22660</v>
      </c>
      <c r="J8" s="1238">
        <v>6</v>
      </c>
      <c r="K8" s="1236" t="s">
        <v>118</v>
      </c>
      <c r="L8" s="944">
        <f>+F8+I8</f>
        <v>41360</v>
      </c>
      <c r="M8" s="855">
        <f t="shared" ref="M8:M38" si="0">IFERROR(+L8/D8,"")</f>
        <v>0.82720000000000005</v>
      </c>
      <c r="N8" s="1071">
        <f>L8-D8</f>
        <v>-8640</v>
      </c>
      <c r="O8" s="1018">
        <v>3800</v>
      </c>
      <c r="P8" s="1018">
        <f>+O8</f>
        <v>3800</v>
      </c>
      <c r="Q8" s="1352">
        <v>1803.82</v>
      </c>
      <c r="R8" s="1230">
        <v>1082.4100000000001</v>
      </c>
      <c r="S8" s="1230">
        <f>+R8+Q8</f>
        <v>2886.23</v>
      </c>
      <c r="T8" s="855">
        <f t="shared" ref="T8:T38" si="1">IFERROR(+S8/O8,"")</f>
        <v>0.75953421052631576</v>
      </c>
      <c r="U8" s="1223">
        <f t="shared" ref="U8:U38" si="2">S8-O8</f>
        <v>-913.77</v>
      </c>
      <c r="V8" s="860">
        <f>31862.82+S8</f>
        <v>34749.050000000003</v>
      </c>
      <c r="W8" s="1376">
        <v>19232</v>
      </c>
      <c r="X8" s="1376">
        <v>16483</v>
      </c>
      <c r="Y8" s="966">
        <f>+W8+X8</f>
        <v>35715</v>
      </c>
      <c r="Z8" s="857">
        <v>12</v>
      </c>
      <c r="AA8" s="857">
        <f t="shared" ref="AA8:AA39" si="3">+IFERROR(L8/S8,0)</f>
        <v>14.330112291813196</v>
      </c>
      <c r="AB8" s="855">
        <f>IFERROR(+AA8/Z8,"")</f>
        <v>1.1941760243177664</v>
      </c>
      <c r="AC8" s="860">
        <f t="shared" ref="AC8:AC39" si="4">+W8/(F8+(Q8/1.27))</f>
        <v>0.95584910002105439</v>
      </c>
      <c r="AD8" s="860">
        <f t="shared" ref="AD8:AD39" si="5">+X8/(I8+(R8/1.27))</f>
        <v>0.70103758764472668</v>
      </c>
      <c r="AE8" s="860">
        <f t="shared" ref="AE8:AE39" si="6">+Y8/(L8+(S8/1.27))</f>
        <v>0.8185389354169198</v>
      </c>
      <c r="AF8" s="861">
        <v>0</v>
      </c>
      <c r="AG8" s="861">
        <v>0</v>
      </c>
      <c r="AH8" s="805">
        <v>124</v>
      </c>
      <c r="AI8" s="1157"/>
      <c r="AJ8" s="806">
        <f>+AK8+AL8</f>
        <v>43632.622047244091</v>
      </c>
      <c r="AK8" s="806">
        <f t="shared" ref="AK8:AK31" si="7">+AM8+F8</f>
        <v>20120.330708661419</v>
      </c>
      <c r="AL8" s="806">
        <f t="shared" ref="AL8:AL31" si="8">+AN8+I8</f>
        <v>23512.291338582676</v>
      </c>
      <c r="AM8" s="804">
        <f t="shared" ref="AM8:AM31" si="9">+Q8/1.27</f>
        <v>1420.3307086614172</v>
      </c>
      <c r="AN8" s="804">
        <f t="shared" ref="AN8:AN31" si="10">+R8/1.27</f>
        <v>852.29133858267721</v>
      </c>
      <c r="AO8" s="804">
        <f>+AN8+AM8</f>
        <v>2272.6220472440946</v>
      </c>
      <c r="AP8" s="807" t="e">
        <f>+AO8-#REF!</f>
        <v>#REF!</v>
      </c>
      <c r="AQ8" s="1158">
        <f t="shared" ref="AQ8:AQ31" si="11">+AO8+L8</f>
        <v>43632.622047244091</v>
      </c>
    </row>
    <row r="9" spans="2:47" s="804" customFormat="1" ht="39" customHeight="1" x14ac:dyDescent="0.55000000000000004">
      <c r="B9" s="850">
        <v>45506</v>
      </c>
      <c r="C9" s="850" t="s">
        <v>224</v>
      </c>
      <c r="D9" s="1274">
        <v>50000</v>
      </c>
      <c r="E9" s="1232">
        <f>+E8+D9</f>
        <v>100000</v>
      </c>
      <c r="F9" s="851">
        <v>20284</v>
      </c>
      <c r="G9" s="1270">
        <v>6</v>
      </c>
      <c r="H9" s="1271" t="s">
        <v>118</v>
      </c>
      <c r="I9" s="851">
        <v>21406</v>
      </c>
      <c r="J9" s="1272">
        <v>6</v>
      </c>
      <c r="K9" s="1271" t="s">
        <v>118</v>
      </c>
      <c r="L9" s="944">
        <f>+F9+I9</f>
        <v>41690</v>
      </c>
      <c r="M9" s="855">
        <f t="shared" si="0"/>
        <v>0.83379999999999999</v>
      </c>
      <c r="N9" s="1071">
        <f t="shared" ref="N9:N39" si="12">L9-D9</f>
        <v>-8310</v>
      </c>
      <c r="O9" s="1018">
        <v>3800</v>
      </c>
      <c r="P9" s="1018">
        <f>+P8+O9</f>
        <v>7600</v>
      </c>
      <c r="Q9" s="1230">
        <v>1872.32</v>
      </c>
      <c r="R9" s="1230">
        <v>1545.68</v>
      </c>
      <c r="S9" s="1230">
        <f>+R9+Q9</f>
        <v>3418</v>
      </c>
      <c r="T9" s="855">
        <f t="shared" si="1"/>
        <v>0.89947368421052631</v>
      </c>
      <c r="U9" s="1223">
        <f t="shared" si="2"/>
        <v>-382</v>
      </c>
      <c r="V9" s="860">
        <f>V8+S9</f>
        <v>38167.050000000003</v>
      </c>
      <c r="W9" s="1376">
        <v>18850</v>
      </c>
      <c r="X9" s="1376">
        <v>19097</v>
      </c>
      <c r="Y9" s="966">
        <f t="shared" ref="Y9:Y38" si="13">+W9+X9</f>
        <v>37947</v>
      </c>
      <c r="Z9" s="857">
        <v>12</v>
      </c>
      <c r="AA9" s="857">
        <f t="shared" si="3"/>
        <v>12.197191339964892</v>
      </c>
      <c r="AB9" s="855">
        <f>IFERROR(+AA9/Z9,"")</f>
        <v>1.016432611663741</v>
      </c>
      <c r="AC9" s="860">
        <f t="shared" si="4"/>
        <v>0.86633735026960523</v>
      </c>
      <c r="AD9" s="860">
        <f t="shared" si="5"/>
        <v>0.84413827428623134</v>
      </c>
      <c r="AE9" s="860">
        <f t="shared" si="6"/>
        <v>0.85502152958521627</v>
      </c>
      <c r="AF9" s="861">
        <v>0</v>
      </c>
      <c r="AG9" s="861">
        <v>0</v>
      </c>
      <c r="AH9" s="805">
        <v>517</v>
      </c>
      <c r="AI9" s="1157"/>
      <c r="AJ9" s="806">
        <f t="shared" ref="AJ9:AJ37" si="14">+AK9+AL9</f>
        <v>44381.33858267717</v>
      </c>
      <c r="AK9" s="806">
        <f t="shared" si="7"/>
        <v>21758.267716535433</v>
      </c>
      <c r="AL9" s="806">
        <f t="shared" si="8"/>
        <v>22623.070866141734</v>
      </c>
      <c r="AM9" s="804">
        <f t="shared" si="9"/>
        <v>1474.267716535433</v>
      </c>
      <c r="AN9" s="804">
        <f t="shared" si="10"/>
        <v>1217.0708661417323</v>
      </c>
      <c r="AO9" s="804">
        <f t="shared" ref="AO9:AO37" si="15">+AN9+AM9</f>
        <v>2691.3385826771655</v>
      </c>
      <c r="AP9" s="807" t="e">
        <f>+AO9-#REF!</f>
        <v>#REF!</v>
      </c>
      <c r="AQ9" s="1158">
        <f t="shared" si="11"/>
        <v>44381.338582677163</v>
      </c>
    </row>
    <row r="10" spans="2:47" s="804" customFormat="1" ht="39" customHeight="1" x14ac:dyDescent="0.55000000000000004">
      <c r="B10" s="850">
        <v>45507</v>
      </c>
      <c r="C10" s="850" t="s">
        <v>224</v>
      </c>
      <c r="D10" s="1274">
        <v>50000</v>
      </c>
      <c r="E10" s="1307">
        <f t="shared" ref="E10:E38" si="16">+E9+D10</f>
        <v>150000</v>
      </c>
      <c r="F10" s="847">
        <v>18810</v>
      </c>
      <c r="G10" s="1308">
        <v>6</v>
      </c>
      <c r="H10" s="1309" t="s">
        <v>118</v>
      </c>
      <c r="I10" s="1008">
        <v>20108</v>
      </c>
      <c r="J10" s="1310">
        <v>6</v>
      </c>
      <c r="K10" s="1309" t="s">
        <v>118</v>
      </c>
      <c r="L10" s="876">
        <f t="shared" ref="L10:L33" si="17">+F10+I10</f>
        <v>38918</v>
      </c>
      <c r="M10" s="1170">
        <f t="shared" si="0"/>
        <v>0.77836000000000005</v>
      </c>
      <c r="N10" s="1311">
        <f>L10-D10</f>
        <v>-11082</v>
      </c>
      <c r="O10" s="1018">
        <v>3800</v>
      </c>
      <c r="P10" s="876">
        <f>+P9+O10</f>
        <v>11400</v>
      </c>
      <c r="Q10" s="1165">
        <v>1927.58</v>
      </c>
      <c r="R10" s="1165">
        <v>1885.72</v>
      </c>
      <c r="S10" s="1165">
        <f>+R10+Q10</f>
        <v>3813.3</v>
      </c>
      <c r="T10" s="1170">
        <f t="shared" si="1"/>
        <v>1.0035000000000001</v>
      </c>
      <c r="U10" s="1312">
        <f>S10-O10</f>
        <v>13.300000000000182</v>
      </c>
      <c r="V10" s="1167">
        <f>V9+S10</f>
        <v>41980.350000000006</v>
      </c>
      <c r="W10" s="1014">
        <v>17885</v>
      </c>
      <c r="X10" s="1014">
        <v>18907</v>
      </c>
      <c r="Y10" s="1313">
        <f t="shared" si="13"/>
        <v>36792</v>
      </c>
      <c r="Z10" s="857">
        <v>12</v>
      </c>
      <c r="AA10" s="1172">
        <f t="shared" si="3"/>
        <v>10.205858442818556</v>
      </c>
      <c r="AB10" s="1170">
        <f t="shared" ref="AB10:AB37" si="18">IFERROR(+AA10/Z10,"")</f>
        <v>0.85048820356821297</v>
      </c>
      <c r="AC10" s="1167">
        <f t="shared" si="4"/>
        <v>0.87983047906204925</v>
      </c>
      <c r="AD10" s="1167">
        <f t="shared" si="5"/>
        <v>0.87561517973312786</v>
      </c>
      <c r="AE10" s="1167">
        <f t="shared" si="6"/>
        <v>0.87765922677968633</v>
      </c>
      <c r="AF10" s="861">
        <v>0</v>
      </c>
      <c r="AG10" s="861">
        <v>0</v>
      </c>
      <c r="AH10" s="1314">
        <v>1531</v>
      </c>
      <c r="AI10" s="1157"/>
      <c r="AJ10" s="806">
        <f t="shared" si="14"/>
        <v>41920.598425196848</v>
      </c>
      <c r="AK10" s="806">
        <f t="shared" si="7"/>
        <v>20327.779527559054</v>
      </c>
      <c r="AL10" s="806">
        <f t="shared" si="8"/>
        <v>21592.818897637797</v>
      </c>
      <c r="AM10" s="804">
        <f t="shared" si="9"/>
        <v>1517.7795275590549</v>
      </c>
      <c r="AN10" s="804">
        <f t="shared" si="10"/>
        <v>1484.8188976377953</v>
      </c>
      <c r="AO10" s="804">
        <f t="shared" si="15"/>
        <v>3002.5984251968503</v>
      </c>
      <c r="AP10" s="807" t="e">
        <f>+AO10-#REF!</f>
        <v>#REF!</v>
      </c>
      <c r="AQ10" s="1158">
        <f t="shared" si="11"/>
        <v>41920.598425196848</v>
      </c>
    </row>
    <row r="11" spans="2:47" s="804" customFormat="1" ht="39" customHeight="1" x14ac:dyDescent="0.55000000000000004">
      <c r="B11" s="850">
        <v>45508</v>
      </c>
      <c r="C11" s="850" t="s">
        <v>224</v>
      </c>
      <c r="D11" s="1274">
        <f>D10/2</f>
        <v>25000</v>
      </c>
      <c r="E11" s="1307">
        <f t="shared" si="16"/>
        <v>175000</v>
      </c>
      <c r="F11" s="1008">
        <v>3850</v>
      </c>
      <c r="G11" s="1308">
        <v>1</v>
      </c>
      <c r="H11" s="1309" t="s">
        <v>118</v>
      </c>
      <c r="I11" s="1008">
        <v>17578</v>
      </c>
      <c r="J11" s="1310">
        <v>6</v>
      </c>
      <c r="K11" s="1309" t="s">
        <v>118</v>
      </c>
      <c r="L11" s="876">
        <f t="shared" si="17"/>
        <v>21428</v>
      </c>
      <c r="M11" s="1170">
        <f t="shared" si="0"/>
        <v>0.85711999999999999</v>
      </c>
      <c r="N11" s="1311">
        <f>L11-D11</f>
        <v>-3572</v>
      </c>
      <c r="O11" s="1018">
        <f>3800/2</f>
        <v>1900</v>
      </c>
      <c r="P11" s="876">
        <f>+P10+O11</f>
        <v>13300</v>
      </c>
      <c r="Q11" s="1165">
        <v>0</v>
      </c>
      <c r="R11" s="1165">
        <v>1784.63</v>
      </c>
      <c r="S11" s="1165">
        <f t="shared" ref="S11:S33" si="19">+R11+Q11</f>
        <v>1784.63</v>
      </c>
      <c r="T11" s="1170">
        <f t="shared" si="1"/>
        <v>0.9392789473684211</v>
      </c>
      <c r="U11" s="1312">
        <f t="shared" si="2"/>
        <v>-115.36999999999989</v>
      </c>
      <c r="V11" s="1167">
        <f>V10+S11</f>
        <v>43764.98</v>
      </c>
      <c r="W11" s="1014">
        <v>6228</v>
      </c>
      <c r="X11" s="1014">
        <v>16417</v>
      </c>
      <c r="Y11" s="1316">
        <f>+W11+X11</f>
        <v>22645</v>
      </c>
      <c r="Z11" s="857">
        <v>12</v>
      </c>
      <c r="AA11" s="1172">
        <f t="shared" si="3"/>
        <v>12.006970632568095</v>
      </c>
      <c r="AB11" s="1170">
        <f t="shared" si="18"/>
        <v>1.0005808860473413</v>
      </c>
      <c r="AC11" s="1167">
        <f t="shared" si="4"/>
        <v>1.6176623376623376</v>
      </c>
      <c r="AD11" s="1167">
        <f t="shared" si="5"/>
        <v>0.86481637948806012</v>
      </c>
      <c r="AE11" s="1167">
        <f t="shared" si="6"/>
        <v>0.99175672688536765</v>
      </c>
      <c r="AF11" s="1317">
        <v>1.1805555555555555E-2</v>
      </c>
      <c r="AG11" s="1317">
        <v>2.9861111111111113E-2</v>
      </c>
      <c r="AH11" s="1314">
        <v>257</v>
      </c>
      <c r="AI11" s="1157"/>
      <c r="AJ11" s="806">
        <f t="shared" si="14"/>
        <v>22833.220472440946</v>
      </c>
      <c r="AK11" s="806">
        <f t="shared" si="7"/>
        <v>3850</v>
      </c>
      <c r="AL11" s="806">
        <f t="shared" si="8"/>
        <v>18983.220472440946</v>
      </c>
      <c r="AM11" s="804">
        <f t="shared" si="9"/>
        <v>0</v>
      </c>
      <c r="AN11" s="804">
        <f t="shared" si="10"/>
        <v>1405.2204724409451</v>
      </c>
      <c r="AO11" s="804">
        <f t="shared" si="15"/>
        <v>1405.2204724409451</v>
      </c>
      <c r="AP11" s="807" t="e">
        <f>+AO11-#REF!</f>
        <v>#REF!</v>
      </c>
      <c r="AQ11" s="1158">
        <f t="shared" si="11"/>
        <v>22833.220472440946</v>
      </c>
    </row>
    <row r="12" spans="2:47" s="804" customFormat="1" ht="39" customHeight="1" x14ac:dyDescent="0.55000000000000004">
      <c r="B12" s="850">
        <v>45509</v>
      </c>
      <c r="C12" s="850" t="s">
        <v>224</v>
      </c>
      <c r="D12" s="1274">
        <v>50000</v>
      </c>
      <c r="E12" s="1307">
        <f t="shared" si="16"/>
        <v>225000</v>
      </c>
      <c r="F12" s="1008">
        <v>27038</v>
      </c>
      <c r="G12" s="1308">
        <v>7</v>
      </c>
      <c r="H12" s="1309" t="s">
        <v>118</v>
      </c>
      <c r="I12" s="1010">
        <v>23716</v>
      </c>
      <c r="J12" s="1310">
        <v>6</v>
      </c>
      <c r="K12" s="1309" t="s">
        <v>118</v>
      </c>
      <c r="L12" s="876">
        <f t="shared" si="17"/>
        <v>50754</v>
      </c>
      <c r="M12" s="1170">
        <f t="shared" si="0"/>
        <v>1.01508</v>
      </c>
      <c r="N12" s="1311">
        <f t="shared" si="12"/>
        <v>754</v>
      </c>
      <c r="O12" s="1018">
        <v>3800</v>
      </c>
      <c r="P12" s="876">
        <f t="shared" ref="P12:P38" si="20">+P11+O12</f>
        <v>17100</v>
      </c>
      <c r="Q12" s="1165">
        <v>1929.3</v>
      </c>
      <c r="R12" s="1165">
        <v>1548.81</v>
      </c>
      <c r="S12" s="1165">
        <f t="shared" si="19"/>
        <v>3478.1099999999997</v>
      </c>
      <c r="T12" s="1170">
        <f t="shared" si="1"/>
        <v>0.91529210526315785</v>
      </c>
      <c r="U12" s="1312">
        <f t="shared" si="2"/>
        <v>-321.89000000000033</v>
      </c>
      <c r="V12" s="1167">
        <f>V11+S12</f>
        <v>47243.090000000004</v>
      </c>
      <c r="W12" s="1014">
        <v>21755.5</v>
      </c>
      <c r="X12" s="1014">
        <v>23524.5</v>
      </c>
      <c r="Y12" s="1316">
        <f t="shared" si="13"/>
        <v>45280</v>
      </c>
      <c r="Z12" s="857">
        <v>12</v>
      </c>
      <c r="AA12" s="1172">
        <f t="shared" si="3"/>
        <v>14.592407945694646</v>
      </c>
      <c r="AB12" s="1170">
        <f t="shared" si="18"/>
        <v>1.2160339954745538</v>
      </c>
      <c r="AC12" s="1167">
        <f t="shared" si="4"/>
        <v>0.76182365177034239</v>
      </c>
      <c r="AD12" s="1167">
        <f t="shared" si="5"/>
        <v>0.94341266756199371</v>
      </c>
      <c r="AE12" s="1167">
        <f t="shared" si="6"/>
        <v>0.84647112585446616</v>
      </c>
      <c r="AF12" s="1317">
        <v>0</v>
      </c>
      <c r="AG12" s="1317">
        <v>0</v>
      </c>
      <c r="AH12" s="1314">
        <v>877</v>
      </c>
      <c r="AI12" s="1157"/>
      <c r="AJ12" s="806">
        <f t="shared" si="14"/>
        <v>53492.669291338578</v>
      </c>
      <c r="AK12" s="806">
        <f t="shared" si="7"/>
        <v>28557.133858267716</v>
      </c>
      <c r="AL12" s="806">
        <f t="shared" si="8"/>
        <v>24935.535433070865</v>
      </c>
      <c r="AM12" s="804">
        <f t="shared" si="9"/>
        <v>1519.1338582677165</v>
      </c>
      <c r="AN12" s="804">
        <f t="shared" si="10"/>
        <v>1219.535433070866</v>
      </c>
      <c r="AO12" s="804">
        <f t="shared" si="15"/>
        <v>2738.6692913385823</v>
      </c>
      <c r="AP12" s="807" t="e">
        <f>+AO12-#REF!</f>
        <v>#REF!</v>
      </c>
      <c r="AQ12" s="1158">
        <f t="shared" si="11"/>
        <v>53492.669291338585</v>
      </c>
    </row>
    <row r="13" spans="2:47" s="804" customFormat="1" ht="39" customHeight="1" x14ac:dyDescent="0.55000000000000004">
      <c r="B13" s="850">
        <v>45510</v>
      </c>
      <c r="C13" s="850" t="s">
        <v>224</v>
      </c>
      <c r="D13" s="1274">
        <v>50000</v>
      </c>
      <c r="E13" s="1307">
        <f t="shared" si="16"/>
        <v>275000</v>
      </c>
      <c r="F13" s="1008">
        <v>25212</v>
      </c>
      <c r="G13" s="1308">
        <v>7</v>
      </c>
      <c r="H13" s="1309" t="s">
        <v>118</v>
      </c>
      <c r="I13" s="1010">
        <v>21604</v>
      </c>
      <c r="J13" s="1310">
        <v>7</v>
      </c>
      <c r="K13" s="1309" t="s">
        <v>118</v>
      </c>
      <c r="L13" s="876">
        <f t="shared" si="17"/>
        <v>46816</v>
      </c>
      <c r="M13" s="1170">
        <f t="shared" si="0"/>
        <v>0.93632000000000004</v>
      </c>
      <c r="N13" s="1311">
        <f t="shared" si="12"/>
        <v>-3184</v>
      </c>
      <c r="O13" s="1018">
        <v>3800</v>
      </c>
      <c r="P13" s="876">
        <f t="shared" si="20"/>
        <v>20900</v>
      </c>
      <c r="Q13" s="1165">
        <v>2300.02</v>
      </c>
      <c r="R13" s="1165">
        <v>1853.29</v>
      </c>
      <c r="S13" s="1165">
        <f t="shared" si="19"/>
        <v>4153.3099999999995</v>
      </c>
      <c r="T13" s="1170">
        <f t="shared" si="1"/>
        <v>1.0929763157894736</v>
      </c>
      <c r="U13" s="1312">
        <f t="shared" si="2"/>
        <v>353.30999999999949</v>
      </c>
      <c r="V13" s="1167">
        <f>V12+S13</f>
        <v>51396.4</v>
      </c>
      <c r="W13" s="1014">
        <v>22963.5</v>
      </c>
      <c r="X13" s="1014">
        <v>20575.5</v>
      </c>
      <c r="Y13" s="1316">
        <f t="shared" si="13"/>
        <v>43539</v>
      </c>
      <c r="Z13" s="857">
        <v>12</v>
      </c>
      <c r="AA13" s="1172">
        <f t="shared" si="3"/>
        <v>11.271973438053024</v>
      </c>
      <c r="AB13" s="1170">
        <f t="shared" si="18"/>
        <v>0.93933111983775197</v>
      </c>
      <c r="AC13" s="1167">
        <f t="shared" si="4"/>
        <v>0.8497748785958672</v>
      </c>
      <c r="AD13" s="1167">
        <f t="shared" si="5"/>
        <v>0.89213229467569033</v>
      </c>
      <c r="AE13" s="1167">
        <f t="shared" si="6"/>
        <v>0.86927922706043093</v>
      </c>
      <c r="AF13" s="1317">
        <v>0</v>
      </c>
      <c r="AG13" s="1317">
        <v>0</v>
      </c>
      <c r="AH13" s="1314">
        <v>883</v>
      </c>
      <c r="AI13" s="1157"/>
      <c r="AJ13" s="806">
        <f t="shared" si="14"/>
        <v>50086.322834645667</v>
      </c>
      <c r="AK13" s="806">
        <f t="shared" si="7"/>
        <v>27023.039370078739</v>
      </c>
      <c r="AL13" s="806">
        <f t="shared" si="8"/>
        <v>23063.283464566928</v>
      </c>
      <c r="AM13" s="804">
        <f t="shared" si="9"/>
        <v>1811.0393700787401</v>
      </c>
      <c r="AN13" s="804">
        <f t="shared" si="10"/>
        <v>1459.2834645669291</v>
      </c>
      <c r="AO13" s="804">
        <f t="shared" si="15"/>
        <v>3270.322834645669</v>
      </c>
      <c r="AP13" s="807" t="e">
        <f>+AO13-#REF!</f>
        <v>#REF!</v>
      </c>
      <c r="AQ13" s="1158">
        <f t="shared" si="11"/>
        <v>50086.322834645667</v>
      </c>
      <c r="AU13" s="1318"/>
    </row>
    <row r="14" spans="2:47" s="804" customFormat="1" ht="39" customHeight="1" x14ac:dyDescent="0.55000000000000004">
      <c r="B14" s="850">
        <v>45511</v>
      </c>
      <c r="C14" s="850" t="s">
        <v>224</v>
      </c>
      <c r="D14" s="1274">
        <v>50000</v>
      </c>
      <c r="E14" s="1307">
        <f t="shared" si="16"/>
        <v>325000</v>
      </c>
      <c r="F14" s="1008">
        <v>22792</v>
      </c>
      <c r="G14" s="1308">
        <v>6</v>
      </c>
      <c r="H14" s="1309" t="s">
        <v>118</v>
      </c>
      <c r="I14" s="1008">
        <v>15246</v>
      </c>
      <c r="J14" s="1310">
        <v>6</v>
      </c>
      <c r="K14" s="1309" t="s">
        <v>118</v>
      </c>
      <c r="L14" s="876">
        <f t="shared" si="17"/>
        <v>38038</v>
      </c>
      <c r="M14" s="1170">
        <f t="shared" si="0"/>
        <v>0.76075999999999999</v>
      </c>
      <c r="N14" s="1311">
        <f t="shared" si="12"/>
        <v>-11962</v>
      </c>
      <c r="O14" s="1018">
        <v>3800</v>
      </c>
      <c r="P14" s="876">
        <f t="shared" si="20"/>
        <v>24700</v>
      </c>
      <c r="Q14" s="1165">
        <v>1797.9</v>
      </c>
      <c r="R14" s="1165">
        <v>1032.3699999999999</v>
      </c>
      <c r="S14" s="1165">
        <f t="shared" si="19"/>
        <v>2830.27</v>
      </c>
      <c r="T14" s="1170">
        <f t="shared" si="1"/>
        <v>0.74480789473684206</v>
      </c>
      <c r="U14" s="1312">
        <f t="shared" si="2"/>
        <v>-969.73</v>
      </c>
      <c r="V14" s="1167">
        <v>47058.26</v>
      </c>
      <c r="W14" s="1014">
        <v>19475.5</v>
      </c>
      <c r="X14" s="1014">
        <v>21053</v>
      </c>
      <c r="Y14" s="1316">
        <f t="shared" si="13"/>
        <v>40528.5</v>
      </c>
      <c r="Z14" s="857">
        <v>12</v>
      </c>
      <c r="AA14" s="1172">
        <f t="shared" si="3"/>
        <v>13.439707165747437</v>
      </c>
      <c r="AB14" s="1170">
        <f t="shared" si="18"/>
        <v>1.1199755971456198</v>
      </c>
      <c r="AC14" s="1167">
        <f t="shared" si="4"/>
        <v>0.80451776524261531</v>
      </c>
      <c r="AD14" s="1167">
        <f t="shared" si="5"/>
        <v>1.3109872668460916</v>
      </c>
      <c r="AE14" s="1167">
        <f t="shared" si="6"/>
        <v>1.0065051733008361</v>
      </c>
      <c r="AF14" s="1317">
        <v>0.11805555555555557</v>
      </c>
      <c r="AG14" s="1317">
        <v>2.2222222222222223E-2</v>
      </c>
      <c r="AH14" s="1314">
        <v>593</v>
      </c>
      <c r="AI14" s="1157"/>
      <c r="AJ14" s="806">
        <f t="shared" si="14"/>
        <v>40266.559055118109</v>
      </c>
      <c r="AK14" s="806">
        <f t="shared" si="7"/>
        <v>24207.669291338581</v>
      </c>
      <c r="AL14" s="806">
        <f t="shared" si="8"/>
        <v>16058.889763779527</v>
      </c>
      <c r="AM14" s="804">
        <f t="shared" si="9"/>
        <v>1415.6692913385828</v>
      </c>
      <c r="AN14" s="804">
        <f t="shared" si="10"/>
        <v>812.88976377952747</v>
      </c>
      <c r="AO14" s="804">
        <f t="shared" si="15"/>
        <v>2228.5590551181103</v>
      </c>
      <c r="AP14" s="807" t="e">
        <f>+AO14-#REF!</f>
        <v>#REF!</v>
      </c>
      <c r="AQ14" s="1158">
        <f t="shared" si="11"/>
        <v>40266.559055118109</v>
      </c>
    </row>
    <row r="15" spans="2:47" s="804" customFormat="1" ht="39" customHeight="1" x14ac:dyDescent="0.55000000000000004">
      <c r="B15" s="850">
        <v>45512</v>
      </c>
      <c r="C15" s="850" t="s">
        <v>224</v>
      </c>
      <c r="D15" s="1274">
        <v>50000</v>
      </c>
      <c r="E15" s="1307">
        <f t="shared" si="16"/>
        <v>375000</v>
      </c>
      <c r="F15" s="1008">
        <v>16808</v>
      </c>
      <c r="G15" s="1308">
        <v>5</v>
      </c>
      <c r="H15" s="1309" t="s">
        <v>118</v>
      </c>
      <c r="I15" s="1008">
        <v>4752</v>
      </c>
      <c r="J15" s="1310">
        <v>6</v>
      </c>
      <c r="K15" s="1309" t="s">
        <v>118</v>
      </c>
      <c r="L15" s="876">
        <f t="shared" si="17"/>
        <v>21560</v>
      </c>
      <c r="M15" s="1170">
        <f t="shared" si="0"/>
        <v>0.43120000000000003</v>
      </c>
      <c r="N15" s="1311">
        <f t="shared" si="12"/>
        <v>-28440</v>
      </c>
      <c r="O15" s="1018">
        <v>3800</v>
      </c>
      <c r="P15" s="876">
        <f t="shared" si="20"/>
        <v>28500</v>
      </c>
      <c r="Q15" s="1165">
        <v>1091.5</v>
      </c>
      <c r="R15" s="1165">
        <v>591.84</v>
      </c>
      <c r="S15" s="1165">
        <f t="shared" si="19"/>
        <v>1683.3400000000001</v>
      </c>
      <c r="T15" s="1170">
        <f t="shared" si="1"/>
        <v>0.44298421052631581</v>
      </c>
      <c r="U15" s="1312">
        <f t="shared" si="2"/>
        <v>-2116.66</v>
      </c>
      <c r="V15" s="1167">
        <f>V14+S15</f>
        <v>48741.600000000006</v>
      </c>
      <c r="W15" s="1014">
        <v>14694.5</v>
      </c>
      <c r="X15" s="1014">
        <v>14931.5</v>
      </c>
      <c r="Y15" s="1316">
        <f t="shared" si="13"/>
        <v>29626</v>
      </c>
      <c r="Z15" s="857">
        <v>12</v>
      </c>
      <c r="AA15" s="1172">
        <f t="shared" si="3"/>
        <v>12.807870067841314</v>
      </c>
      <c r="AB15" s="1170">
        <f t="shared" si="18"/>
        <v>1.0673225056534428</v>
      </c>
      <c r="AC15" s="1167">
        <f t="shared" si="4"/>
        <v>0.83172732807253513</v>
      </c>
      <c r="AD15" s="1167">
        <f t="shared" si="5"/>
        <v>2.8615283511999614</v>
      </c>
      <c r="AE15" s="1167">
        <f t="shared" si="6"/>
        <v>1.294533476187822</v>
      </c>
      <c r="AF15" s="1317">
        <v>0.25416666666666665</v>
      </c>
      <c r="AG15" s="1317">
        <v>0.16180555555555556</v>
      </c>
      <c r="AH15" s="1314">
        <v>848</v>
      </c>
      <c r="AI15" s="1319"/>
      <c r="AJ15" s="806">
        <f t="shared" si="14"/>
        <v>22885.464566929135</v>
      </c>
      <c r="AK15" s="806">
        <f t="shared" si="7"/>
        <v>17667.448818897639</v>
      </c>
      <c r="AL15" s="806">
        <f t="shared" si="8"/>
        <v>5218.0157480314956</v>
      </c>
      <c r="AM15" s="804">
        <f t="shared" si="9"/>
        <v>859.44881889763781</v>
      </c>
      <c r="AN15" s="804">
        <f t="shared" si="10"/>
        <v>466.01574803149606</v>
      </c>
      <c r="AO15" s="804">
        <f t="shared" si="15"/>
        <v>1325.464566929134</v>
      </c>
      <c r="AP15" s="807" t="e">
        <f>+AO15-#REF!</f>
        <v>#REF!</v>
      </c>
      <c r="AQ15" s="1158">
        <f t="shared" si="11"/>
        <v>22885.464566929135</v>
      </c>
    </row>
    <row r="16" spans="2:47" s="804" customFormat="1" ht="39" customHeight="1" x14ac:dyDescent="0.55000000000000004">
      <c r="B16" s="850">
        <v>45513</v>
      </c>
      <c r="C16" s="850" t="s">
        <v>224</v>
      </c>
      <c r="D16" s="1274">
        <v>50000</v>
      </c>
      <c r="E16" s="1307">
        <f t="shared" si="16"/>
        <v>425000</v>
      </c>
      <c r="F16" s="1008">
        <v>14014</v>
      </c>
      <c r="G16" s="1308">
        <v>5</v>
      </c>
      <c r="H16" s="1309" t="s">
        <v>118</v>
      </c>
      <c r="I16" s="1008">
        <v>20328</v>
      </c>
      <c r="J16" s="1310">
        <v>5</v>
      </c>
      <c r="K16" s="1309" t="s">
        <v>118</v>
      </c>
      <c r="L16" s="876">
        <f>+F16+I16</f>
        <v>34342</v>
      </c>
      <c r="M16" s="1170">
        <f t="shared" si="0"/>
        <v>0.68684000000000001</v>
      </c>
      <c r="N16" s="1311">
        <f t="shared" si="12"/>
        <v>-15658</v>
      </c>
      <c r="O16" s="1018">
        <v>3800</v>
      </c>
      <c r="P16" s="876">
        <f t="shared" si="20"/>
        <v>32300</v>
      </c>
      <c r="Q16" s="1165">
        <v>1136.6400000000001</v>
      </c>
      <c r="R16" s="1165">
        <v>612.65</v>
      </c>
      <c r="S16" s="1165">
        <f t="shared" si="19"/>
        <v>1749.29</v>
      </c>
      <c r="T16" s="1170">
        <f>IFERROR(+S16/O16,"")</f>
        <v>0.46033947368421052</v>
      </c>
      <c r="U16" s="1312">
        <f t="shared" si="2"/>
        <v>-2050.71</v>
      </c>
      <c r="V16" s="1167">
        <f>V15+S16</f>
        <v>50490.890000000007</v>
      </c>
      <c r="W16" s="1014">
        <v>7117</v>
      </c>
      <c r="X16" s="1014">
        <v>15717</v>
      </c>
      <c r="Y16" s="1316">
        <f t="shared" si="13"/>
        <v>22834</v>
      </c>
      <c r="Z16" s="857">
        <v>12</v>
      </c>
      <c r="AA16" s="1172">
        <f t="shared" si="3"/>
        <v>19.631964968644422</v>
      </c>
      <c r="AB16" s="1170">
        <f t="shared" si="18"/>
        <v>1.6359970807203685</v>
      </c>
      <c r="AC16" s="1167">
        <f t="shared" si="4"/>
        <v>0.47736291895922872</v>
      </c>
      <c r="AD16" s="1167">
        <f t="shared" si="5"/>
        <v>0.75524731915936949</v>
      </c>
      <c r="AE16" s="1167">
        <f t="shared" si="6"/>
        <v>0.63926057063775532</v>
      </c>
      <c r="AF16" s="1317">
        <v>0</v>
      </c>
      <c r="AG16" s="1317">
        <v>6.458333333333334E-2</v>
      </c>
      <c r="AH16" s="1314">
        <v>321</v>
      </c>
      <c r="AI16" s="1319"/>
      <c r="AJ16" s="806">
        <f t="shared" si="14"/>
        <v>35719.393700787405</v>
      </c>
      <c r="AK16" s="806">
        <f t="shared" si="7"/>
        <v>14908.992125984252</v>
      </c>
      <c r="AL16" s="806">
        <f t="shared" si="8"/>
        <v>20810.401574803149</v>
      </c>
      <c r="AM16" s="804">
        <f t="shared" si="9"/>
        <v>894.99212598425208</v>
      </c>
      <c r="AN16" s="804">
        <f t="shared" si="10"/>
        <v>482.40157480314957</v>
      </c>
      <c r="AO16" s="804">
        <f t="shared" si="15"/>
        <v>1377.3937007874017</v>
      </c>
      <c r="AP16" s="807" t="e">
        <f>+AO16-#REF!</f>
        <v>#REF!</v>
      </c>
      <c r="AQ16" s="1158">
        <f t="shared" si="11"/>
        <v>35719.393700787405</v>
      </c>
    </row>
    <row r="17" spans="2:45" s="1100" customFormat="1" ht="39" customHeight="1" x14ac:dyDescent="0.55000000000000004">
      <c r="B17" s="1320">
        <v>45514</v>
      </c>
      <c r="C17" s="1320" t="s">
        <v>224</v>
      </c>
      <c r="D17" s="1321">
        <v>50000</v>
      </c>
      <c r="E17" s="1322">
        <f t="shared" si="16"/>
        <v>475000</v>
      </c>
      <c r="F17" s="1083">
        <v>20394</v>
      </c>
      <c r="G17" s="1323">
        <v>6</v>
      </c>
      <c r="H17" s="1324" t="s">
        <v>118</v>
      </c>
      <c r="I17" s="1083">
        <v>19316</v>
      </c>
      <c r="J17" s="1325">
        <v>5</v>
      </c>
      <c r="K17" s="1324" t="s">
        <v>118</v>
      </c>
      <c r="L17" s="1090">
        <f>+F17+I17</f>
        <v>39710</v>
      </c>
      <c r="M17" s="1087">
        <f t="shared" si="0"/>
        <v>0.79420000000000002</v>
      </c>
      <c r="N17" s="1088">
        <f t="shared" si="12"/>
        <v>-10290</v>
      </c>
      <c r="O17" s="1326">
        <v>3800</v>
      </c>
      <c r="P17" s="1090">
        <f t="shared" si="20"/>
        <v>36100</v>
      </c>
      <c r="Q17" s="1091">
        <v>1787.58</v>
      </c>
      <c r="R17" s="1091">
        <v>1298.8</v>
      </c>
      <c r="S17" s="1091">
        <f t="shared" si="19"/>
        <v>3086.38</v>
      </c>
      <c r="T17" s="1087">
        <f t="shared" si="1"/>
        <v>0.81220526315789476</v>
      </c>
      <c r="U17" s="1327">
        <f t="shared" si="2"/>
        <v>-713.61999999999989</v>
      </c>
      <c r="V17" s="1096">
        <f>V16+S17</f>
        <v>53577.270000000004</v>
      </c>
      <c r="W17" s="1093">
        <v>17475</v>
      </c>
      <c r="X17" s="1093">
        <v>16922</v>
      </c>
      <c r="Y17" s="1094">
        <f t="shared" si="13"/>
        <v>34397</v>
      </c>
      <c r="Z17" s="1328">
        <v>12</v>
      </c>
      <c r="AA17" s="1095">
        <f t="shared" si="3"/>
        <v>12.866205716729631</v>
      </c>
      <c r="AB17" s="1087">
        <f t="shared" si="18"/>
        <v>1.0721838097274692</v>
      </c>
      <c r="AC17" s="1096">
        <f t="shared" si="4"/>
        <v>0.80154875982195872</v>
      </c>
      <c r="AD17" s="1096">
        <f t="shared" si="5"/>
        <v>0.83201084625235966</v>
      </c>
      <c r="AE17" s="1096">
        <f t="shared" si="6"/>
        <v>0.81625106879768483</v>
      </c>
      <c r="AF17" s="1329">
        <v>0</v>
      </c>
      <c r="AG17" s="1329">
        <v>0</v>
      </c>
      <c r="AH17" s="1097">
        <v>447</v>
      </c>
      <c r="AI17" s="1330"/>
      <c r="AJ17" s="1099">
        <f t="shared" si="14"/>
        <v>42140.220472440938</v>
      </c>
      <c r="AK17" s="1099">
        <f t="shared" si="7"/>
        <v>21801.543307086613</v>
      </c>
      <c r="AL17" s="1099">
        <f t="shared" si="8"/>
        <v>20338.677165354329</v>
      </c>
      <c r="AM17" s="1100">
        <f t="shared" si="9"/>
        <v>1407.543307086614</v>
      </c>
      <c r="AN17" s="1100">
        <f t="shared" si="10"/>
        <v>1022.6771653543307</v>
      </c>
      <c r="AO17" s="1100">
        <f t="shared" si="15"/>
        <v>2430.2204724409448</v>
      </c>
      <c r="AP17" s="1101" t="e">
        <f>+AO17-#REF!</f>
        <v>#REF!</v>
      </c>
      <c r="AQ17" s="1102">
        <f t="shared" si="11"/>
        <v>42140.220472440946</v>
      </c>
    </row>
    <row r="18" spans="2:45" s="1345" customFormat="1" ht="39" customHeight="1" x14ac:dyDescent="0.55000000000000004">
      <c r="B18" s="1320">
        <v>45515</v>
      </c>
      <c r="C18" s="1320" t="s">
        <v>224</v>
      </c>
      <c r="D18" s="1321">
        <f>50000/2</f>
        <v>25000</v>
      </c>
      <c r="E18" s="1322">
        <f t="shared" si="16"/>
        <v>500000</v>
      </c>
      <c r="F18" s="1083">
        <v>4862</v>
      </c>
      <c r="G18" s="1331">
        <v>1</v>
      </c>
      <c r="H18" s="1332" t="s">
        <v>118</v>
      </c>
      <c r="I18" s="1083">
        <v>16808</v>
      </c>
      <c r="J18" s="1333">
        <v>5</v>
      </c>
      <c r="K18" s="1332" t="s">
        <v>118</v>
      </c>
      <c r="L18" s="1334">
        <f>+F18+I18</f>
        <v>21670</v>
      </c>
      <c r="M18" s="1335">
        <f t="shared" si="0"/>
        <v>0.86680000000000001</v>
      </c>
      <c r="N18" s="1336">
        <f t="shared" si="12"/>
        <v>-3330</v>
      </c>
      <c r="O18" s="1326">
        <f>3800/2</f>
        <v>1900</v>
      </c>
      <c r="P18" s="1334">
        <f t="shared" si="20"/>
        <v>38000</v>
      </c>
      <c r="Q18" s="1337">
        <v>0</v>
      </c>
      <c r="R18" s="1337">
        <v>1782.07</v>
      </c>
      <c r="S18" s="1337">
        <f t="shared" si="19"/>
        <v>1782.07</v>
      </c>
      <c r="T18" s="1335">
        <f t="shared" si="1"/>
        <v>0.93793157894736834</v>
      </c>
      <c r="U18" s="1338">
        <f t="shared" si="2"/>
        <v>-117.93000000000006</v>
      </c>
      <c r="V18" s="1339">
        <f>V17+S18</f>
        <v>55359.340000000004</v>
      </c>
      <c r="W18" s="1093">
        <v>4725</v>
      </c>
      <c r="X18" s="1093">
        <v>15812</v>
      </c>
      <c r="Y18" s="1340">
        <f t="shared" si="13"/>
        <v>20537</v>
      </c>
      <c r="Z18" s="1328">
        <v>12</v>
      </c>
      <c r="AA18" s="1341">
        <f t="shared" si="3"/>
        <v>12.160016160981332</v>
      </c>
      <c r="AB18" s="1335">
        <f t="shared" si="18"/>
        <v>1.0133346800817777</v>
      </c>
      <c r="AC18" s="1339">
        <f t="shared" si="4"/>
        <v>0.97182229535170717</v>
      </c>
      <c r="AD18" s="1339">
        <f t="shared" si="5"/>
        <v>0.86825667160867903</v>
      </c>
      <c r="AE18" s="1339">
        <f t="shared" si="6"/>
        <v>0.89008008403243766</v>
      </c>
      <c r="AF18" s="1329">
        <v>0</v>
      </c>
      <c r="AG18" s="1329">
        <v>0</v>
      </c>
      <c r="AH18" s="1342">
        <v>1012</v>
      </c>
      <c r="AI18" s="1343"/>
      <c r="AJ18" s="1344">
        <f t="shared" si="14"/>
        <v>23073.20472440945</v>
      </c>
      <c r="AK18" s="1344">
        <f t="shared" si="7"/>
        <v>4862</v>
      </c>
      <c r="AL18" s="1344">
        <f t="shared" si="8"/>
        <v>18211.20472440945</v>
      </c>
      <c r="AM18" s="1345">
        <f t="shared" si="9"/>
        <v>0</v>
      </c>
      <c r="AN18" s="1345">
        <f t="shared" si="10"/>
        <v>1403.2047244094488</v>
      </c>
      <c r="AO18" s="1345">
        <f t="shared" si="15"/>
        <v>1403.2047244094488</v>
      </c>
      <c r="AP18" s="1346" t="e">
        <f>+AO18-#REF!</f>
        <v>#REF!</v>
      </c>
      <c r="AQ18" s="1347">
        <f t="shared" si="11"/>
        <v>23073.20472440945</v>
      </c>
      <c r="AS18" s="1345">
        <v>20.100000000000001</v>
      </c>
    </row>
    <row r="19" spans="2:45" s="804" customFormat="1" ht="39" customHeight="1" thickBot="1" x14ac:dyDescent="0.6">
      <c r="B19" s="850">
        <v>45516</v>
      </c>
      <c r="C19" s="850" t="s">
        <v>224</v>
      </c>
      <c r="D19" s="1274">
        <v>50000</v>
      </c>
      <c r="E19" s="1307">
        <f t="shared" si="16"/>
        <v>550000</v>
      </c>
      <c r="F19" s="1008">
        <v>19998</v>
      </c>
      <c r="G19" s="1308">
        <v>5</v>
      </c>
      <c r="H19" s="1309" t="s">
        <v>118</v>
      </c>
      <c r="I19" s="1008">
        <v>20988</v>
      </c>
      <c r="J19" s="1310">
        <v>5</v>
      </c>
      <c r="K19" s="1309" t="s">
        <v>118</v>
      </c>
      <c r="L19" s="876">
        <f t="shared" si="17"/>
        <v>40986</v>
      </c>
      <c r="M19" s="1359">
        <f t="shared" si="0"/>
        <v>0.81972</v>
      </c>
      <c r="N19" s="1311">
        <f t="shared" si="12"/>
        <v>-9014</v>
      </c>
      <c r="O19" s="1018">
        <v>3800</v>
      </c>
      <c r="P19" s="876">
        <f t="shared" si="20"/>
        <v>41800</v>
      </c>
      <c r="Q19" s="1353">
        <v>1830.65</v>
      </c>
      <c r="R19" s="1353">
        <v>1805.99</v>
      </c>
      <c r="S19" s="1353">
        <f t="shared" si="19"/>
        <v>3636.6400000000003</v>
      </c>
      <c r="T19" s="1359">
        <f t="shared" si="1"/>
        <v>0.95701052631578953</v>
      </c>
      <c r="U19" s="1312">
        <f t="shared" si="2"/>
        <v>-163.35999999999967</v>
      </c>
      <c r="V19" s="1356">
        <v>58946.47</v>
      </c>
      <c r="W19" s="1383">
        <v>18863.5</v>
      </c>
      <c r="X19" s="1383">
        <v>15357.5</v>
      </c>
      <c r="Y19" s="1360">
        <f t="shared" si="13"/>
        <v>34221</v>
      </c>
      <c r="Z19" s="857">
        <v>12</v>
      </c>
      <c r="AA19" s="1357">
        <f t="shared" si="3"/>
        <v>11.270293457697214</v>
      </c>
      <c r="AB19" s="1359">
        <f t="shared" si="18"/>
        <v>0.9391911214747678</v>
      </c>
      <c r="AC19" s="1356">
        <f t="shared" si="4"/>
        <v>0.87984972148268825</v>
      </c>
      <c r="AD19" s="1356">
        <f t="shared" si="5"/>
        <v>0.68529553859262315</v>
      </c>
      <c r="AE19" s="1356">
        <f t="shared" si="6"/>
        <v>0.78041945911623978</v>
      </c>
      <c r="AF19" s="1329">
        <v>0</v>
      </c>
      <c r="AG19" s="1329">
        <v>0</v>
      </c>
      <c r="AH19" s="1314">
        <v>446</v>
      </c>
      <c r="AI19" s="1355"/>
      <c r="AJ19" s="806">
        <f t="shared" si="14"/>
        <v>43849.496062992126</v>
      </c>
      <c r="AK19" s="806">
        <f t="shared" si="7"/>
        <v>21439.456692913387</v>
      </c>
      <c r="AL19" s="806">
        <f t="shared" si="8"/>
        <v>22410.039370078739</v>
      </c>
      <c r="AM19" s="804">
        <f t="shared" si="9"/>
        <v>1441.456692913386</v>
      </c>
      <c r="AN19" s="804">
        <f t="shared" si="10"/>
        <v>1422.0393700787401</v>
      </c>
      <c r="AO19" s="804">
        <f t="shared" si="15"/>
        <v>2863.4960629921261</v>
      </c>
      <c r="AP19" s="807" t="e">
        <f>+AO19-#REF!</f>
        <v>#REF!</v>
      </c>
      <c r="AQ19" s="1354">
        <f t="shared" si="11"/>
        <v>43849.496062992126</v>
      </c>
      <c r="AS19" s="804">
        <v>19.760000000000002</v>
      </c>
    </row>
    <row r="20" spans="2:45" s="1259" customFormat="1" ht="39" hidden="1" customHeight="1" x14ac:dyDescent="0.55000000000000004">
      <c r="B20" s="1286">
        <v>45517</v>
      </c>
      <c r="C20" s="1297" t="s">
        <v>224</v>
      </c>
      <c r="D20" s="1287">
        <v>50000</v>
      </c>
      <c r="E20" s="1298">
        <f t="shared" si="16"/>
        <v>600000</v>
      </c>
      <c r="F20" s="1106"/>
      <c r="G20" s="1291"/>
      <c r="H20" s="1292" t="s">
        <v>118</v>
      </c>
      <c r="I20" s="1106"/>
      <c r="J20" s="1293"/>
      <c r="K20" s="1292" t="s">
        <v>118</v>
      </c>
      <c r="L20" s="1113">
        <f t="shared" si="17"/>
        <v>0</v>
      </c>
      <c r="M20" s="1110">
        <f t="shared" si="0"/>
        <v>0</v>
      </c>
      <c r="N20" s="1111">
        <f t="shared" si="12"/>
        <v>-50000</v>
      </c>
      <c r="O20" s="1288">
        <v>3800</v>
      </c>
      <c r="P20" s="1113">
        <f t="shared" si="20"/>
        <v>45600</v>
      </c>
      <c r="Q20" s="1294"/>
      <c r="R20" s="1294"/>
      <c r="S20" s="1294">
        <f>+R20+Q20</f>
        <v>0</v>
      </c>
      <c r="T20" s="1110">
        <f t="shared" si="1"/>
        <v>0</v>
      </c>
      <c r="U20" s="1295">
        <f t="shared" si="2"/>
        <v>-3800</v>
      </c>
      <c r="V20" s="1289"/>
      <c r="W20" s="1377"/>
      <c r="X20" s="1377"/>
      <c r="Y20" s="1299">
        <f>W20+X20</f>
        <v>0</v>
      </c>
      <c r="Z20" s="1300">
        <v>12</v>
      </c>
      <c r="AA20" s="1115">
        <f t="shared" si="3"/>
        <v>0</v>
      </c>
      <c r="AB20" s="1110">
        <f t="shared" si="18"/>
        <v>0</v>
      </c>
      <c r="AC20" s="1116" t="e">
        <f t="shared" si="4"/>
        <v>#DIV/0!</v>
      </c>
      <c r="AD20" s="1116" t="e">
        <f t="shared" si="5"/>
        <v>#DIV/0!</v>
      </c>
      <c r="AE20" s="1116" t="e">
        <f t="shared" si="6"/>
        <v>#DIV/0!</v>
      </c>
      <c r="AF20" s="1296"/>
      <c r="AG20" s="1290"/>
      <c r="AH20" s="1264">
        <v>20</v>
      </c>
      <c r="AI20" s="1301"/>
      <c r="AJ20" s="1266">
        <f t="shared" si="14"/>
        <v>0</v>
      </c>
      <c r="AK20" s="1266">
        <f t="shared" si="7"/>
        <v>0</v>
      </c>
      <c r="AL20" s="1266">
        <f t="shared" si="8"/>
        <v>0</v>
      </c>
      <c r="AM20" s="1259">
        <f t="shared" si="9"/>
        <v>0</v>
      </c>
      <c r="AN20" s="1259">
        <f t="shared" si="10"/>
        <v>0</v>
      </c>
      <c r="AO20" s="1259">
        <f t="shared" si="15"/>
        <v>0</v>
      </c>
      <c r="AP20" s="1267" t="e">
        <f>+AO20-#REF!</f>
        <v>#REF!</v>
      </c>
      <c r="AQ20" s="1268">
        <f t="shared" si="11"/>
        <v>0</v>
      </c>
      <c r="AS20" s="1259">
        <v>20.059999999999999</v>
      </c>
    </row>
    <row r="21" spans="2:45" s="1259" customFormat="1" ht="39" hidden="1" customHeight="1" x14ac:dyDescent="0.55000000000000004">
      <c r="B21" s="1286">
        <v>45518</v>
      </c>
      <c r="C21" s="1297" t="s">
        <v>224</v>
      </c>
      <c r="D21" s="1287">
        <v>50000</v>
      </c>
      <c r="E21" s="1298">
        <f t="shared" si="16"/>
        <v>650000</v>
      </c>
      <c r="F21" s="1106"/>
      <c r="G21" s="1291"/>
      <c r="H21" s="1292" t="s">
        <v>118</v>
      </c>
      <c r="I21" s="1106"/>
      <c r="J21" s="1293"/>
      <c r="K21" s="1292" t="s">
        <v>118</v>
      </c>
      <c r="L21" s="1113">
        <f t="shared" si="17"/>
        <v>0</v>
      </c>
      <c r="M21" s="1110">
        <f t="shared" si="0"/>
        <v>0</v>
      </c>
      <c r="N21" s="1111">
        <f t="shared" si="12"/>
        <v>-50000</v>
      </c>
      <c r="O21" s="1288">
        <v>3800</v>
      </c>
      <c r="P21" s="1113">
        <f t="shared" si="20"/>
        <v>49400</v>
      </c>
      <c r="Q21" s="1294"/>
      <c r="R21" s="1294"/>
      <c r="S21" s="1294">
        <f t="shared" si="19"/>
        <v>0</v>
      </c>
      <c r="T21" s="1110">
        <f t="shared" si="1"/>
        <v>0</v>
      </c>
      <c r="U21" s="1295">
        <f t="shared" si="2"/>
        <v>-3800</v>
      </c>
      <c r="V21" s="1116"/>
      <c r="W21" s="1377"/>
      <c r="X21" s="1377"/>
      <c r="Y21" s="1299">
        <f>W21+X21</f>
        <v>0</v>
      </c>
      <c r="Z21" s="1300">
        <v>12</v>
      </c>
      <c r="AA21" s="1115">
        <f t="shared" si="3"/>
        <v>0</v>
      </c>
      <c r="AB21" s="1110">
        <f t="shared" si="18"/>
        <v>0</v>
      </c>
      <c r="AC21" s="1116" t="e">
        <f t="shared" si="4"/>
        <v>#DIV/0!</v>
      </c>
      <c r="AD21" s="1116" t="e">
        <f t="shared" si="5"/>
        <v>#DIV/0!</v>
      </c>
      <c r="AE21" s="1116" t="e">
        <f t="shared" si="6"/>
        <v>#DIV/0!</v>
      </c>
      <c r="AF21" s="1290"/>
      <c r="AG21" s="1290"/>
      <c r="AH21" s="1264">
        <v>0</v>
      </c>
      <c r="AI21" s="1301"/>
      <c r="AJ21" s="1266">
        <f t="shared" si="14"/>
        <v>0</v>
      </c>
      <c r="AK21" s="1266">
        <f t="shared" si="7"/>
        <v>0</v>
      </c>
      <c r="AL21" s="1266">
        <f t="shared" si="8"/>
        <v>0</v>
      </c>
      <c r="AM21" s="1259">
        <f t="shared" si="9"/>
        <v>0</v>
      </c>
      <c r="AN21" s="1259">
        <f t="shared" si="10"/>
        <v>0</v>
      </c>
      <c r="AO21" s="1259">
        <f t="shared" si="15"/>
        <v>0</v>
      </c>
      <c r="AP21" s="1267" t="e">
        <f>+AO21-#REF!</f>
        <v>#REF!</v>
      </c>
      <c r="AQ21" s="1268">
        <f t="shared" si="11"/>
        <v>0</v>
      </c>
      <c r="AS21" s="1259">
        <v>20.97</v>
      </c>
    </row>
    <row r="22" spans="2:45" s="1259" customFormat="1" ht="39" hidden="1" customHeight="1" x14ac:dyDescent="0.55000000000000004">
      <c r="B22" s="1286">
        <v>45519</v>
      </c>
      <c r="C22" s="1297" t="s">
        <v>224</v>
      </c>
      <c r="D22" s="1287">
        <v>50000</v>
      </c>
      <c r="E22" s="1298">
        <f t="shared" si="16"/>
        <v>700000</v>
      </c>
      <c r="F22" s="1106"/>
      <c r="G22" s="1291"/>
      <c r="H22" s="1292" t="s">
        <v>118</v>
      </c>
      <c r="I22" s="1106"/>
      <c r="J22" s="1293"/>
      <c r="K22" s="1292" t="s">
        <v>118</v>
      </c>
      <c r="L22" s="1113">
        <f>+F22+I22</f>
        <v>0</v>
      </c>
      <c r="M22" s="1110">
        <f t="shared" si="0"/>
        <v>0</v>
      </c>
      <c r="N22" s="1111">
        <f t="shared" si="12"/>
        <v>-50000</v>
      </c>
      <c r="O22" s="1288">
        <v>3800</v>
      </c>
      <c r="P22" s="1113">
        <f t="shared" si="20"/>
        <v>53200</v>
      </c>
      <c r="Q22" s="1294"/>
      <c r="R22" s="1294"/>
      <c r="S22" s="1294">
        <f t="shared" si="19"/>
        <v>0</v>
      </c>
      <c r="T22" s="1110">
        <f t="shared" si="1"/>
        <v>0</v>
      </c>
      <c r="U22" s="1295">
        <f t="shared" si="2"/>
        <v>-3800</v>
      </c>
      <c r="V22" s="1116"/>
      <c r="W22" s="1377"/>
      <c r="X22" s="1377"/>
      <c r="Y22" s="1299">
        <f>W22+X22</f>
        <v>0</v>
      </c>
      <c r="Z22" s="1300">
        <v>12</v>
      </c>
      <c r="AA22" s="1115">
        <f t="shared" si="3"/>
        <v>0</v>
      </c>
      <c r="AB22" s="1110">
        <f t="shared" si="18"/>
        <v>0</v>
      </c>
      <c r="AC22" s="1116" t="e">
        <f t="shared" si="4"/>
        <v>#DIV/0!</v>
      </c>
      <c r="AD22" s="1116" t="e">
        <f t="shared" si="5"/>
        <v>#DIV/0!</v>
      </c>
      <c r="AE22" s="1116" t="e">
        <f t="shared" si="6"/>
        <v>#DIV/0!</v>
      </c>
      <c r="AF22" s="1290"/>
      <c r="AG22" s="1290"/>
      <c r="AH22" s="1264">
        <v>871</v>
      </c>
      <c r="AI22" s="1301"/>
      <c r="AJ22" s="1266">
        <f t="shared" si="14"/>
        <v>0</v>
      </c>
      <c r="AK22" s="1266">
        <f t="shared" si="7"/>
        <v>0</v>
      </c>
      <c r="AL22" s="1266">
        <f t="shared" si="8"/>
        <v>0</v>
      </c>
      <c r="AM22" s="1259">
        <f t="shared" si="9"/>
        <v>0</v>
      </c>
      <c r="AN22" s="1259">
        <f t="shared" si="10"/>
        <v>0</v>
      </c>
      <c r="AO22" s="1259">
        <f t="shared" si="15"/>
        <v>0</v>
      </c>
      <c r="AP22" s="1267" t="e">
        <f>+AO22-#REF!</f>
        <v>#REF!</v>
      </c>
      <c r="AQ22" s="1268">
        <f t="shared" si="11"/>
        <v>0</v>
      </c>
      <c r="AS22" s="1259">
        <v>19.559999999999999</v>
      </c>
    </row>
    <row r="23" spans="2:45" s="1259" customFormat="1" ht="39" hidden="1" customHeight="1" x14ac:dyDescent="0.55000000000000004">
      <c r="B23" s="1286">
        <v>45520</v>
      </c>
      <c r="C23" s="1297" t="s">
        <v>224</v>
      </c>
      <c r="D23" s="1287">
        <v>50000</v>
      </c>
      <c r="E23" s="1298">
        <f t="shared" si="16"/>
        <v>750000</v>
      </c>
      <c r="F23" s="1106"/>
      <c r="G23" s="1291"/>
      <c r="H23" s="1292" t="s">
        <v>118</v>
      </c>
      <c r="I23" s="1106"/>
      <c r="J23" s="1293"/>
      <c r="K23" s="1292" t="s">
        <v>118</v>
      </c>
      <c r="L23" s="1113">
        <f t="shared" si="17"/>
        <v>0</v>
      </c>
      <c r="M23" s="1110">
        <f t="shared" si="0"/>
        <v>0</v>
      </c>
      <c r="N23" s="1111">
        <f t="shared" si="12"/>
        <v>-50000</v>
      </c>
      <c r="O23" s="1288">
        <v>3800</v>
      </c>
      <c r="P23" s="1113">
        <f t="shared" si="20"/>
        <v>57000</v>
      </c>
      <c r="Q23" s="1294"/>
      <c r="R23" s="1294"/>
      <c r="S23" s="1294">
        <f t="shared" si="19"/>
        <v>0</v>
      </c>
      <c r="T23" s="1110">
        <f t="shared" si="1"/>
        <v>0</v>
      </c>
      <c r="U23" s="1295">
        <f t="shared" si="2"/>
        <v>-3800</v>
      </c>
      <c r="V23" s="1116"/>
      <c r="W23" s="1378"/>
      <c r="X23" s="1378"/>
      <c r="Y23" s="1299">
        <f t="shared" si="13"/>
        <v>0</v>
      </c>
      <c r="Z23" s="1300">
        <v>12</v>
      </c>
      <c r="AA23" s="1115">
        <f t="shared" si="3"/>
        <v>0</v>
      </c>
      <c r="AB23" s="1110">
        <f t="shared" si="18"/>
        <v>0</v>
      </c>
      <c r="AC23" s="1116" t="e">
        <f t="shared" si="4"/>
        <v>#DIV/0!</v>
      </c>
      <c r="AD23" s="1116" t="e">
        <f t="shared" si="5"/>
        <v>#DIV/0!</v>
      </c>
      <c r="AE23" s="1116" t="e">
        <f t="shared" si="6"/>
        <v>#DIV/0!</v>
      </c>
      <c r="AF23" s="1290"/>
      <c r="AG23" s="1290"/>
      <c r="AH23" s="1264">
        <f>+'[2]Daily All PIT'!$AF$23</f>
        <v>366</v>
      </c>
      <c r="AI23" s="1301"/>
      <c r="AJ23" s="1266">
        <f t="shared" si="14"/>
        <v>0</v>
      </c>
      <c r="AK23" s="1266">
        <f t="shared" si="7"/>
        <v>0</v>
      </c>
      <c r="AL23" s="1266">
        <f t="shared" si="8"/>
        <v>0</v>
      </c>
      <c r="AM23" s="1259">
        <f t="shared" si="9"/>
        <v>0</v>
      </c>
      <c r="AN23" s="1259">
        <f t="shared" si="10"/>
        <v>0</v>
      </c>
      <c r="AO23" s="1259">
        <f t="shared" si="15"/>
        <v>0</v>
      </c>
      <c r="AP23" s="1267" t="e">
        <f>+AO23-#REF!</f>
        <v>#REF!</v>
      </c>
      <c r="AQ23" s="1268">
        <f t="shared" si="11"/>
        <v>0</v>
      </c>
      <c r="AS23" s="1259">
        <v>22.16</v>
      </c>
    </row>
    <row r="24" spans="2:45" s="1259" customFormat="1" ht="39" hidden="1" customHeight="1" x14ac:dyDescent="0.55000000000000004">
      <c r="B24" s="1286">
        <v>45521</v>
      </c>
      <c r="C24" s="1297" t="s">
        <v>224</v>
      </c>
      <c r="D24" s="1287">
        <v>50000</v>
      </c>
      <c r="E24" s="1298">
        <f t="shared" si="16"/>
        <v>800000</v>
      </c>
      <c r="F24" s="1106"/>
      <c r="G24" s="1291"/>
      <c r="H24" s="1292" t="s">
        <v>118</v>
      </c>
      <c r="I24" s="1106"/>
      <c r="J24" s="1293"/>
      <c r="K24" s="1292" t="s">
        <v>118</v>
      </c>
      <c r="L24" s="1113">
        <f t="shared" si="17"/>
        <v>0</v>
      </c>
      <c r="M24" s="1110">
        <f t="shared" si="0"/>
        <v>0</v>
      </c>
      <c r="N24" s="1111">
        <f t="shared" si="12"/>
        <v>-50000</v>
      </c>
      <c r="O24" s="1288">
        <v>3800</v>
      </c>
      <c r="P24" s="1113">
        <f t="shared" si="20"/>
        <v>60800</v>
      </c>
      <c r="Q24" s="1294"/>
      <c r="R24" s="1294"/>
      <c r="S24" s="1294">
        <f t="shared" si="19"/>
        <v>0</v>
      </c>
      <c r="T24" s="1110">
        <f t="shared" si="1"/>
        <v>0</v>
      </c>
      <c r="U24" s="1295">
        <f t="shared" si="2"/>
        <v>-3800</v>
      </c>
      <c r="V24" s="1116"/>
      <c r="W24" s="1378"/>
      <c r="X24" s="1378"/>
      <c r="Y24" s="1299">
        <f>+W24+X24</f>
        <v>0</v>
      </c>
      <c r="Z24" s="1300">
        <v>12</v>
      </c>
      <c r="AA24" s="1115">
        <f t="shared" si="3"/>
        <v>0</v>
      </c>
      <c r="AB24" s="1110">
        <f t="shared" si="18"/>
        <v>0</v>
      </c>
      <c r="AC24" s="1116" t="e">
        <f t="shared" si="4"/>
        <v>#DIV/0!</v>
      </c>
      <c r="AD24" s="1116" t="e">
        <f t="shared" si="5"/>
        <v>#DIV/0!</v>
      </c>
      <c r="AE24" s="1116" t="e">
        <f t="shared" si="6"/>
        <v>#DIV/0!</v>
      </c>
      <c r="AF24" s="1290"/>
      <c r="AG24" s="1290"/>
      <c r="AH24" s="1264">
        <v>900</v>
      </c>
      <c r="AI24" s="1301"/>
      <c r="AJ24" s="1266">
        <f t="shared" si="14"/>
        <v>0</v>
      </c>
      <c r="AK24" s="1266">
        <f t="shared" si="7"/>
        <v>0</v>
      </c>
      <c r="AL24" s="1266">
        <f t="shared" si="8"/>
        <v>0</v>
      </c>
      <c r="AM24" s="1259">
        <f t="shared" si="9"/>
        <v>0</v>
      </c>
      <c r="AN24" s="1259">
        <f t="shared" si="10"/>
        <v>0</v>
      </c>
      <c r="AO24" s="1259">
        <f t="shared" si="15"/>
        <v>0</v>
      </c>
      <c r="AP24" s="1267" t="e">
        <f>+AO24-#REF!</f>
        <v>#REF!</v>
      </c>
      <c r="AQ24" s="1268">
        <f t="shared" si="11"/>
        <v>0</v>
      </c>
      <c r="AS24" s="1259">
        <v>21.71</v>
      </c>
    </row>
    <row r="25" spans="2:45" s="1259" customFormat="1" ht="39" hidden="1" customHeight="1" x14ac:dyDescent="0.55000000000000004">
      <c r="B25" s="1286">
        <v>45522</v>
      </c>
      <c r="C25" s="1297" t="s">
        <v>224</v>
      </c>
      <c r="D25" s="1287">
        <f>50000/2</f>
        <v>25000</v>
      </c>
      <c r="E25" s="1298">
        <f t="shared" si="16"/>
        <v>825000</v>
      </c>
      <c r="F25" s="1106"/>
      <c r="G25" s="1291"/>
      <c r="H25" s="1292" t="s">
        <v>118</v>
      </c>
      <c r="I25" s="1106"/>
      <c r="J25" s="1293"/>
      <c r="K25" s="1292" t="s">
        <v>118</v>
      </c>
      <c r="L25" s="1113">
        <f>+F25+I25</f>
        <v>0</v>
      </c>
      <c r="M25" s="1110">
        <f t="shared" si="0"/>
        <v>0</v>
      </c>
      <c r="N25" s="1111">
        <f t="shared" si="12"/>
        <v>-25000</v>
      </c>
      <c r="O25" s="1288">
        <f>3800/2</f>
        <v>1900</v>
      </c>
      <c r="P25" s="1113">
        <f t="shared" si="20"/>
        <v>62700</v>
      </c>
      <c r="Q25" s="1294"/>
      <c r="R25" s="1294"/>
      <c r="S25" s="1294">
        <f>+R25+Q25</f>
        <v>0</v>
      </c>
      <c r="T25" s="1110">
        <f t="shared" si="1"/>
        <v>0</v>
      </c>
      <c r="U25" s="1295">
        <f t="shared" si="2"/>
        <v>-1900</v>
      </c>
      <c r="V25" s="1116"/>
      <c r="W25" s="1378"/>
      <c r="X25" s="1378"/>
      <c r="Y25" s="1299">
        <f t="shared" si="13"/>
        <v>0</v>
      </c>
      <c r="Z25" s="1300">
        <v>12</v>
      </c>
      <c r="AA25" s="1115">
        <f t="shared" si="3"/>
        <v>0</v>
      </c>
      <c r="AB25" s="1110">
        <f t="shared" si="18"/>
        <v>0</v>
      </c>
      <c r="AC25" s="1116" t="e">
        <f t="shared" si="4"/>
        <v>#DIV/0!</v>
      </c>
      <c r="AD25" s="1116" t="e">
        <f t="shared" si="5"/>
        <v>#DIV/0!</v>
      </c>
      <c r="AE25" s="1116" t="e">
        <f t="shared" si="6"/>
        <v>#DIV/0!</v>
      </c>
      <c r="AF25" s="1290"/>
      <c r="AG25" s="1290"/>
      <c r="AH25" s="1264">
        <v>275</v>
      </c>
      <c r="AI25" s="1301"/>
      <c r="AJ25" s="1266">
        <f t="shared" si="14"/>
        <v>0</v>
      </c>
      <c r="AK25" s="1266">
        <f t="shared" si="7"/>
        <v>0</v>
      </c>
      <c r="AL25" s="1266">
        <f t="shared" si="8"/>
        <v>0</v>
      </c>
      <c r="AM25" s="1259">
        <f t="shared" si="9"/>
        <v>0</v>
      </c>
      <c r="AN25" s="1259">
        <f t="shared" si="10"/>
        <v>0</v>
      </c>
      <c r="AO25" s="1259">
        <f t="shared" si="15"/>
        <v>0</v>
      </c>
      <c r="AP25" s="1267" t="e">
        <f>+AO25-#REF!</f>
        <v>#REF!</v>
      </c>
      <c r="AQ25" s="1268">
        <f t="shared" si="11"/>
        <v>0</v>
      </c>
      <c r="AS25" s="1259">
        <v>22.24</v>
      </c>
    </row>
    <row r="26" spans="2:45" s="1259" customFormat="1" ht="39" hidden="1" customHeight="1" x14ac:dyDescent="0.55000000000000004">
      <c r="B26" s="1286">
        <v>45523</v>
      </c>
      <c r="C26" s="1297" t="s">
        <v>224</v>
      </c>
      <c r="D26" s="1287">
        <v>50000</v>
      </c>
      <c r="E26" s="1298">
        <f t="shared" si="16"/>
        <v>875000</v>
      </c>
      <c r="F26" s="1106"/>
      <c r="G26" s="1291"/>
      <c r="H26" s="1292" t="s">
        <v>118</v>
      </c>
      <c r="I26" s="1106"/>
      <c r="J26" s="1293"/>
      <c r="K26" s="1292" t="s">
        <v>118</v>
      </c>
      <c r="L26" s="1113">
        <f>+F26+I26</f>
        <v>0</v>
      </c>
      <c r="M26" s="1110">
        <f t="shared" si="0"/>
        <v>0</v>
      </c>
      <c r="N26" s="1111">
        <f t="shared" si="12"/>
        <v>-50000</v>
      </c>
      <c r="O26" s="1288">
        <v>3800</v>
      </c>
      <c r="P26" s="1113">
        <f t="shared" si="20"/>
        <v>66500</v>
      </c>
      <c r="Q26" s="1294"/>
      <c r="R26" s="1294"/>
      <c r="S26" s="1294">
        <f>+R26+Q26</f>
        <v>0</v>
      </c>
      <c r="T26" s="1110">
        <f t="shared" si="1"/>
        <v>0</v>
      </c>
      <c r="U26" s="1295">
        <f t="shared" si="2"/>
        <v>-3800</v>
      </c>
      <c r="V26" s="1116"/>
      <c r="W26" s="1378"/>
      <c r="X26" s="1378"/>
      <c r="Y26" s="1299">
        <f t="shared" si="13"/>
        <v>0</v>
      </c>
      <c r="Z26" s="1300">
        <v>12</v>
      </c>
      <c r="AA26" s="1115">
        <f t="shared" si="3"/>
        <v>0</v>
      </c>
      <c r="AB26" s="1110"/>
      <c r="AC26" s="1116" t="e">
        <f t="shared" si="4"/>
        <v>#DIV/0!</v>
      </c>
      <c r="AD26" s="1116" t="e">
        <f t="shared" si="5"/>
        <v>#DIV/0!</v>
      </c>
      <c r="AE26" s="1116" t="e">
        <f t="shared" si="6"/>
        <v>#DIV/0!</v>
      </c>
      <c r="AF26" s="1290"/>
      <c r="AG26" s="1290"/>
      <c r="AH26" s="1264"/>
      <c r="AI26" s="1301"/>
      <c r="AJ26" s="1266">
        <f t="shared" si="14"/>
        <v>0</v>
      </c>
      <c r="AK26" s="1266">
        <f t="shared" si="7"/>
        <v>0</v>
      </c>
      <c r="AL26" s="1266">
        <f t="shared" si="8"/>
        <v>0</v>
      </c>
      <c r="AM26" s="1259">
        <f t="shared" si="9"/>
        <v>0</v>
      </c>
      <c r="AN26" s="1259">
        <f t="shared" si="10"/>
        <v>0</v>
      </c>
      <c r="AO26" s="1259">
        <f t="shared" si="15"/>
        <v>0</v>
      </c>
      <c r="AP26" s="1267" t="e">
        <f>+AO26-#REF!</f>
        <v>#REF!</v>
      </c>
      <c r="AQ26" s="1268">
        <f t="shared" si="11"/>
        <v>0</v>
      </c>
      <c r="AS26" s="1259">
        <v>21.9</v>
      </c>
    </row>
    <row r="27" spans="2:45" s="1259" customFormat="1" ht="39" hidden="1" customHeight="1" x14ac:dyDescent="0.55000000000000004">
      <c r="B27" s="1286">
        <v>45524</v>
      </c>
      <c r="C27" s="1297" t="s">
        <v>224</v>
      </c>
      <c r="D27" s="1287">
        <v>50000</v>
      </c>
      <c r="E27" s="1298">
        <f t="shared" si="16"/>
        <v>925000</v>
      </c>
      <c r="F27" s="1106"/>
      <c r="G27" s="1291"/>
      <c r="H27" s="1292" t="s">
        <v>118</v>
      </c>
      <c r="I27" s="1106"/>
      <c r="J27" s="1293"/>
      <c r="K27" s="1292" t="s">
        <v>118</v>
      </c>
      <c r="L27" s="1113">
        <f t="shared" si="17"/>
        <v>0</v>
      </c>
      <c r="M27" s="1110">
        <f t="shared" si="0"/>
        <v>0</v>
      </c>
      <c r="N27" s="1111">
        <f t="shared" si="12"/>
        <v>-50000</v>
      </c>
      <c r="O27" s="1288">
        <v>3800</v>
      </c>
      <c r="P27" s="1113">
        <f t="shared" si="20"/>
        <v>70300</v>
      </c>
      <c r="Q27" s="1294"/>
      <c r="R27" s="1294"/>
      <c r="S27" s="1294">
        <f t="shared" si="19"/>
        <v>0</v>
      </c>
      <c r="T27" s="1110">
        <f t="shared" si="1"/>
        <v>0</v>
      </c>
      <c r="U27" s="1295">
        <f t="shared" si="2"/>
        <v>-3800</v>
      </c>
      <c r="V27" s="1116"/>
      <c r="W27" s="1378"/>
      <c r="X27" s="1378"/>
      <c r="Y27" s="1299">
        <f t="shared" si="13"/>
        <v>0</v>
      </c>
      <c r="Z27" s="1300">
        <v>12</v>
      </c>
      <c r="AA27" s="1115">
        <f t="shared" si="3"/>
        <v>0</v>
      </c>
      <c r="AB27" s="1110">
        <f t="shared" si="18"/>
        <v>0</v>
      </c>
      <c r="AC27" s="1116" t="e">
        <f t="shared" si="4"/>
        <v>#DIV/0!</v>
      </c>
      <c r="AD27" s="1116" t="e">
        <f t="shared" si="5"/>
        <v>#DIV/0!</v>
      </c>
      <c r="AE27" s="1116" t="e">
        <f t="shared" si="6"/>
        <v>#DIV/0!</v>
      </c>
      <c r="AF27" s="1290"/>
      <c r="AG27" s="1290"/>
      <c r="AH27" s="1264"/>
      <c r="AI27" s="1301"/>
      <c r="AJ27" s="1266">
        <f t="shared" si="14"/>
        <v>0</v>
      </c>
      <c r="AK27" s="1266">
        <f t="shared" si="7"/>
        <v>0</v>
      </c>
      <c r="AL27" s="1266">
        <f t="shared" si="8"/>
        <v>0</v>
      </c>
      <c r="AM27" s="1259">
        <f t="shared" si="9"/>
        <v>0</v>
      </c>
      <c r="AN27" s="1259">
        <f t="shared" si="10"/>
        <v>0</v>
      </c>
      <c r="AO27" s="1259">
        <f t="shared" si="15"/>
        <v>0</v>
      </c>
      <c r="AP27" s="1267" t="e">
        <f>+AO27-#REF!</f>
        <v>#REF!</v>
      </c>
      <c r="AQ27" s="1268">
        <f t="shared" si="11"/>
        <v>0</v>
      </c>
      <c r="AS27" s="1259">
        <f>34.75-13.11</f>
        <v>21.64</v>
      </c>
    </row>
    <row r="28" spans="2:45" s="1259" customFormat="1" ht="39" hidden="1" customHeight="1" x14ac:dyDescent="0.55000000000000004">
      <c r="B28" s="1286">
        <v>45525</v>
      </c>
      <c r="C28" s="1297" t="s">
        <v>224</v>
      </c>
      <c r="D28" s="1287">
        <v>50000</v>
      </c>
      <c r="E28" s="1298">
        <f t="shared" si="16"/>
        <v>975000</v>
      </c>
      <c r="F28" s="1106"/>
      <c r="G28" s="1291"/>
      <c r="H28" s="1292" t="s">
        <v>118</v>
      </c>
      <c r="I28" s="1106"/>
      <c r="J28" s="1291"/>
      <c r="K28" s="1292" t="s">
        <v>118</v>
      </c>
      <c r="L28" s="1113">
        <f>+F28+I28</f>
        <v>0</v>
      </c>
      <c r="M28" s="1110">
        <f t="shared" si="0"/>
        <v>0</v>
      </c>
      <c r="N28" s="1111">
        <f t="shared" si="12"/>
        <v>-50000</v>
      </c>
      <c r="O28" s="1288">
        <v>3800</v>
      </c>
      <c r="P28" s="1113">
        <f t="shared" si="20"/>
        <v>74100</v>
      </c>
      <c r="Q28" s="1294"/>
      <c r="R28" s="1294"/>
      <c r="S28" s="1294">
        <f t="shared" si="19"/>
        <v>0</v>
      </c>
      <c r="T28" s="1110">
        <f t="shared" si="1"/>
        <v>0</v>
      </c>
      <c r="U28" s="1295">
        <f t="shared" si="2"/>
        <v>-3800</v>
      </c>
      <c r="V28" s="1116"/>
      <c r="W28" s="1379"/>
      <c r="X28" s="1379"/>
      <c r="Y28" s="1299">
        <f t="shared" si="13"/>
        <v>0</v>
      </c>
      <c r="Z28" s="1300">
        <v>12</v>
      </c>
      <c r="AA28" s="1115">
        <f t="shared" si="3"/>
        <v>0</v>
      </c>
      <c r="AB28" s="1110">
        <f t="shared" si="18"/>
        <v>0</v>
      </c>
      <c r="AC28" s="1116" t="e">
        <f t="shared" si="4"/>
        <v>#DIV/0!</v>
      </c>
      <c r="AD28" s="1116" t="e">
        <f t="shared" si="5"/>
        <v>#DIV/0!</v>
      </c>
      <c r="AE28" s="1116" t="e">
        <f t="shared" si="6"/>
        <v>#DIV/0!</v>
      </c>
      <c r="AF28" s="1290"/>
      <c r="AG28" s="1290"/>
      <c r="AH28" s="1264"/>
      <c r="AI28" s="1301"/>
      <c r="AJ28" s="1266">
        <f t="shared" si="14"/>
        <v>0</v>
      </c>
      <c r="AK28" s="1266">
        <f t="shared" si="7"/>
        <v>0</v>
      </c>
      <c r="AL28" s="1266">
        <f t="shared" si="8"/>
        <v>0</v>
      </c>
      <c r="AM28" s="1259">
        <f t="shared" si="9"/>
        <v>0</v>
      </c>
      <c r="AN28" s="1259">
        <f t="shared" si="10"/>
        <v>0</v>
      </c>
      <c r="AO28" s="1259">
        <f t="shared" si="15"/>
        <v>0</v>
      </c>
      <c r="AP28" s="1267" t="e">
        <f>+AO28-#REF!</f>
        <v>#REF!</v>
      </c>
      <c r="AQ28" s="1268">
        <f t="shared" si="11"/>
        <v>0</v>
      </c>
      <c r="AS28" s="1259">
        <v>21</v>
      </c>
    </row>
    <row r="29" spans="2:45" s="1259" customFormat="1" ht="39" hidden="1" customHeight="1" x14ac:dyDescent="0.55000000000000004">
      <c r="B29" s="1286">
        <v>45526</v>
      </c>
      <c r="C29" s="1297" t="s">
        <v>224</v>
      </c>
      <c r="D29" s="1287">
        <v>50000</v>
      </c>
      <c r="E29" s="1298">
        <f t="shared" si="16"/>
        <v>1025000</v>
      </c>
      <c r="F29" s="1106"/>
      <c r="G29" s="1291"/>
      <c r="H29" s="1292" t="s">
        <v>118</v>
      </c>
      <c r="I29" s="1106"/>
      <c r="J29" s="1291"/>
      <c r="K29" s="1292" t="s">
        <v>118</v>
      </c>
      <c r="L29" s="1113">
        <f t="shared" si="17"/>
        <v>0</v>
      </c>
      <c r="M29" s="1110">
        <f t="shared" si="0"/>
        <v>0</v>
      </c>
      <c r="N29" s="1111">
        <f t="shared" si="12"/>
        <v>-50000</v>
      </c>
      <c r="O29" s="1288">
        <v>3800</v>
      </c>
      <c r="P29" s="1113">
        <f t="shared" si="20"/>
        <v>77900</v>
      </c>
      <c r="Q29" s="1294"/>
      <c r="R29" s="1294"/>
      <c r="S29" s="1294">
        <f t="shared" si="19"/>
        <v>0</v>
      </c>
      <c r="T29" s="1110">
        <f t="shared" si="1"/>
        <v>0</v>
      </c>
      <c r="U29" s="1295">
        <f t="shared" si="2"/>
        <v>-3800</v>
      </c>
      <c r="V29" s="1116"/>
      <c r="W29" s="1379"/>
      <c r="X29" s="1379"/>
      <c r="Y29" s="1299">
        <f t="shared" si="13"/>
        <v>0</v>
      </c>
      <c r="Z29" s="1300">
        <v>12</v>
      </c>
      <c r="AA29" s="1115">
        <f t="shared" si="3"/>
        <v>0</v>
      </c>
      <c r="AB29" s="1110">
        <f t="shared" si="18"/>
        <v>0</v>
      </c>
      <c r="AC29" s="1116" t="e">
        <f t="shared" si="4"/>
        <v>#DIV/0!</v>
      </c>
      <c r="AD29" s="1116" t="e">
        <f t="shared" si="5"/>
        <v>#DIV/0!</v>
      </c>
      <c r="AE29" s="1116" t="e">
        <f t="shared" si="6"/>
        <v>#DIV/0!</v>
      </c>
      <c r="AF29" s="1290"/>
      <c r="AG29" s="1290"/>
      <c r="AH29" s="1264"/>
      <c r="AI29" s="1301"/>
      <c r="AJ29" s="1266">
        <f t="shared" si="14"/>
        <v>0</v>
      </c>
      <c r="AK29" s="1266">
        <f t="shared" si="7"/>
        <v>0</v>
      </c>
      <c r="AL29" s="1266">
        <f t="shared" si="8"/>
        <v>0</v>
      </c>
      <c r="AM29" s="1259">
        <f t="shared" si="9"/>
        <v>0</v>
      </c>
      <c r="AN29" s="1259">
        <f t="shared" si="10"/>
        <v>0</v>
      </c>
      <c r="AO29" s="1259">
        <f t="shared" si="15"/>
        <v>0</v>
      </c>
      <c r="AP29" s="1267" t="e">
        <f>+AO29-#REF!</f>
        <v>#REF!</v>
      </c>
      <c r="AQ29" s="1268">
        <f t="shared" si="11"/>
        <v>0</v>
      </c>
      <c r="AS29" s="1259">
        <v>19.649999999999999</v>
      </c>
    </row>
    <row r="30" spans="2:45" s="1259" customFormat="1" ht="39" hidden="1" customHeight="1" x14ac:dyDescent="0.55000000000000004">
      <c r="B30" s="1286">
        <v>45527</v>
      </c>
      <c r="C30" s="1297" t="s">
        <v>224</v>
      </c>
      <c r="D30" s="1287">
        <v>50000</v>
      </c>
      <c r="E30" s="1298">
        <f t="shared" si="16"/>
        <v>1075000</v>
      </c>
      <c r="F30" s="1106"/>
      <c r="G30" s="1291"/>
      <c r="H30" s="1292" t="s">
        <v>118</v>
      </c>
      <c r="I30" s="1106"/>
      <c r="J30" s="1291"/>
      <c r="K30" s="1292" t="s">
        <v>118</v>
      </c>
      <c r="L30" s="1113">
        <f t="shared" si="17"/>
        <v>0</v>
      </c>
      <c r="M30" s="1110">
        <f t="shared" si="0"/>
        <v>0</v>
      </c>
      <c r="N30" s="1111">
        <f t="shared" si="12"/>
        <v>-50000</v>
      </c>
      <c r="O30" s="1288">
        <v>3800</v>
      </c>
      <c r="P30" s="1113">
        <f t="shared" si="20"/>
        <v>81700</v>
      </c>
      <c r="Q30" s="1294"/>
      <c r="R30" s="1294"/>
      <c r="S30" s="1294">
        <f t="shared" si="19"/>
        <v>0</v>
      </c>
      <c r="T30" s="1110">
        <f t="shared" si="1"/>
        <v>0</v>
      </c>
      <c r="U30" s="1295">
        <f t="shared" si="2"/>
        <v>-3800</v>
      </c>
      <c r="V30" s="1116"/>
      <c r="W30" s="1379"/>
      <c r="X30" s="1379"/>
      <c r="Y30" s="1299">
        <f t="shared" si="13"/>
        <v>0</v>
      </c>
      <c r="Z30" s="1300">
        <v>12</v>
      </c>
      <c r="AA30" s="1115">
        <f t="shared" si="3"/>
        <v>0</v>
      </c>
      <c r="AB30" s="1110">
        <f t="shared" si="18"/>
        <v>0</v>
      </c>
      <c r="AC30" s="1116" t="e">
        <f t="shared" si="4"/>
        <v>#DIV/0!</v>
      </c>
      <c r="AD30" s="1116" t="e">
        <f t="shared" si="5"/>
        <v>#DIV/0!</v>
      </c>
      <c r="AE30" s="1116" t="e">
        <f t="shared" si="6"/>
        <v>#DIV/0!</v>
      </c>
      <c r="AF30" s="1130"/>
      <c r="AG30" s="1130"/>
      <c r="AH30" s="1264"/>
      <c r="AI30" s="1301"/>
      <c r="AJ30" s="1266">
        <f t="shared" si="14"/>
        <v>0</v>
      </c>
      <c r="AK30" s="1266">
        <f t="shared" si="7"/>
        <v>0</v>
      </c>
      <c r="AL30" s="1266">
        <f t="shared" si="8"/>
        <v>0</v>
      </c>
      <c r="AM30" s="1259">
        <f t="shared" si="9"/>
        <v>0</v>
      </c>
      <c r="AN30" s="1259">
        <f t="shared" si="10"/>
        <v>0</v>
      </c>
      <c r="AO30" s="1259">
        <f t="shared" si="15"/>
        <v>0</v>
      </c>
      <c r="AP30" s="1267" t="e">
        <f>+AO30-#REF!</f>
        <v>#REF!</v>
      </c>
      <c r="AQ30" s="1268">
        <f t="shared" si="11"/>
        <v>0</v>
      </c>
      <c r="AS30" s="1259">
        <v>20.07</v>
      </c>
    </row>
    <row r="31" spans="2:45" s="1259" customFormat="1" ht="39" hidden="1" customHeight="1" x14ac:dyDescent="0.55000000000000004">
      <c r="B31" s="1286">
        <v>45528</v>
      </c>
      <c r="C31" s="1297" t="s">
        <v>224</v>
      </c>
      <c r="D31" s="1287">
        <v>50000</v>
      </c>
      <c r="E31" s="1298">
        <f t="shared" si="16"/>
        <v>1125000</v>
      </c>
      <c r="F31" s="1118"/>
      <c r="G31" s="1291"/>
      <c r="H31" s="1292" t="s">
        <v>118</v>
      </c>
      <c r="I31" s="1106"/>
      <c r="J31" s="1293"/>
      <c r="K31" s="1292" t="s">
        <v>118</v>
      </c>
      <c r="L31" s="1113">
        <f>+F31+I31</f>
        <v>0</v>
      </c>
      <c r="M31" s="1110">
        <f t="shared" si="0"/>
        <v>0</v>
      </c>
      <c r="N31" s="1111">
        <f t="shared" si="12"/>
        <v>-50000</v>
      </c>
      <c r="O31" s="1288">
        <v>3800</v>
      </c>
      <c r="P31" s="1113">
        <f t="shared" si="20"/>
        <v>85500</v>
      </c>
      <c r="Q31" s="1294"/>
      <c r="R31" s="1294"/>
      <c r="S31" s="1294">
        <f t="shared" si="19"/>
        <v>0</v>
      </c>
      <c r="T31" s="1110">
        <f t="shared" si="1"/>
        <v>0</v>
      </c>
      <c r="U31" s="1295">
        <f t="shared" si="2"/>
        <v>-3800</v>
      </c>
      <c r="V31" s="1116"/>
      <c r="W31" s="1379"/>
      <c r="X31" s="1379"/>
      <c r="Y31" s="1299">
        <f t="shared" si="13"/>
        <v>0</v>
      </c>
      <c r="Z31" s="1300">
        <v>12</v>
      </c>
      <c r="AA31" s="1115">
        <f t="shared" si="3"/>
        <v>0</v>
      </c>
      <c r="AB31" s="1110">
        <f>IFERROR(+AA31/Z31,"")</f>
        <v>0</v>
      </c>
      <c r="AC31" s="1116" t="e">
        <f t="shared" si="4"/>
        <v>#DIV/0!</v>
      </c>
      <c r="AD31" s="1116" t="e">
        <f t="shared" si="5"/>
        <v>#DIV/0!</v>
      </c>
      <c r="AE31" s="1116" t="e">
        <f t="shared" si="6"/>
        <v>#DIV/0!</v>
      </c>
      <c r="AF31" s="1130"/>
      <c r="AG31" s="1130"/>
      <c r="AH31" s="1264"/>
      <c r="AI31" s="1301"/>
      <c r="AJ31" s="1266">
        <f t="shared" si="14"/>
        <v>0</v>
      </c>
      <c r="AK31" s="1266">
        <f t="shared" si="7"/>
        <v>0</v>
      </c>
      <c r="AL31" s="1266">
        <f t="shared" si="8"/>
        <v>0</v>
      </c>
      <c r="AM31" s="1259">
        <f t="shared" si="9"/>
        <v>0</v>
      </c>
      <c r="AN31" s="1259">
        <f t="shared" si="10"/>
        <v>0</v>
      </c>
      <c r="AO31" s="1259">
        <f t="shared" si="15"/>
        <v>0</v>
      </c>
      <c r="AP31" s="1267" t="e">
        <f>+AO31-#REF!</f>
        <v>#REF!</v>
      </c>
      <c r="AQ31" s="1268">
        <f t="shared" si="11"/>
        <v>0</v>
      </c>
      <c r="AS31" s="1259">
        <v>20.65</v>
      </c>
    </row>
    <row r="32" spans="2:45" s="1259" customFormat="1" ht="39" hidden="1" customHeight="1" x14ac:dyDescent="0.55000000000000004">
      <c r="B32" s="1286">
        <v>45529</v>
      </c>
      <c r="C32" s="1297" t="s">
        <v>224</v>
      </c>
      <c r="D32" s="1287">
        <v>25000</v>
      </c>
      <c r="E32" s="1298">
        <f t="shared" si="16"/>
        <v>1150000</v>
      </c>
      <c r="F32" s="1118"/>
      <c r="G32" s="1291"/>
      <c r="H32" s="1292" t="s">
        <v>118</v>
      </c>
      <c r="I32" s="1106"/>
      <c r="J32" s="1293"/>
      <c r="K32" s="1292" t="s">
        <v>118</v>
      </c>
      <c r="L32" s="1113">
        <f>+F32+I32</f>
        <v>0</v>
      </c>
      <c r="M32" s="1110">
        <f t="shared" si="0"/>
        <v>0</v>
      </c>
      <c r="N32" s="1111">
        <f t="shared" si="12"/>
        <v>-25000</v>
      </c>
      <c r="O32" s="1288">
        <f>3800/2</f>
        <v>1900</v>
      </c>
      <c r="P32" s="1113">
        <f t="shared" si="20"/>
        <v>87400</v>
      </c>
      <c r="Q32" s="1294"/>
      <c r="R32" s="1294"/>
      <c r="S32" s="1294">
        <f t="shared" si="19"/>
        <v>0</v>
      </c>
      <c r="T32" s="1110">
        <f t="shared" si="1"/>
        <v>0</v>
      </c>
      <c r="U32" s="1295">
        <f t="shared" si="2"/>
        <v>-1900</v>
      </c>
      <c r="V32" s="1116"/>
      <c r="W32" s="1379"/>
      <c r="X32" s="1379"/>
      <c r="Y32" s="1299">
        <f t="shared" si="13"/>
        <v>0</v>
      </c>
      <c r="Z32" s="1300">
        <v>12</v>
      </c>
      <c r="AA32" s="1115">
        <f t="shared" si="3"/>
        <v>0</v>
      </c>
      <c r="AB32" s="1110">
        <v>0</v>
      </c>
      <c r="AC32" s="1116" t="e">
        <f t="shared" si="4"/>
        <v>#DIV/0!</v>
      </c>
      <c r="AD32" s="1116" t="e">
        <f t="shared" si="5"/>
        <v>#DIV/0!</v>
      </c>
      <c r="AE32" s="1116" t="e">
        <f t="shared" si="6"/>
        <v>#DIV/0!</v>
      </c>
      <c r="AF32" s="1130"/>
      <c r="AG32" s="1130"/>
      <c r="AH32" s="1264"/>
      <c r="AI32" s="1301"/>
      <c r="AJ32" s="1266">
        <v>0</v>
      </c>
      <c r="AK32" s="1266">
        <v>0</v>
      </c>
      <c r="AL32" s="1266">
        <v>0</v>
      </c>
      <c r="AM32" s="1259">
        <v>0</v>
      </c>
      <c r="AN32" s="1259">
        <v>0</v>
      </c>
      <c r="AO32" s="1259">
        <v>0</v>
      </c>
      <c r="AP32" s="1267"/>
      <c r="AQ32" s="1268">
        <v>0</v>
      </c>
    </row>
    <row r="33" spans="1:45" s="1259" customFormat="1" ht="39" hidden="1" customHeight="1" x14ac:dyDescent="0.55000000000000004">
      <c r="B33" s="1286">
        <v>45530</v>
      </c>
      <c r="C33" s="1297" t="s">
        <v>224</v>
      </c>
      <c r="D33" s="1287">
        <v>50000</v>
      </c>
      <c r="E33" s="1298">
        <f t="shared" si="16"/>
        <v>1200000</v>
      </c>
      <c r="F33" s="1118"/>
      <c r="G33" s="1291"/>
      <c r="H33" s="1292" t="s">
        <v>118</v>
      </c>
      <c r="I33" s="1106"/>
      <c r="J33" s="1293"/>
      <c r="K33" s="1292" t="s">
        <v>118</v>
      </c>
      <c r="L33" s="1113">
        <f t="shared" si="17"/>
        <v>0</v>
      </c>
      <c r="M33" s="1110">
        <f t="shared" si="0"/>
        <v>0</v>
      </c>
      <c r="N33" s="1111">
        <f t="shared" si="12"/>
        <v>-50000</v>
      </c>
      <c r="O33" s="1112">
        <v>3800</v>
      </c>
      <c r="P33" s="1113">
        <f t="shared" si="20"/>
        <v>91200</v>
      </c>
      <c r="Q33" s="1294"/>
      <c r="R33" s="1294"/>
      <c r="S33" s="1294">
        <f t="shared" si="19"/>
        <v>0</v>
      </c>
      <c r="T33" s="1110">
        <f t="shared" si="1"/>
        <v>0</v>
      </c>
      <c r="U33" s="1295">
        <f t="shared" si="2"/>
        <v>-3800</v>
      </c>
      <c r="V33" s="1116"/>
      <c r="W33" s="1379"/>
      <c r="X33" s="1379"/>
      <c r="Y33" s="1299">
        <f>+W33+X33</f>
        <v>0</v>
      </c>
      <c r="Z33" s="1300">
        <v>12</v>
      </c>
      <c r="AA33" s="1115">
        <f t="shared" si="3"/>
        <v>0</v>
      </c>
      <c r="AB33" s="1110">
        <v>0</v>
      </c>
      <c r="AC33" s="1116" t="e">
        <f t="shared" si="4"/>
        <v>#DIV/0!</v>
      </c>
      <c r="AD33" s="1116" t="e">
        <f t="shared" si="5"/>
        <v>#DIV/0!</v>
      </c>
      <c r="AE33" s="1116" t="e">
        <f t="shared" si="6"/>
        <v>#DIV/0!</v>
      </c>
      <c r="AF33" s="1130"/>
      <c r="AG33" s="1130"/>
      <c r="AH33" s="1264"/>
      <c r="AI33" s="1301"/>
      <c r="AJ33" s="1266">
        <f t="shared" si="14"/>
        <v>0</v>
      </c>
      <c r="AK33" s="1266">
        <f t="shared" ref="AK33:AK37" si="21">+AM33+F33</f>
        <v>0</v>
      </c>
      <c r="AL33" s="1266">
        <f t="shared" ref="AL33:AL37" si="22">+AN33+I33</f>
        <v>0</v>
      </c>
      <c r="AM33" s="1259">
        <f t="shared" ref="AM33:AN37" si="23">+Q33/1.27</f>
        <v>0</v>
      </c>
      <c r="AN33" s="1259">
        <f t="shared" si="23"/>
        <v>0</v>
      </c>
      <c r="AO33" s="1259">
        <f t="shared" si="15"/>
        <v>0</v>
      </c>
      <c r="AP33" s="1267" t="e">
        <f>+AO33-#REF!</f>
        <v>#REF!</v>
      </c>
      <c r="AQ33" s="1268">
        <f t="shared" ref="AQ33:AQ39" si="24">+AO33+L33</f>
        <v>0</v>
      </c>
      <c r="AS33" s="1259">
        <v>21.9</v>
      </c>
    </row>
    <row r="34" spans="1:45" s="1259" customFormat="1" ht="39" hidden="1" customHeight="1" x14ac:dyDescent="0.55000000000000004">
      <c r="B34" s="1286">
        <v>45531</v>
      </c>
      <c r="C34" s="1297" t="s">
        <v>224</v>
      </c>
      <c r="D34" s="1287">
        <v>50000</v>
      </c>
      <c r="E34" s="1298">
        <f t="shared" si="16"/>
        <v>1250000</v>
      </c>
      <c r="F34" s="1118"/>
      <c r="G34" s="1291"/>
      <c r="H34" s="1292" t="s">
        <v>118</v>
      </c>
      <c r="I34" s="1106"/>
      <c r="J34" s="1293"/>
      <c r="K34" s="1292" t="s">
        <v>118</v>
      </c>
      <c r="L34" s="1113">
        <f>+F34+I34</f>
        <v>0</v>
      </c>
      <c r="M34" s="1110">
        <f t="shared" si="0"/>
        <v>0</v>
      </c>
      <c r="N34" s="1111">
        <f t="shared" si="12"/>
        <v>-50000</v>
      </c>
      <c r="O34" s="1112">
        <v>3800</v>
      </c>
      <c r="P34" s="1113">
        <f t="shared" si="20"/>
        <v>95000</v>
      </c>
      <c r="Q34" s="1294"/>
      <c r="R34" s="1294"/>
      <c r="S34" s="1294">
        <f>+R34+Q34</f>
        <v>0</v>
      </c>
      <c r="T34" s="1110">
        <f t="shared" si="1"/>
        <v>0</v>
      </c>
      <c r="U34" s="1295">
        <f t="shared" si="2"/>
        <v>-3800</v>
      </c>
      <c r="V34" s="1116"/>
      <c r="W34" s="1379"/>
      <c r="X34" s="1379"/>
      <c r="Y34" s="1299">
        <f t="shared" si="13"/>
        <v>0</v>
      </c>
      <c r="Z34" s="1300">
        <v>12</v>
      </c>
      <c r="AA34" s="1115">
        <f t="shared" si="3"/>
        <v>0</v>
      </c>
      <c r="AB34" s="1110">
        <f t="shared" si="18"/>
        <v>0</v>
      </c>
      <c r="AC34" s="1116" t="e">
        <f t="shared" si="4"/>
        <v>#DIV/0!</v>
      </c>
      <c r="AD34" s="1116" t="e">
        <f t="shared" si="5"/>
        <v>#DIV/0!</v>
      </c>
      <c r="AE34" s="1116" t="e">
        <f t="shared" si="6"/>
        <v>#DIV/0!</v>
      </c>
      <c r="AF34" s="1130"/>
      <c r="AG34" s="1130"/>
      <c r="AH34" s="1264"/>
      <c r="AI34" s="1301"/>
      <c r="AJ34" s="1266">
        <f t="shared" si="14"/>
        <v>0</v>
      </c>
      <c r="AK34" s="1266">
        <f t="shared" si="21"/>
        <v>0</v>
      </c>
      <c r="AL34" s="1266">
        <f t="shared" si="22"/>
        <v>0</v>
      </c>
      <c r="AM34" s="1259">
        <f t="shared" si="23"/>
        <v>0</v>
      </c>
      <c r="AN34" s="1259">
        <f t="shared" si="23"/>
        <v>0</v>
      </c>
      <c r="AO34" s="1259">
        <f t="shared" si="15"/>
        <v>0</v>
      </c>
      <c r="AP34" s="1267" t="e">
        <f>+AO34-#REF!</f>
        <v>#REF!</v>
      </c>
      <c r="AQ34" s="1268">
        <f t="shared" si="24"/>
        <v>0</v>
      </c>
      <c r="AS34" s="1259">
        <v>20.98</v>
      </c>
    </row>
    <row r="35" spans="1:45" s="1259" customFormat="1" ht="39" hidden="1" customHeight="1" x14ac:dyDescent="0.55000000000000004">
      <c r="B35" s="1286">
        <v>45532</v>
      </c>
      <c r="C35" s="1297" t="s">
        <v>224</v>
      </c>
      <c r="D35" s="1287">
        <v>50000</v>
      </c>
      <c r="E35" s="1298">
        <f t="shared" si="16"/>
        <v>1300000</v>
      </c>
      <c r="F35" s="1118"/>
      <c r="G35" s="1291"/>
      <c r="H35" s="1292" t="s">
        <v>118</v>
      </c>
      <c r="I35" s="1106"/>
      <c r="J35" s="1293"/>
      <c r="K35" s="1292" t="s">
        <v>118</v>
      </c>
      <c r="L35" s="1113">
        <f>+F35+I35</f>
        <v>0</v>
      </c>
      <c r="M35" s="1110">
        <f t="shared" si="0"/>
        <v>0</v>
      </c>
      <c r="N35" s="1111">
        <f t="shared" si="12"/>
        <v>-50000</v>
      </c>
      <c r="O35" s="1112">
        <v>3800</v>
      </c>
      <c r="P35" s="1113">
        <f t="shared" si="20"/>
        <v>98800</v>
      </c>
      <c r="Q35" s="1294"/>
      <c r="R35" s="1294"/>
      <c r="S35" s="1294">
        <f>+R35+Q35</f>
        <v>0</v>
      </c>
      <c r="T35" s="1110">
        <f t="shared" si="1"/>
        <v>0</v>
      </c>
      <c r="U35" s="1295">
        <f t="shared" si="2"/>
        <v>-3800</v>
      </c>
      <c r="V35" s="1116"/>
      <c r="W35" s="1379"/>
      <c r="X35" s="1379"/>
      <c r="Y35" s="1299">
        <f t="shared" si="13"/>
        <v>0</v>
      </c>
      <c r="Z35" s="1300">
        <v>12</v>
      </c>
      <c r="AA35" s="1115">
        <f t="shared" si="3"/>
        <v>0</v>
      </c>
      <c r="AB35" s="1110">
        <f t="shared" si="18"/>
        <v>0</v>
      </c>
      <c r="AC35" s="1116" t="e">
        <f t="shared" si="4"/>
        <v>#DIV/0!</v>
      </c>
      <c r="AD35" s="1116" t="e">
        <f t="shared" si="5"/>
        <v>#DIV/0!</v>
      </c>
      <c r="AE35" s="1116" t="e">
        <f t="shared" si="6"/>
        <v>#DIV/0!</v>
      </c>
      <c r="AF35" s="1130"/>
      <c r="AG35" s="1130"/>
      <c r="AH35" s="1264"/>
      <c r="AI35" s="1301"/>
      <c r="AJ35" s="1266">
        <f t="shared" si="14"/>
        <v>0</v>
      </c>
      <c r="AK35" s="1266">
        <f t="shared" si="21"/>
        <v>0</v>
      </c>
      <c r="AL35" s="1266">
        <f t="shared" si="22"/>
        <v>0</v>
      </c>
      <c r="AM35" s="1259">
        <f t="shared" si="23"/>
        <v>0</v>
      </c>
      <c r="AN35" s="1259">
        <f t="shared" si="23"/>
        <v>0</v>
      </c>
      <c r="AO35" s="1259">
        <f t="shared" si="15"/>
        <v>0</v>
      </c>
      <c r="AP35" s="1267" t="e">
        <f>+AO35-#REF!</f>
        <v>#REF!</v>
      </c>
      <c r="AQ35" s="1268">
        <f t="shared" si="24"/>
        <v>0</v>
      </c>
      <c r="AS35" s="1259">
        <v>21.08</v>
      </c>
    </row>
    <row r="36" spans="1:45" s="1259" customFormat="1" ht="39" hidden="1" customHeight="1" x14ac:dyDescent="0.55000000000000004">
      <c r="B36" s="1286">
        <v>45533</v>
      </c>
      <c r="C36" s="1297" t="s">
        <v>224</v>
      </c>
      <c r="D36" s="1287">
        <v>50000</v>
      </c>
      <c r="E36" s="1298">
        <f t="shared" si="16"/>
        <v>1350000</v>
      </c>
      <c r="F36" s="1118"/>
      <c r="G36" s="1291"/>
      <c r="H36" s="1292" t="s">
        <v>118</v>
      </c>
      <c r="I36" s="1106"/>
      <c r="J36" s="1293"/>
      <c r="K36" s="1292" t="s">
        <v>118</v>
      </c>
      <c r="L36" s="1113">
        <f>+F36+I36</f>
        <v>0</v>
      </c>
      <c r="M36" s="1110">
        <f t="shared" si="0"/>
        <v>0</v>
      </c>
      <c r="N36" s="1111">
        <f t="shared" si="12"/>
        <v>-50000</v>
      </c>
      <c r="O36" s="1112">
        <v>3800</v>
      </c>
      <c r="P36" s="1113">
        <f t="shared" si="20"/>
        <v>102600</v>
      </c>
      <c r="Q36" s="1294"/>
      <c r="R36" s="1294"/>
      <c r="S36" s="1294">
        <f>+R36+Q36</f>
        <v>0</v>
      </c>
      <c r="T36" s="1110">
        <f t="shared" si="1"/>
        <v>0</v>
      </c>
      <c r="U36" s="1295">
        <f t="shared" si="2"/>
        <v>-3800</v>
      </c>
      <c r="V36" s="1116"/>
      <c r="W36" s="1379"/>
      <c r="X36" s="1379"/>
      <c r="Y36" s="1299">
        <f t="shared" si="13"/>
        <v>0</v>
      </c>
      <c r="Z36" s="1300">
        <v>12</v>
      </c>
      <c r="AA36" s="1115">
        <f t="shared" si="3"/>
        <v>0</v>
      </c>
      <c r="AB36" s="1110">
        <f t="shared" si="18"/>
        <v>0</v>
      </c>
      <c r="AC36" s="1116" t="e">
        <f t="shared" si="4"/>
        <v>#DIV/0!</v>
      </c>
      <c r="AD36" s="1116" t="e">
        <f t="shared" si="5"/>
        <v>#DIV/0!</v>
      </c>
      <c r="AE36" s="1116" t="e">
        <f t="shared" si="6"/>
        <v>#DIV/0!</v>
      </c>
      <c r="AF36" s="1130"/>
      <c r="AG36" s="1130"/>
      <c r="AH36" s="1264"/>
      <c r="AI36" s="1301"/>
      <c r="AJ36" s="1266">
        <f t="shared" si="14"/>
        <v>0</v>
      </c>
      <c r="AK36" s="1266">
        <f t="shared" si="21"/>
        <v>0</v>
      </c>
      <c r="AL36" s="1266">
        <f t="shared" si="22"/>
        <v>0</v>
      </c>
      <c r="AM36" s="1259">
        <f t="shared" si="23"/>
        <v>0</v>
      </c>
      <c r="AN36" s="1259">
        <f t="shared" si="23"/>
        <v>0</v>
      </c>
      <c r="AO36" s="1259">
        <f t="shared" si="15"/>
        <v>0</v>
      </c>
      <c r="AP36" s="1267" t="e">
        <f>+AO36-#REF!</f>
        <v>#REF!</v>
      </c>
      <c r="AQ36" s="1268">
        <f t="shared" si="24"/>
        <v>0</v>
      </c>
    </row>
    <row r="37" spans="1:45" s="1259" customFormat="1" ht="39" hidden="1" customHeight="1" x14ac:dyDescent="0.55000000000000004">
      <c r="B37" s="1286">
        <v>45534</v>
      </c>
      <c r="C37" s="1297" t="s">
        <v>224</v>
      </c>
      <c r="D37" s="1287">
        <v>50000</v>
      </c>
      <c r="E37" s="1298">
        <f t="shared" si="16"/>
        <v>1400000</v>
      </c>
      <c r="F37" s="1118"/>
      <c r="G37" s="1291"/>
      <c r="H37" s="1292" t="s">
        <v>118</v>
      </c>
      <c r="I37" s="1106"/>
      <c r="J37" s="1293"/>
      <c r="K37" s="1292" t="s">
        <v>118</v>
      </c>
      <c r="L37" s="1113">
        <f>+F37+I37</f>
        <v>0</v>
      </c>
      <c r="M37" s="1110">
        <f t="shared" si="0"/>
        <v>0</v>
      </c>
      <c r="N37" s="1111">
        <f t="shared" si="12"/>
        <v>-50000</v>
      </c>
      <c r="O37" s="1112">
        <v>3800</v>
      </c>
      <c r="P37" s="1113">
        <f t="shared" si="20"/>
        <v>106400</v>
      </c>
      <c r="Q37" s="1294"/>
      <c r="R37" s="1294"/>
      <c r="S37" s="1294">
        <f>+R37+Q37</f>
        <v>0</v>
      </c>
      <c r="T37" s="1110">
        <f t="shared" si="1"/>
        <v>0</v>
      </c>
      <c r="U37" s="1295">
        <f t="shared" si="2"/>
        <v>-3800</v>
      </c>
      <c r="V37" s="1116"/>
      <c r="W37" s="1379"/>
      <c r="X37" s="1379"/>
      <c r="Y37" s="1299">
        <f t="shared" si="13"/>
        <v>0</v>
      </c>
      <c r="Z37" s="1300">
        <v>12</v>
      </c>
      <c r="AA37" s="1115">
        <f t="shared" si="3"/>
        <v>0</v>
      </c>
      <c r="AB37" s="1110">
        <f t="shared" si="18"/>
        <v>0</v>
      </c>
      <c r="AC37" s="1116" t="e">
        <f t="shared" si="4"/>
        <v>#DIV/0!</v>
      </c>
      <c r="AD37" s="1116" t="e">
        <f t="shared" si="5"/>
        <v>#DIV/0!</v>
      </c>
      <c r="AE37" s="1116" t="e">
        <f t="shared" si="6"/>
        <v>#DIV/0!</v>
      </c>
      <c r="AF37" s="1130"/>
      <c r="AG37" s="1130"/>
      <c r="AH37" s="1302"/>
      <c r="AI37" s="1301"/>
      <c r="AJ37" s="1266">
        <f t="shared" si="14"/>
        <v>0</v>
      </c>
      <c r="AK37" s="1266">
        <f t="shared" si="21"/>
        <v>0</v>
      </c>
      <c r="AL37" s="1266">
        <f t="shared" si="22"/>
        <v>0</v>
      </c>
      <c r="AM37" s="1259">
        <f t="shared" si="23"/>
        <v>0</v>
      </c>
      <c r="AN37" s="1259">
        <f t="shared" si="23"/>
        <v>0</v>
      </c>
      <c r="AO37" s="1259">
        <f t="shared" si="15"/>
        <v>0</v>
      </c>
      <c r="AP37" s="1267"/>
      <c r="AQ37" s="1268">
        <f t="shared" si="24"/>
        <v>0</v>
      </c>
    </row>
    <row r="38" spans="1:45" s="1259" customFormat="1" ht="39" hidden="1" customHeight="1" thickBot="1" x14ac:dyDescent="0.6">
      <c r="B38" s="1286">
        <v>45535</v>
      </c>
      <c r="C38" s="1297" t="s">
        <v>224</v>
      </c>
      <c r="D38" s="1287">
        <v>50000</v>
      </c>
      <c r="E38" s="1298">
        <f t="shared" si="16"/>
        <v>1450000</v>
      </c>
      <c r="F38" s="1367"/>
      <c r="G38" s="1303"/>
      <c r="H38" s="1292" t="s">
        <v>118</v>
      </c>
      <c r="I38" s="1369"/>
      <c r="J38" s="1304"/>
      <c r="K38" s="1292" t="s">
        <v>118</v>
      </c>
      <c r="L38" s="1113">
        <f>+F38+I38</f>
        <v>0</v>
      </c>
      <c r="M38" s="1110">
        <f t="shared" si="0"/>
        <v>0</v>
      </c>
      <c r="N38" s="1111">
        <f t="shared" si="12"/>
        <v>-50000</v>
      </c>
      <c r="O38" s="1112">
        <v>3800</v>
      </c>
      <c r="P38" s="1113">
        <f t="shared" si="20"/>
        <v>110200</v>
      </c>
      <c r="Q38" s="1305"/>
      <c r="R38" s="1305"/>
      <c r="S38" s="1294">
        <f>+R38+Q38</f>
        <v>0</v>
      </c>
      <c r="T38" s="1110">
        <f t="shared" si="1"/>
        <v>0</v>
      </c>
      <c r="U38" s="1295">
        <f t="shared" si="2"/>
        <v>-3800</v>
      </c>
      <c r="V38" s="1306"/>
      <c r="W38" s="1380"/>
      <c r="X38" s="1380"/>
      <c r="Y38" s="1299">
        <f t="shared" si="13"/>
        <v>0</v>
      </c>
      <c r="Z38" s="1300">
        <v>12</v>
      </c>
      <c r="AA38" s="1115">
        <f t="shared" ref="AA38" si="25">+IFERROR(L38/S38,0)</f>
        <v>0</v>
      </c>
      <c r="AB38" s="1110">
        <f t="shared" ref="AB38" si="26">IFERROR(+AA38/Z38,"")</f>
        <v>0</v>
      </c>
      <c r="AC38" s="1116" t="e">
        <f t="shared" ref="AC38" si="27">+W38/(F38+(Q38/1.27))</f>
        <v>#DIV/0!</v>
      </c>
      <c r="AD38" s="1116" t="e">
        <f t="shared" ref="AD38" si="28">+X38/(I38+(R38/1.27))</f>
        <v>#DIV/0!</v>
      </c>
      <c r="AE38" s="1116" t="e">
        <f t="shared" ref="AE38" si="29">+Y38/(L38+(S38/1.27))</f>
        <v>#DIV/0!</v>
      </c>
      <c r="AF38" s="1130"/>
      <c r="AG38" s="1130"/>
      <c r="AH38" s="1302"/>
      <c r="AI38" s="1301"/>
      <c r="AJ38" s="1266"/>
      <c r="AK38" s="1266"/>
      <c r="AL38" s="1266"/>
      <c r="AP38" s="1267"/>
      <c r="AQ38" s="1268"/>
    </row>
    <row r="39" spans="1:45" s="808" customFormat="1" ht="39" customHeight="1" thickBot="1" x14ac:dyDescent="0.6">
      <c r="B39" s="821"/>
      <c r="C39" s="821"/>
      <c r="D39" s="833">
        <f>SUM(D8:D38)</f>
        <v>1450000</v>
      </c>
      <c r="E39" s="1233"/>
      <c r="F39" s="822">
        <f>SUM(F8:F38)</f>
        <v>212762</v>
      </c>
      <c r="G39" s="1237">
        <f>AVERAGE(G8:G38)</f>
        <v>5.083333333333333</v>
      </c>
      <c r="H39" s="822" t="s">
        <v>112</v>
      </c>
      <c r="I39" s="822">
        <f>SUM(I8:I38)</f>
        <v>224510</v>
      </c>
      <c r="J39" s="1237">
        <f>AVERAGE(J8:J38)</f>
        <v>5.75</v>
      </c>
      <c r="K39" s="824" t="s">
        <v>112</v>
      </c>
      <c r="L39" s="822">
        <f>SUM(L8:L38)</f>
        <v>437272</v>
      </c>
      <c r="M39" s="825">
        <f>IFERROR(+L39/D39,"")</f>
        <v>0.30156689655172414</v>
      </c>
      <c r="N39" s="826">
        <f t="shared" si="12"/>
        <v>-1012728</v>
      </c>
      <c r="O39" s="933">
        <f>SUM(O8:O38)</f>
        <v>110200</v>
      </c>
      <c r="P39" s="933"/>
      <c r="Q39" s="934">
        <f>SUM(Q8:Q38)</f>
        <v>17477.309999999998</v>
      </c>
      <c r="R39" s="1222">
        <f>SUM(R8:R38)</f>
        <v>16824.259999999998</v>
      </c>
      <c r="S39" s="934">
        <f>SUM(S8:S38)</f>
        <v>34301.570000000007</v>
      </c>
      <c r="T39" s="935">
        <f>IFERROR(+S39/O39,"")</f>
        <v>0.31126651542649736</v>
      </c>
      <c r="U39" s="1224">
        <f>S39-O39</f>
        <v>-75898.429999999993</v>
      </c>
      <c r="V39" s="1216"/>
      <c r="W39" s="822">
        <f>SUM(W8:W38)</f>
        <v>189264.5</v>
      </c>
      <c r="X39" s="822">
        <f>SUM(X8:X38)</f>
        <v>214797</v>
      </c>
      <c r="Y39" s="828">
        <f>SUM(Y8:Y38)</f>
        <v>404061.5</v>
      </c>
      <c r="Z39" s="829">
        <v>12</v>
      </c>
      <c r="AA39" s="848">
        <f t="shared" si="3"/>
        <v>12.747871307348319</v>
      </c>
      <c r="AB39" s="830">
        <f>IFERROR(+AA39/Z39,"")</f>
        <v>1.0623226089456932</v>
      </c>
      <c r="AC39" s="849">
        <f t="shared" si="4"/>
        <v>0.83551757381900793</v>
      </c>
      <c r="AD39" s="849">
        <f t="shared" si="5"/>
        <v>0.90342910839194424</v>
      </c>
      <c r="AE39" s="831">
        <f t="shared" si="6"/>
        <v>0.87029493789747014</v>
      </c>
      <c r="AF39" s="832">
        <f>SUM(AF8:AF37)</f>
        <v>0.38402777777777775</v>
      </c>
      <c r="AG39" s="832">
        <f>SUM(AG8:AG37)</f>
        <v>0.27847222222222223</v>
      </c>
      <c r="AH39" s="833">
        <f>SUM(AH8:AH36)</f>
        <v>10288</v>
      </c>
      <c r="AI39" s="1162"/>
      <c r="AJ39" s="834">
        <f>SUM(AJ8:AJ38)</f>
        <v>464281.11023622047</v>
      </c>
      <c r="AK39" s="834">
        <f>SUM(AK8:AK38)</f>
        <v>226523.66141732282</v>
      </c>
      <c r="AL39" s="834">
        <f>SUM(AL8:AL38)</f>
        <v>237757.44881889765</v>
      </c>
      <c r="AM39" s="808">
        <f>+Q39/1.27</f>
        <v>13761.661417322832</v>
      </c>
      <c r="AN39" s="808">
        <f>+R39/1.27</f>
        <v>13247.448818897636</v>
      </c>
      <c r="AO39" s="808">
        <f>+AN39+AM39</f>
        <v>27009.110236220469</v>
      </c>
      <c r="AP39" s="817" t="e">
        <f>+AO39-#REF!</f>
        <v>#REF!</v>
      </c>
      <c r="AQ39" s="818">
        <f t="shared" si="24"/>
        <v>464281.11023622047</v>
      </c>
      <c r="AS39" s="808">
        <v>19.71</v>
      </c>
    </row>
    <row r="40" spans="1:45" s="804" customFormat="1" ht="39" customHeight="1" x14ac:dyDescent="0.55000000000000004">
      <c r="B40" s="967"/>
      <c r="C40" s="967"/>
      <c r="D40" s="835"/>
      <c r="E40" s="835"/>
      <c r="F40" s="1358"/>
      <c r="G40" s="968"/>
      <c r="H40" s="1157"/>
      <c r="I40" s="1358"/>
      <c r="J40" s="968"/>
      <c r="K40" s="969"/>
      <c r="L40" s="1162"/>
      <c r="M40" s="970"/>
      <c r="N40" s="915"/>
      <c r="O40" s="1157"/>
      <c r="P40" s="1157"/>
      <c r="Q40" s="1160"/>
      <c r="R40" s="1160"/>
      <c r="S40" s="1160"/>
      <c r="T40" s="970"/>
      <c r="U40" s="910"/>
      <c r="V40" s="1217"/>
      <c r="W40" s="1368"/>
      <c r="X40" s="1368"/>
      <c r="Y40" s="865" t="b">
        <f>+Y39/(L39+(S39/1.27))=AE39</f>
        <v>1</v>
      </c>
      <c r="Z40" s="807"/>
      <c r="AA40" s="807"/>
      <c r="AB40" s="819"/>
      <c r="AC40" s="807"/>
      <c r="AD40" s="807"/>
      <c r="AE40" s="807"/>
      <c r="AF40" s="971"/>
      <c r="AG40" s="971"/>
      <c r="AH40" s="1157"/>
      <c r="AI40" s="1157"/>
      <c r="AJ40" s="807"/>
      <c r="AK40" s="807"/>
      <c r="AL40" s="807"/>
      <c r="AS40" s="804">
        <v>19.7</v>
      </c>
    </row>
    <row r="41" spans="1:45" s="1178" customFormat="1" ht="39" customHeight="1" thickBot="1" x14ac:dyDescent="0.9">
      <c r="B41" s="808"/>
      <c r="C41" s="808"/>
      <c r="D41" s="835"/>
      <c r="E41" s="835"/>
      <c r="F41" s="1361"/>
      <c r="G41" s="1273"/>
      <c r="H41" s="808"/>
      <c r="I41" s="865"/>
      <c r="J41" s="1273"/>
      <c r="K41" s="865"/>
      <c r="L41" s="1162"/>
      <c r="M41" s="804"/>
      <c r="N41" s="808"/>
      <c r="O41" s="1157"/>
      <c r="P41" s="1157"/>
      <c r="Q41" s="1160"/>
      <c r="R41" s="1160"/>
      <c r="S41" s="1160"/>
      <c r="T41" s="804"/>
      <c r="U41" s="1156"/>
      <c r="V41" s="1160"/>
      <c r="W41" s="1375"/>
      <c r="X41" s="1375"/>
      <c r="Y41" s="1275"/>
      <c r="Z41" s="808"/>
      <c r="AA41" s="808"/>
      <c r="AB41" s="808"/>
      <c r="AC41" s="808"/>
      <c r="AD41" s="808"/>
      <c r="AE41" s="865"/>
      <c r="AF41" s="808"/>
      <c r="AG41" s="808"/>
      <c r="AH41" s="942"/>
      <c r="AI41" s="942"/>
      <c r="AS41" s="1178">
        <v>20.07</v>
      </c>
    </row>
    <row r="42" spans="1:45" ht="39" customHeight="1" x14ac:dyDescent="0.85">
      <c r="B42" s="804"/>
      <c r="C42" s="804"/>
      <c r="D42" s="1239" t="s">
        <v>27</v>
      </c>
      <c r="E42" s="1240"/>
      <c r="F42" s="1703">
        <f>L39</f>
        <v>437272</v>
      </c>
      <c r="G42" s="1704"/>
      <c r="H42" s="1705"/>
      <c r="I42" s="1706" t="s">
        <v>24</v>
      </c>
      <c r="J42" s="1707"/>
      <c r="K42" s="1707"/>
      <c r="L42" s="1708"/>
      <c r="M42" s="1709">
        <f>F39</f>
        <v>212762</v>
      </c>
      <c r="N42" s="1710"/>
      <c r="O42" s="977" t="s">
        <v>7</v>
      </c>
      <c r="P42" s="978"/>
      <c r="Q42" s="937">
        <f>+AF39</f>
        <v>0.38402777777777775</v>
      </c>
      <c r="R42" s="877" t="s">
        <v>31</v>
      </c>
      <c r="S42" s="979" t="s">
        <v>32</v>
      </c>
      <c r="T42" s="1156"/>
      <c r="U42" s="804"/>
      <c r="V42" s="1217"/>
      <c r="W42" s="1361"/>
      <c r="X42" s="1361"/>
      <c r="Y42" s="901" t="s">
        <v>103</v>
      </c>
      <c r="Z42" s="1157"/>
      <c r="AA42" s="804"/>
      <c r="AB42" s="804"/>
      <c r="AC42" s="902"/>
      <c r="AD42" s="902"/>
      <c r="AE42" s="804"/>
      <c r="AF42" s="804"/>
      <c r="AG42" s="804"/>
      <c r="AH42" s="951"/>
      <c r="AI42" s="951"/>
      <c r="AS42" s="951">
        <v>20.170000000000002</v>
      </c>
    </row>
    <row r="43" spans="1:45" ht="39" customHeight="1" x14ac:dyDescent="0.85">
      <c r="B43" s="804"/>
      <c r="C43" s="804"/>
      <c r="D43" s="1241" t="s">
        <v>28</v>
      </c>
      <c r="E43" s="1242"/>
      <c r="F43" s="1592">
        <f>S39</f>
        <v>34301.570000000007</v>
      </c>
      <c r="G43" s="1656"/>
      <c r="H43" s="1593"/>
      <c r="I43" s="1603" t="s">
        <v>25</v>
      </c>
      <c r="J43" s="1604"/>
      <c r="K43" s="1604"/>
      <c r="L43" s="1605"/>
      <c r="M43" s="1711">
        <f>I39</f>
        <v>224510</v>
      </c>
      <c r="N43" s="1712"/>
      <c r="O43" s="876" t="s">
        <v>8</v>
      </c>
      <c r="P43" s="1176"/>
      <c r="Q43" s="938">
        <f>+AG39</f>
        <v>0.27847222222222223</v>
      </c>
      <c r="R43" s="1167" t="s">
        <v>48</v>
      </c>
      <c r="S43" s="1167">
        <f>SUM(D8:D38)</f>
        <v>1450000</v>
      </c>
      <c r="T43" s="879">
        <f>IFERROR(+F42/S43,0)</f>
        <v>0.30156689655172414</v>
      </c>
      <c r="U43" s="880"/>
      <c r="V43" s="1218"/>
      <c r="W43" s="1381"/>
      <c r="X43" s="1381"/>
      <c r="Y43" s="881" t="s">
        <v>104</v>
      </c>
      <c r="Z43" s="1592" t="s">
        <v>14</v>
      </c>
      <c r="AA43" s="1593"/>
      <c r="AB43" s="1592" t="s">
        <v>17</v>
      </c>
      <c r="AC43" s="1656"/>
      <c r="AD43" s="1656"/>
      <c r="AE43" s="1593"/>
      <c r="AF43" s="1168" t="s">
        <v>105</v>
      </c>
      <c r="AG43" s="1168" t="s">
        <v>106</v>
      </c>
      <c r="AH43" s="951"/>
      <c r="AI43" s="951"/>
      <c r="AJ43" s="1185" t="s">
        <v>109</v>
      </c>
      <c r="AK43" s="1185" t="s">
        <v>110</v>
      </c>
      <c r="AS43" s="951">
        <v>19.059999999999999</v>
      </c>
    </row>
    <row r="44" spans="1:45" ht="39" customHeight="1" x14ac:dyDescent="0.85">
      <c r="A44" s="951" t="s">
        <v>140</v>
      </c>
      <c r="B44" s="804"/>
      <c r="C44" s="804"/>
      <c r="D44" s="1241" t="s">
        <v>46</v>
      </c>
      <c r="E44" s="1242"/>
      <c r="F44" s="1592">
        <f>+AE19</f>
        <v>0.78041945911623978</v>
      </c>
      <c r="G44" s="1656"/>
      <c r="H44" s="1593"/>
      <c r="I44" s="1603" t="s">
        <v>26</v>
      </c>
      <c r="J44" s="1604"/>
      <c r="K44" s="1604"/>
      <c r="L44" s="1605"/>
      <c r="M44" s="1711">
        <f>+Q39</f>
        <v>17477.309999999998</v>
      </c>
      <c r="N44" s="1712"/>
      <c r="O44" s="876"/>
      <c r="P44" s="926"/>
      <c r="Q44" s="1276"/>
      <c r="R44" s="1165" t="s">
        <v>49</v>
      </c>
      <c r="S44" s="1167">
        <f>SUM(O8:O38)</f>
        <v>110200</v>
      </c>
      <c r="T44" s="879">
        <f>IFERROR(+F43/S44,0)</f>
        <v>0.31126651542649736</v>
      </c>
      <c r="U44" s="902"/>
      <c r="V44" s="1217"/>
      <c r="W44" s="1382"/>
      <c r="X44" s="1382"/>
      <c r="Y44" s="881" t="s">
        <v>107</v>
      </c>
      <c r="Z44" s="1715">
        <f>SUM(D8:D38)</f>
        <v>1450000</v>
      </c>
      <c r="AA44" s="1716"/>
      <c r="AB44" s="1592">
        <f>+F42</f>
        <v>437272</v>
      </c>
      <c r="AC44" s="1656"/>
      <c r="AD44" s="1656"/>
      <c r="AE44" s="1593"/>
      <c r="AF44" s="904">
        <f>+IFERROR(AB44/Z44,0)</f>
        <v>0.30156689655172414</v>
      </c>
      <c r="AG44" s="1171">
        <f>+IFERROR(AB44-Z44,0)</f>
        <v>-1012728</v>
      </c>
      <c r="AH44" s="951"/>
      <c r="AI44" s="951"/>
      <c r="AJ44" s="950">
        <v>27.5</v>
      </c>
      <c r="AK44" s="882">
        <f>AJ44-11</f>
        <v>16.5</v>
      </c>
      <c r="AS44" s="951">
        <v>19.28</v>
      </c>
    </row>
    <row r="45" spans="1:45" ht="39" customHeight="1" x14ac:dyDescent="0.85">
      <c r="B45" s="804"/>
      <c r="C45" s="804"/>
      <c r="D45" s="1241" t="s">
        <v>47</v>
      </c>
      <c r="E45" s="1242"/>
      <c r="F45" s="1592">
        <f>AE39</f>
        <v>0.87029493789747014</v>
      </c>
      <c r="G45" s="1656"/>
      <c r="H45" s="1593"/>
      <c r="I45" s="1603" t="s">
        <v>23</v>
      </c>
      <c r="J45" s="1604"/>
      <c r="K45" s="1604"/>
      <c r="L45" s="1605"/>
      <c r="M45" s="1711">
        <f>+R39</f>
        <v>16824.259999999998</v>
      </c>
      <c r="N45" s="1712"/>
      <c r="O45" s="876"/>
      <c r="P45" s="926"/>
      <c r="Q45" s="1276"/>
      <c r="R45" s="1165" t="s">
        <v>5</v>
      </c>
      <c r="S45" s="1167">
        <v>12</v>
      </c>
      <c r="T45" s="879">
        <f>IFERROR(+F47/S45,0)</f>
        <v>1.0623226089456932</v>
      </c>
      <c r="U45" s="902"/>
      <c r="V45" s="1217"/>
      <c r="W45" s="1382"/>
      <c r="X45" s="1382"/>
      <c r="Y45" s="881" t="s">
        <v>108</v>
      </c>
      <c r="Z45" s="1715">
        <f>SUM(O8:O37)</f>
        <v>106400</v>
      </c>
      <c r="AA45" s="1716"/>
      <c r="AB45" s="1592">
        <f>+F43</f>
        <v>34301.570000000007</v>
      </c>
      <c r="AC45" s="1656"/>
      <c r="AD45" s="1656"/>
      <c r="AE45" s="1593"/>
      <c r="AF45" s="904">
        <f>+IFERROR(AB45/Z45,0)</f>
        <v>0.32238317669172939</v>
      </c>
      <c r="AG45" s="1171">
        <f>+IFERROR(AB45-Z45,0)</f>
        <v>-72098.429999999993</v>
      </c>
      <c r="AH45" s="951"/>
      <c r="AI45" s="951"/>
      <c r="AJ45" s="863" t="s">
        <v>111</v>
      </c>
      <c r="AK45" s="804"/>
      <c r="AS45" s="951">
        <v>20.190000000000001</v>
      </c>
    </row>
    <row r="46" spans="1:45" ht="39" customHeight="1" x14ac:dyDescent="0.85">
      <c r="B46" s="804"/>
      <c r="C46" s="804"/>
      <c r="D46" s="1241" t="s">
        <v>30</v>
      </c>
      <c r="E46" s="1242"/>
      <c r="F46" s="1592">
        <f>+AA19</f>
        <v>11.270293457697214</v>
      </c>
      <c r="G46" s="1656"/>
      <c r="H46" s="1593"/>
      <c r="I46" s="1370"/>
      <c r="J46" s="985"/>
      <c r="K46" s="986"/>
      <c r="L46" s="945"/>
      <c r="M46" s="1713"/>
      <c r="N46" s="1714"/>
      <c r="O46" s="1003"/>
      <c r="P46" s="987"/>
      <c r="Q46" s="1277"/>
      <c r="R46" s="1165" t="s">
        <v>6</v>
      </c>
      <c r="S46" s="1165">
        <v>0.8</v>
      </c>
      <c r="T46" s="879">
        <f>IFERROR(+F45/S46,0)</f>
        <v>1.0878686723718376</v>
      </c>
      <c r="U46" s="804"/>
      <c r="V46" s="1217"/>
      <c r="W46" s="1361"/>
      <c r="X46" s="1361"/>
      <c r="Y46" s="881" t="s">
        <v>5</v>
      </c>
      <c r="Z46" s="1715">
        <v>12</v>
      </c>
      <c r="AA46" s="1716"/>
      <c r="AB46" s="1594">
        <f>+IFERROR(AB44/AB45,0)</f>
        <v>12.747871307348319</v>
      </c>
      <c r="AC46" s="1664"/>
      <c r="AD46" s="1664"/>
      <c r="AE46" s="1595"/>
      <c r="AF46" s="904"/>
      <c r="AG46" s="1168">
        <f>+IFERROR(AB46-Z46,0)</f>
        <v>0.74787130734831919</v>
      </c>
      <c r="AH46" s="951"/>
      <c r="AI46" s="951"/>
      <c r="AJ46" s="950" t="s">
        <v>107</v>
      </c>
      <c r="AK46" s="1168">
        <f>IFERROR((D39-AB44)/AK44,"")</f>
        <v>61377.454545454544</v>
      </c>
      <c r="AS46" s="951">
        <v>20.61</v>
      </c>
    </row>
    <row r="47" spans="1:45" ht="39" customHeight="1" thickBot="1" x14ac:dyDescent="0.9">
      <c r="B47" s="804"/>
      <c r="C47" s="804"/>
      <c r="D47" s="1243" t="s">
        <v>29</v>
      </c>
      <c r="E47" s="1244"/>
      <c r="F47" s="1720">
        <f>+AA39</f>
        <v>12.747871307348319</v>
      </c>
      <c r="G47" s="1721"/>
      <c r="H47" s="1722"/>
      <c r="I47" s="1371"/>
      <c r="J47" s="991"/>
      <c r="K47" s="992"/>
      <c r="L47" s="946"/>
      <c r="M47" s="1723"/>
      <c r="N47" s="1724"/>
      <c r="O47" s="1004"/>
      <c r="P47" s="993"/>
      <c r="Q47" s="1278"/>
      <c r="R47" s="1160"/>
      <c r="S47" s="1160"/>
      <c r="T47" s="804"/>
      <c r="U47" s="804"/>
      <c r="V47" s="1217"/>
      <c r="W47" s="1361"/>
      <c r="X47" s="1361"/>
      <c r="Y47" s="905" t="s">
        <v>6</v>
      </c>
      <c r="Z47" s="1725">
        <v>0.8</v>
      </c>
      <c r="AA47" s="1726"/>
      <c r="AB47" s="1165"/>
      <c r="AC47" s="1657">
        <f>F45</f>
        <v>0.87029493789747014</v>
      </c>
      <c r="AD47" s="1657"/>
      <c r="AE47" s="1657"/>
      <c r="AF47" s="950"/>
      <c r="AG47" s="1168">
        <f>+IFERROR(AC47-Z47,0)</f>
        <v>7.02949378974701E-2</v>
      </c>
      <c r="AH47" s="951"/>
      <c r="AI47" s="951"/>
      <c r="AJ47" s="950" t="s">
        <v>108</v>
      </c>
      <c r="AK47" s="1168">
        <f>IFERROR((O39-AB45)/AK44,"")</f>
        <v>4599.9048484848481</v>
      </c>
      <c r="AS47" s="951">
        <v>18.77</v>
      </c>
    </row>
    <row r="48" spans="1:45" x14ac:dyDescent="0.85">
      <c r="B48" s="804"/>
      <c r="C48" s="804"/>
      <c r="D48" s="1160"/>
      <c r="E48" s="1160"/>
      <c r="F48" s="1361"/>
      <c r="G48" s="968"/>
      <c r="H48" s="902"/>
      <c r="I48" s="865"/>
      <c r="J48" s="968"/>
      <c r="K48" s="1160"/>
      <c r="L48" s="1162"/>
      <c r="M48" s="1160"/>
      <c r="N48" s="1160"/>
      <c r="O48" s="1157"/>
      <c r="P48" s="1157"/>
      <c r="Q48" s="804"/>
      <c r="R48" s="1160"/>
      <c r="S48" s="1160"/>
      <c r="T48" s="804"/>
      <c r="U48" s="1156"/>
      <c r="V48" s="1160"/>
      <c r="W48" s="1375"/>
      <c r="X48" s="1375"/>
      <c r="Y48" s="808"/>
      <c r="Z48" s="804"/>
      <c r="AA48" s="804"/>
      <c r="AB48" s="804"/>
      <c r="AC48" s="804"/>
      <c r="AD48" s="804"/>
      <c r="AE48" s="1160"/>
      <c r="AF48" s="804"/>
      <c r="AG48" s="804"/>
      <c r="AS48" s="951">
        <v>21.13</v>
      </c>
    </row>
    <row r="49" spans="2:45" s="1177" customFormat="1" x14ac:dyDescent="0.85">
      <c r="B49" s="1157"/>
      <c r="C49" s="1157"/>
      <c r="D49" s="804"/>
      <c r="E49" s="804"/>
      <c r="F49" s="865"/>
      <c r="G49" s="968"/>
      <c r="H49" s="804"/>
      <c r="I49" s="1361"/>
      <c r="J49" s="968"/>
      <c r="K49" s="1160"/>
      <c r="L49" s="865"/>
      <c r="M49" s="804"/>
      <c r="N49" s="804"/>
      <c r="O49" s="1157"/>
      <c r="P49" s="1157"/>
      <c r="Q49" s="1279"/>
      <c r="R49" s="1160"/>
      <c r="S49" s="1160"/>
      <c r="T49" s="804"/>
      <c r="U49" s="1156"/>
      <c r="V49" s="1160"/>
      <c r="W49" s="1375"/>
      <c r="X49" s="1375"/>
      <c r="Y49" s="808"/>
      <c r="Z49" s="804"/>
      <c r="AA49" s="804"/>
      <c r="AB49" s="804"/>
      <c r="AC49" s="804"/>
      <c r="AD49" s="804"/>
      <c r="AE49" s="1160"/>
      <c r="AF49" s="804"/>
      <c r="AG49" s="804"/>
      <c r="AS49" s="1177">
        <v>17.260000000000002</v>
      </c>
    </row>
    <row r="50" spans="2:45" s="1177" customFormat="1" x14ac:dyDescent="0.85">
      <c r="B50" s="1157"/>
      <c r="C50" s="1157"/>
      <c r="D50" s="1157" t="s">
        <v>194</v>
      </c>
      <c r="E50" s="1157"/>
      <c r="F50" s="1361"/>
      <c r="G50" s="968"/>
      <c r="H50" s="907"/>
      <c r="I50" s="1372"/>
      <c r="J50" s="907"/>
      <c r="K50" s="907"/>
      <c r="L50" s="907"/>
      <c r="M50" s="1660" t="s">
        <v>208</v>
      </c>
      <c r="N50" s="1660"/>
      <c r="O50" s="1660"/>
      <c r="P50" s="1660"/>
      <c r="Q50" s="1660"/>
      <c r="R50" s="1660"/>
      <c r="S50" s="1660"/>
      <c r="T50" s="1660"/>
      <c r="U50" s="1660"/>
      <c r="V50" s="1660"/>
      <c r="W50" s="1660"/>
      <c r="X50" s="1361"/>
      <c r="Y50" s="808"/>
      <c r="Z50" s="804"/>
      <c r="AA50" s="804"/>
      <c r="AB50" s="804"/>
      <c r="AC50" s="804"/>
      <c r="AD50" s="804"/>
      <c r="AE50" s="1160"/>
      <c r="AF50" s="804"/>
      <c r="AG50" s="804"/>
      <c r="AS50" s="1177">
        <v>19.329999999999998</v>
      </c>
    </row>
    <row r="51" spans="2:45" s="1177" customFormat="1" x14ac:dyDescent="0.85">
      <c r="B51" s="1157"/>
      <c r="C51" s="1157"/>
      <c r="D51" s="1157"/>
      <c r="E51" s="1157"/>
      <c r="F51" s="1368"/>
      <c r="G51" s="1157"/>
      <c r="H51" s="804"/>
      <c r="I51" s="1368"/>
      <c r="J51" s="804"/>
      <c r="K51" s="804"/>
      <c r="L51" s="865"/>
      <c r="M51" s="911"/>
      <c r="N51" s="808"/>
      <c r="O51" s="808"/>
      <c r="P51" s="808"/>
      <c r="Q51" s="808"/>
      <c r="R51" s="1157"/>
      <c r="S51" s="1157"/>
      <c r="T51" s="1157"/>
      <c r="U51" s="1157"/>
      <c r="V51" s="1160"/>
      <c r="W51" s="1358"/>
      <c r="X51" s="1361"/>
      <c r="Y51" s="901" t="s">
        <v>240</v>
      </c>
      <c r="Z51" s="1157"/>
      <c r="AA51" s="804"/>
      <c r="AB51" s="804"/>
      <c r="AC51" s="902"/>
      <c r="AD51" s="902"/>
      <c r="AE51" s="804"/>
      <c r="AF51" s="804"/>
      <c r="AG51" s="804"/>
    </row>
    <row r="52" spans="2:45" s="1177" customFormat="1" x14ac:dyDescent="0.85">
      <c r="B52" s="1157"/>
      <c r="C52" s="1157"/>
      <c r="D52" s="1157"/>
      <c r="E52" s="1157"/>
      <c r="F52" s="1368"/>
      <c r="G52" s="1280"/>
      <c r="H52" s="804"/>
      <c r="I52" s="1368"/>
      <c r="J52" s="804"/>
      <c r="K52" s="804"/>
      <c r="L52" s="865"/>
      <c r="M52" s="911"/>
      <c r="N52" s="808"/>
      <c r="O52" s="808"/>
      <c r="P52" s="808"/>
      <c r="Q52" s="808"/>
      <c r="R52" s="1157"/>
      <c r="S52" s="1157"/>
      <c r="T52" s="1157"/>
      <c r="U52" s="1157"/>
      <c r="V52" s="1160"/>
      <c r="W52" s="1358"/>
      <c r="X52" s="1361"/>
      <c r="Y52" s="881" t="s">
        <v>104</v>
      </c>
      <c r="Z52" s="1592" t="s">
        <v>14</v>
      </c>
      <c r="AA52" s="1593"/>
      <c r="AB52" s="1592" t="s">
        <v>17</v>
      </c>
      <c r="AC52" s="1656"/>
      <c r="AD52" s="1656"/>
      <c r="AE52" s="1593"/>
      <c r="AF52" s="1168" t="s">
        <v>105</v>
      </c>
      <c r="AG52" s="1168" t="s">
        <v>106</v>
      </c>
    </row>
    <row r="53" spans="2:45" s="1177" customFormat="1" x14ac:dyDescent="0.85">
      <c r="B53" s="1157"/>
      <c r="C53" s="1157"/>
      <c r="D53" s="1157"/>
      <c r="E53" s="1157"/>
      <c r="F53" s="1368"/>
      <c r="G53" s="968"/>
      <c r="H53" s="804"/>
      <c r="I53" s="1368"/>
      <c r="J53" s="804"/>
      <c r="K53" s="804"/>
      <c r="L53" s="865"/>
      <c r="M53" s="911"/>
      <c r="N53" s="808"/>
      <c r="O53" s="808"/>
      <c r="P53" s="808"/>
      <c r="Q53" s="808"/>
      <c r="R53" s="1157"/>
      <c r="S53" s="1157"/>
      <c r="T53" s="1157"/>
      <c r="U53" s="1157"/>
      <c r="V53" s="1160"/>
      <c r="W53" s="1358"/>
      <c r="X53" s="1361"/>
      <c r="Y53" s="881" t="s">
        <v>107</v>
      </c>
      <c r="Z53" s="1594">
        <f>SUM(D8:D19)</f>
        <v>550000</v>
      </c>
      <c r="AA53" s="1595"/>
      <c r="AB53" s="1607">
        <f>SUM(L8:L38)</f>
        <v>437272</v>
      </c>
      <c r="AC53" s="1718"/>
      <c r="AD53" s="1718"/>
      <c r="AE53" s="1719"/>
      <c r="AF53" s="903">
        <f>+IFERROR(AB53/Z53,0)</f>
        <v>0.79503999999999997</v>
      </c>
      <c r="AG53" s="1171">
        <f>+IFERROR(AB53-Z53,0)</f>
        <v>-112728</v>
      </c>
    </row>
    <row r="54" spans="2:45" s="1177" customFormat="1" x14ac:dyDescent="0.85">
      <c r="B54" s="1157"/>
      <c r="C54" s="1157"/>
      <c r="D54" s="1157"/>
      <c r="E54" s="1157" t="s">
        <v>239</v>
      </c>
      <c r="F54" s="1368"/>
      <c r="G54" s="968"/>
      <c r="H54" s="804"/>
      <c r="I54" s="1368"/>
      <c r="J54" s="804"/>
      <c r="K54" s="804"/>
      <c r="L54" s="865"/>
      <c r="M54" s="911"/>
      <c r="N54" s="808"/>
      <c r="O54" s="808"/>
      <c r="P54" s="808"/>
      <c r="Q54" s="808"/>
      <c r="R54" s="1157"/>
      <c r="S54" s="1157"/>
      <c r="T54" s="1157"/>
      <c r="U54" s="1157"/>
      <c r="V54" s="1160"/>
      <c r="W54" s="1358"/>
      <c r="X54" s="1361"/>
      <c r="Y54" s="881" t="s">
        <v>108</v>
      </c>
      <c r="Z54" s="1594">
        <f>SUM(O8:O19)</f>
        <v>41800</v>
      </c>
      <c r="AA54" s="1595"/>
      <c r="AB54" s="1607">
        <f>SUM(S8:S38)</f>
        <v>34301.570000000007</v>
      </c>
      <c r="AC54" s="1718"/>
      <c r="AD54" s="1718"/>
      <c r="AE54" s="1719"/>
      <c r="AF54" s="903">
        <f>+IFERROR(AB54/Z54,0)</f>
        <v>0.82061172248803849</v>
      </c>
      <c r="AG54" s="1171">
        <f>+IFERROR(AB54-Z54,0)</f>
        <v>-7498.429999999993</v>
      </c>
    </row>
    <row r="55" spans="2:45" s="1177" customFormat="1" x14ac:dyDescent="0.85">
      <c r="B55" s="1157"/>
      <c r="C55" s="1157"/>
      <c r="D55" s="910"/>
      <c r="E55" s="910" t="s">
        <v>238</v>
      </c>
      <c r="F55" s="865"/>
      <c r="G55" s="968"/>
      <c r="H55" s="804"/>
      <c r="I55" s="1361"/>
      <c r="J55" s="968"/>
      <c r="K55" s="1160"/>
      <c r="L55" s="865"/>
      <c r="M55" s="911"/>
      <c r="N55" s="1162"/>
      <c r="O55" s="808"/>
      <c r="P55" s="808"/>
      <c r="Q55" s="808"/>
      <c r="R55" s="1157"/>
      <c r="S55" s="1157"/>
      <c r="T55" s="1157"/>
      <c r="U55" s="1160"/>
      <c r="V55" s="1160"/>
      <c r="W55" s="865"/>
      <c r="X55" s="1361"/>
      <c r="Y55" s="881" t="s">
        <v>5</v>
      </c>
      <c r="Z55" s="1594">
        <f>+IFERROR(Z53/Z54,0)</f>
        <v>13.157894736842104</v>
      </c>
      <c r="AA55" s="1595"/>
      <c r="AB55" s="1594">
        <f>+IFERROR(AB53/AB54,0)</f>
        <v>12.747871307348319</v>
      </c>
      <c r="AC55" s="1664"/>
      <c r="AD55" s="1664"/>
      <c r="AE55" s="1595"/>
      <c r="AF55" s="904"/>
      <c r="AG55" s="1168">
        <f>+IFERROR(AB55-Z55,0)</f>
        <v>-0.41002342949378523</v>
      </c>
      <c r="AS55" s="1177">
        <v>20.16</v>
      </c>
    </row>
    <row r="56" spans="2:45" s="1177" customFormat="1" ht="32.4" x14ac:dyDescent="0.85">
      <c r="B56" s="1157"/>
      <c r="C56" s="1157"/>
      <c r="D56" s="804"/>
      <c r="E56" s="804"/>
      <c r="F56" s="865"/>
      <c r="G56" s="968"/>
      <c r="H56" s="804"/>
      <c r="I56" s="1361"/>
      <c r="J56" s="968"/>
      <c r="K56" s="1160"/>
      <c r="L56" s="865"/>
      <c r="M56" s="1160"/>
      <c r="N56" s="1160"/>
      <c r="O56" s="1160"/>
      <c r="P56" s="1160"/>
      <c r="Q56" s="1160"/>
      <c r="R56" s="804"/>
      <c r="S56" s="804"/>
      <c r="T56" s="804"/>
      <c r="U56" s="912"/>
      <c r="V56" s="1160"/>
      <c r="W56" s="1358"/>
      <c r="X56" s="1361"/>
      <c r="Y56" s="905" t="s">
        <v>6</v>
      </c>
      <c r="Z56" s="1665">
        <v>0.8</v>
      </c>
      <c r="AA56" s="1666"/>
      <c r="AB56" s="1165"/>
      <c r="AC56" s="1657">
        <f>+AE39</f>
        <v>0.87029493789747014</v>
      </c>
      <c r="AD56" s="1657"/>
      <c r="AE56" s="1657"/>
      <c r="AF56" s="950"/>
      <c r="AG56" s="1168">
        <f>+IFERROR(AC56-Z56,0)</f>
        <v>7.02949378974701E-2</v>
      </c>
    </row>
    <row r="57" spans="2:45" s="1177" customFormat="1" ht="32.4" x14ac:dyDescent="0.85">
      <c r="B57" s="1157"/>
      <c r="C57" s="1157"/>
      <c r="D57" s="804"/>
      <c r="E57" s="804"/>
      <c r="F57" s="865"/>
      <c r="G57" s="968"/>
      <c r="H57" s="804"/>
      <c r="I57" s="1361"/>
      <c r="J57" s="968"/>
      <c r="K57" s="1160"/>
      <c r="L57" s="865"/>
      <c r="M57" s="1160"/>
      <c r="N57" s="1160"/>
      <c r="O57" s="1160"/>
      <c r="P57" s="1160"/>
      <c r="Q57" s="1160"/>
      <c r="R57" s="804"/>
      <c r="S57" s="804"/>
      <c r="T57" s="804"/>
      <c r="U57" s="912"/>
      <c r="V57" s="1160"/>
      <c r="W57" s="1358"/>
      <c r="X57" s="1361"/>
      <c r="Y57" s="808"/>
      <c r="Z57" s="804"/>
      <c r="AA57" s="804"/>
      <c r="AB57" s="804"/>
      <c r="AC57" s="804"/>
      <c r="AD57" s="804"/>
      <c r="AE57" s="1160"/>
      <c r="AF57" s="804"/>
      <c r="AG57" s="804"/>
    </row>
    <row r="58" spans="2:45" x14ac:dyDescent="0.85">
      <c r="B58" s="804"/>
      <c r="C58" s="804"/>
      <c r="D58" s="1157"/>
      <c r="E58" s="1157"/>
      <c r="F58" s="865"/>
      <c r="G58" s="968"/>
      <c r="H58" s="804"/>
      <c r="I58" s="1361"/>
      <c r="J58" s="968"/>
      <c r="K58" s="1160"/>
      <c r="L58" s="865"/>
      <c r="M58" s="1160"/>
      <c r="N58" s="1162"/>
      <c r="O58" s="804"/>
      <c r="P58" s="804"/>
      <c r="Q58" s="804"/>
      <c r="R58" s="1157"/>
      <c r="S58" s="1157"/>
      <c r="T58" s="1157"/>
      <c r="U58" s="1160"/>
      <c r="V58" s="1160"/>
      <c r="W58" s="865"/>
      <c r="X58" s="1361"/>
      <c r="Y58" s="1727"/>
      <c r="Z58" s="1727"/>
      <c r="AA58" s="1727"/>
      <c r="AB58" s="804"/>
      <c r="AC58" s="804"/>
      <c r="AD58" s="804"/>
      <c r="AE58" s="1160"/>
      <c r="AF58" s="804"/>
      <c r="AG58" s="804"/>
      <c r="AS58" s="951">
        <v>20.09</v>
      </c>
    </row>
    <row r="59" spans="2:45" ht="32.4" x14ac:dyDescent="0.85">
      <c r="B59" s="804"/>
      <c r="C59" s="804"/>
      <c r="D59" s="1159" t="s">
        <v>204</v>
      </c>
      <c r="E59" s="1159"/>
      <c r="F59" s="1281"/>
      <c r="G59" s="968"/>
      <c r="H59" s="1001"/>
      <c r="I59" s="1363"/>
      <c r="J59" s="1717"/>
      <c r="K59" s="1717"/>
      <c r="L59" s="1281"/>
      <c r="M59" s="1160"/>
      <c r="N59" s="1162"/>
      <c r="O59" s="804"/>
      <c r="P59" s="1001" t="s">
        <v>232</v>
      </c>
      <c r="Q59" s="804"/>
      <c r="R59" s="1157"/>
      <c r="S59" s="1160"/>
      <c r="T59" s="1157" t="s">
        <v>230</v>
      </c>
      <c r="U59" s="804"/>
      <c r="V59" s="1156"/>
      <c r="W59" s="865"/>
      <c r="X59" s="1361"/>
      <c r="Y59" s="1282"/>
      <c r="Z59" s="1282"/>
      <c r="AA59" s="1282"/>
      <c r="AB59" s="804"/>
      <c r="AC59" s="804"/>
      <c r="AD59" s="804"/>
      <c r="AE59" s="1160"/>
      <c r="AF59" s="804"/>
      <c r="AG59" s="804"/>
      <c r="AS59" s="951">
        <v>19.66</v>
      </c>
    </row>
    <row r="60" spans="2:45" ht="23.25" customHeight="1" x14ac:dyDescent="0.85">
      <c r="B60" s="804"/>
      <c r="C60" s="804"/>
      <c r="D60" s="1157" t="s">
        <v>191</v>
      </c>
      <c r="E60" s="1157"/>
      <c r="F60" s="865"/>
      <c r="G60" s="968"/>
      <c r="H60" s="1157"/>
      <c r="I60" s="1361"/>
      <c r="J60" s="1660"/>
      <c r="K60" s="1660"/>
      <c r="L60" s="865"/>
      <c r="M60" s="804"/>
      <c r="N60" s="1162"/>
      <c r="O60" s="1160"/>
      <c r="P60" s="1283" t="s">
        <v>233</v>
      </c>
      <c r="Q60" s="1660"/>
      <c r="R60" s="1660"/>
      <c r="S60" s="1160"/>
      <c r="T60" s="1157" t="s">
        <v>229</v>
      </c>
      <c r="U60" s="804"/>
      <c r="V60" s="1156"/>
      <c r="W60" s="1375"/>
      <c r="X60" s="1375"/>
      <c r="Y60" s="1284" t="s">
        <v>207</v>
      </c>
      <c r="Z60" s="1728" t="s">
        <v>223</v>
      </c>
      <c r="AA60" s="1728"/>
      <c r="AB60" s="950"/>
      <c r="AC60" s="1576" t="s">
        <v>219</v>
      </c>
      <c r="AD60" s="1576"/>
      <c r="AE60" s="1160"/>
      <c r="AF60" s="804"/>
      <c r="AG60" s="804"/>
      <c r="AS60" s="951">
        <v>18.27</v>
      </c>
    </row>
    <row r="61" spans="2:45" x14ac:dyDescent="0.85">
      <c r="B61" s="804"/>
      <c r="C61" s="804"/>
      <c r="D61" s="1157"/>
      <c r="E61" s="1157"/>
      <c r="F61" s="865"/>
      <c r="G61" s="968"/>
      <c r="H61" s="804"/>
      <c r="I61" s="1361"/>
      <c r="J61" s="968"/>
      <c r="K61" s="1160"/>
      <c r="L61" s="865"/>
      <c r="M61" s="804"/>
      <c r="N61" s="804"/>
      <c r="O61" s="1157"/>
      <c r="P61" s="1157"/>
      <c r="Q61" s="1160"/>
      <c r="R61" s="1160"/>
      <c r="S61" s="1160"/>
      <c r="T61" s="804"/>
      <c r="U61" s="1156"/>
      <c r="V61" s="1160"/>
      <c r="W61" s="1730"/>
      <c r="X61" s="1731"/>
      <c r="Y61" s="847">
        <v>110000</v>
      </c>
      <c r="Z61" s="1729">
        <f>V19</f>
        <v>58946.47</v>
      </c>
      <c r="AA61" s="1729"/>
      <c r="AB61" s="950"/>
      <c r="AC61" s="1579">
        <f>+(Y61-Z61)</f>
        <v>51053.53</v>
      </c>
      <c r="AD61" s="1576"/>
      <c r="AE61" s="1160"/>
      <c r="AF61" s="804"/>
      <c r="AG61" s="902"/>
      <c r="AS61" s="951">
        <v>19.07</v>
      </c>
    </row>
    <row r="62" spans="2:45" ht="32.4" x14ac:dyDescent="0.85">
      <c r="B62" s="804"/>
      <c r="C62" s="804"/>
      <c r="D62" s="1285"/>
      <c r="E62" s="1285"/>
      <c r="F62" s="865"/>
      <c r="G62" s="968"/>
      <c r="H62" s="1001"/>
      <c r="I62" s="1361"/>
      <c r="J62" s="968"/>
      <c r="K62" s="1160"/>
      <c r="L62" s="1281"/>
      <c r="M62" s="804"/>
      <c r="N62" s="804"/>
      <c r="O62" s="1157"/>
      <c r="P62" s="1157"/>
      <c r="Q62" s="1160"/>
      <c r="R62" s="1160"/>
      <c r="S62" s="1160"/>
      <c r="T62" s="804"/>
      <c r="U62" s="1156"/>
      <c r="V62" s="1160"/>
      <c r="W62" s="1375"/>
      <c r="X62" s="1375"/>
      <c r="Y62" s="808"/>
      <c r="Z62" s="804"/>
      <c r="AA62" s="804"/>
      <c r="AB62" s="804"/>
      <c r="AC62" s="804"/>
      <c r="AD62" s="804"/>
      <c r="AE62" s="1160"/>
      <c r="AF62" s="804"/>
      <c r="AG62" s="804"/>
      <c r="AS62" s="951">
        <v>20.13</v>
      </c>
    </row>
    <row r="63" spans="2:45" x14ac:dyDescent="0.85">
      <c r="B63" s="804"/>
      <c r="C63" s="804"/>
      <c r="D63" s="1157"/>
      <c r="E63" s="1157"/>
      <c r="F63" s="865"/>
      <c r="G63" s="968"/>
      <c r="H63" s="804"/>
      <c r="I63" s="1361"/>
      <c r="J63" s="968"/>
      <c r="K63" s="1160"/>
      <c r="L63" s="865"/>
      <c r="M63" s="804"/>
      <c r="N63" s="804"/>
      <c r="O63" s="1157"/>
      <c r="P63" s="1157"/>
      <c r="Q63" s="1160"/>
      <c r="R63" s="1160"/>
      <c r="S63" s="1160"/>
      <c r="T63" s="804"/>
      <c r="U63" s="1156"/>
      <c r="V63" s="1160"/>
      <c r="W63" s="1375"/>
      <c r="X63" s="1375"/>
      <c r="Y63" s="808"/>
      <c r="Z63" s="804"/>
      <c r="AA63" s="902"/>
      <c r="AB63" s="804"/>
      <c r="AC63" s="902"/>
      <c r="AD63" s="804"/>
      <c r="AE63" s="1160"/>
      <c r="AF63" s="804"/>
      <c r="AG63" s="804"/>
      <c r="AS63" s="951">
        <v>21.25</v>
      </c>
    </row>
    <row r="64" spans="2:45" x14ac:dyDescent="0.85">
      <c r="B64" s="804"/>
      <c r="C64" s="804"/>
      <c r="D64" s="1160"/>
      <c r="E64" s="1160"/>
      <c r="F64" s="1361"/>
      <c r="G64" s="968"/>
      <c r="H64" s="804"/>
      <c r="I64" s="865"/>
      <c r="J64" s="968"/>
      <c r="K64" s="1160"/>
      <c r="L64" s="1162"/>
      <c r="M64" s="804"/>
      <c r="N64" s="804"/>
      <c r="O64" s="1157"/>
      <c r="P64" s="1157"/>
      <c r="Q64" s="1160"/>
      <c r="R64" s="1160"/>
      <c r="S64" s="1160"/>
      <c r="T64" s="804"/>
      <c r="U64" s="1156"/>
      <c r="V64" s="1727" t="s">
        <v>237</v>
      </c>
      <c r="W64" s="1727"/>
      <c r="X64" s="1727"/>
      <c r="Y64" s="1727"/>
      <c r="Z64" s="1727"/>
      <c r="AA64" s="1727"/>
      <c r="AB64" s="1727"/>
      <c r="AC64" s="1727"/>
      <c r="AD64" s="1727"/>
      <c r="AE64" s="1160"/>
      <c r="AF64" s="804"/>
      <c r="AG64" s="804"/>
      <c r="AS64" s="951">
        <v>20.059999999999999</v>
      </c>
    </row>
    <row r="65" spans="2:45" x14ac:dyDescent="0.85">
      <c r="B65" s="804"/>
      <c r="C65" s="804"/>
      <c r="D65" s="1160"/>
      <c r="E65" s="1160"/>
      <c r="F65" s="1361"/>
      <c r="G65" s="968"/>
      <c r="H65" s="804"/>
      <c r="I65" s="865"/>
      <c r="J65" s="968"/>
      <c r="K65" s="1160"/>
      <c r="L65" s="1162"/>
      <c r="M65" s="804"/>
      <c r="N65" s="804"/>
      <c r="O65" s="1157"/>
      <c r="P65" s="1157"/>
      <c r="Q65" s="1160"/>
      <c r="R65" s="1160"/>
      <c r="S65" s="1160"/>
      <c r="T65" s="804"/>
      <c r="U65" s="1156"/>
      <c r="V65" s="1160"/>
      <c r="W65" s="1375"/>
      <c r="X65" s="1375"/>
      <c r="Y65" s="808"/>
      <c r="Z65" s="804"/>
      <c r="AA65" s="804"/>
      <c r="AB65" s="804"/>
      <c r="AC65" s="804"/>
      <c r="AD65" s="804"/>
      <c r="AE65" s="1160"/>
      <c r="AF65" s="804"/>
      <c r="AG65" s="804"/>
      <c r="AS65" s="951">
        <v>19.77</v>
      </c>
    </row>
    <row r="66" spans="2:45" x14ac:dyDescent="0.85">
      <c r="B66" s="804"/>
      <c r="C66" s="804"/>
      <c r="D66" s="1160"/>
      <c r="E66" s="1160"/>
      <c r="F66" s="1361"/>
      <c r="G66" s="968"/>
      <c r="H66" s="804"/>
      <c r="I66" s="865"/>
      <c r="J66" s="968"/>
      <c r="K66" s="1160"/>
      <c r="L66" s="1162"/>
      <c r="M66" s="804"/>
      <c r="N66" s="804"/>
      <c r="O66" s="1157"/>
      <c r="P66" s="1157"/>
      <c r="Q66" s="1160"/>
      <c r="R66" s="1160"/>
      <c r="S66" s="1160"/>
      <c r="T66" s="804"/>
      <c r="U66" s="1156"/>
      <c r="V66" s="1160"/>
      <c r="W66" s="1375"/>
      <c r="X66" s="1375"/>
      <c r="Y66" s="808"/>
      <c r="Z66" s="804"/>
      <c r="AA66" s="804"/>
      <c r="AB66" s="804"/>
      <c r="AC66" s="804"/>
      <c r="AD66" s="804"/>
      <c r="AE66" s="1160"/>
      <c r="AF66" s="804"/>
      <c r="AG66" s="804"/>
      <c r="AS66" s="951">
        <v>20.16</v>
      </c>
    </row>
    <row r="67" spans="2:45" x14ac:dyDescent="0.85">
      <c r="B67" s="804"/>
      <c r="C67" s="804"/>
      <c r="D67" s="1160"/>
      <c r="E67" s="1160"/>
      <c r="F67" s="1361"/>
      <c r="G67" s="968"/>
      <c r="H67" s="804"/>
      <c r="I67" s="865"/>
      <c r="J67" s="968"/>
      <c r="K67" s="1160"/>
      <c r="L67" s="1162"/>
      <c r="M67" s="804"/>
      <c r="N67" s="804"/>
      <c r="O67" s="1157"/>
      <c r="P67" s="1157"/>
      <c r="Q67" s="1160"/>
      <c r="R67" s="1160"/>
      <c r="S67" s="1160"/>
      <c r="T67" s="804"/>
      <c r="U67" s="1156"/>
      <c r="V67" s="1160"/>
      <c r="W67" s="1375"/>
      <c r="X67" s="1375"/>
      <c r="Y67" s="808"/>
      <c r="Z67" s="804"/>
      <c r="AA67" s="804"/>
      <c r="AB67" s="804"/>
      <c r="AC67" s="804"/>
      <c r="AD67" s="804"/>
      <c r="AE67" s="1160"/>
      <c r="AF67" s="804"/>
      <c r="AG67" s="804"/>
      <c r="AS67" s="951">
        <f>SUM(AS18:AS66)</f>
        <v>789.32999999999981</v>
      </c>
    </row>
    <row r="68" spans="2:45" x14ac:dyDescent="0.85">
      <c r="B68" s="804"/>
      <c r="C68" s="804"/>
      <c r="D68" s="1160"/>
      <c r="E68" s="1160"/>
      <c r="F68" s="1361"/>
      <c r="G68" s="968"/>
      <c r="H68" s="804"/>
      <c r="I68" s="865"/>
      <c r="J68" s="968"/>
      <c r="K68" s="1160"/>
      <c r="L68" s="1162"/>
      <c r="M68" s="804"/>
      <c r="N68" s="804"/>
      <c r="O68" s="1157"/>
      <c r="P68" s="1157"/>
      <c r="Q68" s="1160"/>
      <c r="R68" s="1160"/>
      <c r="S68" s="1160"/>
      <c r="T68" s="804"/>
      <c r="U68" s="1156"/>
      <c r="V68" s="1160"/>
      <c r="W68" s="1375"/>
      <c r="X68" s="1375"/>
      <c r="Y68" s="808"/>
      <c r="Z68" s="804"/>
      <c r="AA68" s="804"/>
      <c r="AB68" s="804"/>
      <c r="AC68" s="804"/>
      <c r="AD68" s="804"/>
      <c r="AE68" s="1160"/>
      <c r="AF68" s="804"/>
      <c r="AG68" s="804"/>
      <c r="AS68" s="951">
        <f>+AS67+22</f>
        <v>811.32999999999981</v>
      </c>
    </row>
    <row r="69" spans="2:45" x14ac:dyDescent="0.85">
      <c r="B69" s="804"/>
      <c r="C69" s="804"/>
      <c r="D69" s="804"/>
      <c r="E69" s="804"/>
      <c r="F69" s="1361"/>
      <c r="G69" s="968"/>
      <c r="H69" s="804"/>
      <c r="I69" s="1361"/>
      <c r="J69" s="968"/>
      <c r="K69" s="804"/>
      <c r="L69" s="808"/>
      <c r="M69" s="804"/>
      <c r="N69" s="804"/>
      <c r="O69" s="804"/>
      <c r="P69" s="804"/>
      <c r="Q69" s="804"/>
      <c r="R69" s="804"/>
      <c r="S69" s="804"/>
      <c r="T69" s="804"/>
      <c r="U69" s="804"/>
      <c r="V69" s="1217"/>
      <c r="W69" s="1361"/>
      <c r="X69" s="1361"/>
      <c r="Y69" s="808"/>
      <c r="Z69" s="804"/>
      <c r="AA69" s="804"/>
      <c r="AB69" s="804"/>
      <c r="AC69" s="804"/>
      <c r="AD69" s="804"/>
      <c r="AE69" s="804"/>
      <c r="AF69" s="804"/>
      <c r="AG69" s="804"/>
      <c r="AH69" s="951"/>
      <c r="AI69" s="951"/>
      <c r="AS69" s="951">
        <f>927.8-AS67</f>
        <v>138.47000000000014</v>
      </c>
    </row>
  </sheetData>
  <mergeCells count="69">
    <mergeCell ref="V64:AD64"/>
    <mergeCell ref="AC60:AD60"/>
    <mergeCell ref="Z61:AA61"/>
    <mergeCell ref="AC61:AD61"/>
    <mergeCell ref="J60:K60"/>
    <mergeCell ref="Q60:R60"/>
    <mergeCell ref="W61:X61"/>
    <mergeCell ref="F47:H47"/>
    <mergeCell ref="M47:N47"/>
    <mergeCell ref="Z47:AA47"/>
    <mergeCell ref="Y58:AA58"/>
    <mergeCell ref="Z60:AA60"/>
    <mergeCell ref="M50:W50"/>
    <mergeCell ref="AC47:AE47"/>
    <mergeCell ref="J59:K59"/>
    <mergeCell ref="Z52:AA52"/>
    <mergeCell ref="AB52:AE52"/>
    <mergeCell ref="Z53:AA53"/>
    <mergeCell ref="AB53:AE53"/>
    <mergeCell ref="Z54:AA54"/>
    <mergeCell ref="AB54:AE54"/>
    <mergeCell ref="Z55:AA55"/>
    <mergeCell ref="AB55:AE55"/>
    <mergeCell ref="Z56:AA56"/>
    <mergeCell ref="AC56:AE56"/>
    <mergeCell ref="F46:H46"/>
    <mergeCell ref="M46:N46"/>
    <mergeCell ref="Z46:AA46"/>
    <mergeCell ref="AB46:AE46"/>
    <mergeCell ref="Z43:AA43"/>
    <mergeCell ref="AB43:AE43"/>
    <mergeCell ref="F44:H44"/>
    <mergeCell ref="I44:L44"/>
    <mergeCell ref="M44:N44"/>
    <mergeCell ref="Z44:AA44"/>
    <mergeCell ref="AB44:AE44"/>
    <mergeCell ref="F45:H45"/>
    <mergeCell ref="I45:L45"/>
    <mergeCell ref="M45:N45"/>
    <mergeCell ref="Z45:AA45"/>
    <mergeCell ref="AB45:AE45"/>
    <mergeCell ref="F42:H42"/>
    <mergeCell ref="I42:L42"/>
    <mergeCell ref="M42:N42"/>
    <mergeCell ref="F43:H43"/>
    <mergeCell ref="I43:L43"/>
    <mergeCell ref="M43:N43"/>
    <mergeCell ref="AK5:AK7"/>
    <mergeCell ref="AL5:AL7"/>
    <mergeCell ref="G7:H7"/>
    <mergeCell ref="Z5:AB6"/>
    <mergeCell ref="AC5:AC7"/>
    <mergeCell ref="AD5:AD7"/>
    <mergeCell ref="AE5:AE7"/>
    <mergeCell ref="AF5:AF7"/>
    <mergeCell ref="AG5:AG7"/>
    <mergeCell ref="B5:B7"/>
    <mergeCell ref="W5:W7"/>
    <mergeCell ref="X5:X7"/>
    <mergeCell ref="AH5:AH7"/>
    <mergeCell ref="AJ5:AJ7"/>
    <mergeCell ref="Y5:Y7"/>
    <mergeCell ref="J7:K7"/>
    <mergeCell ref="C6:E6"/>
    <mergeCell ref="F6:N6"/>
    <mergeCell ref="C5:N5"/>
    <mergeCell ref="O6:P6"/>
    <mergeCell ref="Q6:V6"/>
    <mergeCell ref="O5:V5"/>
  </mergeCells>
  <conditionalFormatting sqref="M8 M15 M31 M19 M23 M28 M10:M12 M37:M38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5">
      <colorScale>
        <cfvo type="min"/>
        <cfvo type="max"/>
        <color theme="0"/>
        <color theme="0"/>
      </colorScale>
    </cfRule>
  </conditionalFormatting>
  <conditionalFormatting sqref="M9">
    <cfRule type="colorScale" priority="11">
      <colorScale>
        <cfvo type="min"/>
        <cfvo type="max"/>
        <color theme="0"/>
        <color theme="0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3">
    <cfRule type="colorScale" priority="5">
      <colorScale>
        <cfvo type="min"/>
        <cfvo type="max"/>
        <color theme="0"/>
        <color theme="0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4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5">
      <colorScale>
        <cfvo type="min"/>
        <cfvo type="max"/>
        <color theme="0"/>
        <color theme="0"/>
      </colorScale>
    </cfRule>
  </conditionalFormatting>
  <conditionalFormatting sqref="M16">
    <cfRule type="colorScale" priority="9">
      <colorScale>
        <cfvo type="min"/>
        <cfvo type="max"/>
        <color theme="0"/>
        <color theme="0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7">
    <cfRule type="colorScale" priority="49">
      <colorScale>
        <cfvo type="min"/>
        <cfvo type="max"/>
        <color theme="0"/>
        <color theme="0"/>
      </colorScale>
    </cfRule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8">
    <cfRule type="colorScale" priority="47">
      <colorScale>
        <cfvo type="min"/>
        <cfvo type="max"/>
        <color theme="0"/>
        <color theme="0"/>
      </colorScale>
    </cfRule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0:M21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5">
      <colorScale>
        <cfvo type="min"/>
        <cfvo type="max"/>
        <color theme="0"/>
        <color theme="0"/>
      </colorScale>
    </cfRule>
  </conditionalFormatting>
  <conditionalFormatting sqref="M22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3">
      <colorScale>
        <cfvo type="min"/>
        <cfvo type="max"/>
        <color theme="0"/>
        <color theme="0"/>
      </colorScale>
    </cfRule>
  </conditionalFormatting>
  <conditionalFormatting sqref="M24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">
      <colorScale>
        <cfvo type="min"/>
        <cfvo type="max"/>
        <color theme="0"/>
        <color theme="0"/>
      </colorScale>
    </cfRule>
  </conditionalFormatting>
  <conditionalFormatting sqref="M25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9">
      <colorScale>
        <cfvo type="min"/>
        <cfvo type="max"/>
        <color theme="0"/>
        <color theme="0"/>
      </colorScale>
    </cfRule>
  </conditionalFormatting>
  <conditionalFormatting sqref="M26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7">
      <colorScale>
        <cfvo type="min"/>
        <cfvo type="max"/>
        <color theme="0"/>
        <color theme="0"/>
      </colorScale>
    </cfRule>
  </conditionalFormatting>
  <conditionalFormatting sqref="M27">
    <cfRule type="colorScale" priority="29">
      <colorScale>
        <cfvo type="min"/>
        <cfvo type="max"/>
        <color theme="0"/>
        <color theme="0"/>
      </colorScale>
    </cfRule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max"/>
        <color theme="0"/>
        <color theme="0"/>
      </colorScale>
    </cfRule>
  </conditionalFormatting>
  <conditionalFormatting sqref="M30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">
      <colorScale>
        <cfvo type="min"/>
        <cfvo type="max"/>
        <color theme="0"/>
        <color theme="0"/>
      </colorScale>
    </cfRule>
  </conditionalFormatting>
  <conditionalFormatting sqref="M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max"/>
        <color theme="0"/>
        <color theme="0"/>
      </colorScale>
    </cfRule>
  </conditionalFormatting>
  <conditionalFormatting sqref="M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">
      <colorScale>
        <cfvo type="min"/>
        <cfvo type="max"/>
        <color theme="0"/>
        <color theme="0"/>
      </colorScale>
    </cfRule>
  </conditionalFormatting>
  <conditionalFormatting sqref="M34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">
      <colorScale>
        <cfvo type="min"/>
        <cfvo type="max"/>
        <color theme="0"/>
        <color theme="0"/>
      </colorScale>
    </cfRule>
  </conditionalFormatting>
  <conditionalFormatting sqref="M35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">
      <colorScale>
        <cfvo type="min"/>
        <cfvo type="max"/>
        <color theme="0"/>
        <color theme="0"/>
      </colorScale>
    </cfRule>
  </conditionalFormatting>
  <conditionalFormatting sqref="M3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">
      <colorScale>
        <cfvo type="min"/>
        <cfvo type="max"/>
        <color theme="0"/>
        <color theme="0"/>
      </colorScale>
    </cfRule>
  </conditionalFormatting>
  <printOptions horizontalCentered="1"/>
  <pageMargins left="0.56496062999999996" right="0.56496062999999996" top="0.74803149606299202" bottom="0.74803149606299202" header="0.31496062992126" footer="0.31496062992126"/>
  <pageSetup paperSize="8" scale="2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U69"/>
  <sheetViews>
    <sheetView showGridLines="0" zoomScale="40" zoomScaleNormal="40" zoomScaleSheetLayoutView="40" workbookViewId="0">
      <pane xSplit="2" ySplit="7" topLeftCell="O30" activePane="bottomRight" state="frozen"/>
      <selection activeCell="F42" sqref="F42:H42"/>
      <selection pane="topRight" activeCell="F42" sqref="F42:H42"/>
      <selection pane="bottomLeft" activeCell="F42" sqref="F42:H42"/>
      <selection pane="bottomRight" activeCell="F42" sqref="F42:H42"/>
    </sheetView>
  </sheetViews>
  <sheetFormatPr defaultColWidth="21.26171875" defaultRowHeight="27" x14ac:dyDescent="0.85"/>
  <cols>
    <col min="1" max="1" width="7.26171875" style="951" customWidth="1"/>
    <col min="2" max="2" width="24.83984375" style="951" customWidth="1"/>
    <col min="3" max="3" width="28" style="951" bestFit="1" customWidth="1"/>
    <col min="4" max="5" width="31.83984375" style="1182" customWidth="1"/>
    <col min="6" max="6" width="26.41796875" style="951" bestFit="1" customWidth="1"/>
    <col min="7" max="7" width="26.41796875" style="952" bestFit="1" customWidth="1"/>
    <col min="8" max="8" width="13.83984375" style="951" customWidth="1"/>
    <col min="9" max="9" width="22.68359375" style="1182" bestFit="1" customWidth="1"/>
    <col min="10" max="10" width="19" style="952" bestFit="1" customWidth="1"/>
    <col min="11" max="11" width="15.83984375" style="1182" bestFit="1" customWidth="1"/>
    <col min="12" max="12" width="22.578125" style="942" customWidth="1"/>
    <col min="13" max="13" width="25.578125" style="951" bestFit="1" customWidth="1"/>
    <col min="14" max="14" width="31" style="951" customWidth="1"/>
    <col min="15" max="15" width="29.41796875" style="1177" bestFit="1" customWidth="1"/>
    <col min="16" max="16" width="29.41796875" style="1177" customWidth="1"/>
    <col min="17" max="18" width="26.578125" style="1182" bestFit="1" customWidth="1"/>
    <col min="19" max="19" width="34" style="1182" customWidth="1"/>
    <col min="20" max="20" width="17" style="951" bestFit="1" customWidth="1"/>
    <col min="21" max="21" width="27" style="953" bestFit="1" customWidth="1"/>
    <col min="22" max="22" width="31.26171875" style="953" bestFit="1" customWidth="1"/>
    <col min="23" max="24" width="21.83984375" style="953" customWidth="1"/>
    <col min="25" max="25" width="22.578125" style="1178" customWidth="1"/>
    <col min="26" max="26" width="13.41796875" style="951" bestFit="1" customWidth="1"/>
    <col min="27" max="27" width="17.68359375" style="951" customWidth="1"/>
    <col min="28" max="28" width="2.15625" style="951" hidden="1" customWidth="1"/>
    <col min="29" max="30" width="18.26171875" style="951" bestFit="1" customWidth="1"/>
    <col min="31" max="31" width="18.83984375" style="1182" customWidth="1"/>
    <col min="32" max="32" width="16.83984375" style="951" customWidth="1"/>
    <col min="33" max="33" width="35.15625" style="951" bestFit="1" customWidth="1"/>
    <col min="34" max="34" width="16.26171875" style="1177" hidden="1" customWidth="1"/>
    <col min="35" max="35" width="21.26171875" style="1177" customWidth="1"/>
    <col min="36" max="36" width="23.15625" style="951" hidden="1" customWidth="1"/>
    <col min="37" max="43" width="21.41796875" style="951" hidden="1" customWidth="1"/>
    <col min="44" max="44" width="21.26171875" style="951" hidden="1" customWidth="1"/>
    <col min="45" max="45" width="21.41796875" style="951" hidden="1" customWidth="1"/>
    <col min="46" max="46" width="21.41796875" style="951" bestFit="1" customWidth="1"/>
    <col min="47" max="47" width="22.578125" style="951" bestFit="1" customWidth="1"/>
    <col min="48" max="16384" width="21.26171875" style="951"/>
  </cols>
  <sheetData>
    <row r="2" spans="2:43" x14ac:dyDescent="0.85">
      <c r="B2" s="863" t="s">
        <v>33</v>
      </c>
      <c r="C2" s="863"/>
      <c r="AE2" s="951" t="s">
        <v>137</v>
      </c>
    </row>
    <row r="3" spans="2:43" x14ac:dyDescent="0.85">
      <c r="B3" s="863" t="s">
        <v>218</v>
      </c>
      <c r="C3" s="863"/>
      <c r="F3" s="954" t="s">
        <v>211</v>
      </c>
      <c r="Q3" s="1177"/>
      <c r="R3" s="1177"/>
      <c r="S3" s="1177"/>
      <c r="T3" s="955"/>
    </row>
    <row r="4" spans="2:43" ht="27.3" thickBot="1" x14ac:dyDescent="0.9">
      <c r="B4" s="956" t="s">
        <v>135</v>
      </c>
      <c r="C4" s="956"/>
      <c r="AJ4" s="951" t="s">
        <v>0</v>
      </c>
    </row>
    <row r="5" spans="2:43" s="958" customFormat="1" ht="30" customHeight="1" x14ac:dyDescent="0.85">
      <c r="B5" s="1668" t="s">
        <v>1</v>
      </c>
      <c r="C5" s="1683" t="s">
        <v>119</v>
      </c>
      <c r="D5" s="1684"/>
      <c r="E5" s="1684"/>
      <c r="F5" s="1684"/>
      <c r="G5" s="1684"/>
      <c r="H5" s="1684"/>
      <c r="I5" s="1684"/>
      <c r="J5" s="1684"/>
      <c r="K5" s="1684"/>
      <c r="L5" s="1684"/>
      <c r="M5" s="1684"/>
      <c r="N5" s="1685"/>
      <c r="O5" s="1689" t="s">
        <v>123</v>
      </c>
      <c r="P5" s="1690"/>
      <c r="Q5" s="1690"/>
      <c r="R5" s="1690"/>
      <c r="S5" s="1690"/>
      <c r="T5" s="1690"/>
      <c r="U5" s="1690"/>
      <c r="V5" s="1691"/>
      <c r="W5" s="1695" t="s">
        <v>94</v>
      </c>
      <c r="X5" s="1695" t="s">
        <v>95</v>
      </c>
      <c r="Y5" s="1671" t="s">
        <v>4</v>
      </c>
      <c r="Z5" s="1695" t="s">
        <v>5</v>
      </c>
      <c r="AA5" s="1695"/>
      <c r="AB5" s="1695"/>
      <c r="AC5" s="1695" t="s">
        <v>99</v>
      </c>
      <c r="AD5" s="1695" t="s">
        <v>100</v>
      </c>
      <c r="AE5" s="1697" t="s">
        <v>6</v>
      </c>
      <c r="AF5" s="1695" t="s">
        <v>7</v>
      </c>
      <c r="AG5" s="1700" t="s">
        <v>8</v>
      </c>
      <c r="AH5" s="1674" t="s">
        <v>22</v>
      </c>
      <c r="AI5" s="957"/>
      <c r="AJ5" s="1677" t="s">
        <v>2</v>
      </c>
      <c r="AK5" s="1692" t="s">
        <v>97</v>
      </c>
      <c r="AL5" s="1692" t="s">
        <v>98</v>
      </c>
    </row>
    <row r="6" spans="2:43" s="958" customFormat="1" ht="60.75" customHeight="1" x14ac:dyDescent="0.85">
      <c r="B6" s="1669"/>
      <c r="C6" s="1732" t="s">
        <v>14</v>
      </c>
      <c r="D6" s="1732"/>
      <c r="E6" s="1732"/>
      <c r="F6" s="1680" t="s">
        <v>213</v>
      </c>
      <c r="G6" s="1681"/>
      <c r="H6" s="1681"/>
      <c r="I6" s="1681"/>
      <c r="J6" s="1681"/>
      <c r="K6" s="1681"/>
      <c r="L6" s="1681"/>
      <c r="M6" s="1681"/>
      <c r="N6" s="1682"/>
      <c r="O6" s="1686" t="s">
        <v>207</v>
      </c>
      <c r="P6" s="1687"/>
      <c r="Q6" s="1686" t="s">
        <v>17</v>
      </c>
      <c r="R6" s="1688"/>
      <c r="S6" s="1688"/>
      <c r="T6" s="1688"/>
      <c r="U6" s="1688"/>
      <c r="V6" s="1687"/>
      <c r="W6" s="1693"/>
      <c r="X6" s="1693"/>
      <c r="Y6" s="1672"/>
      <c r="Z6" s="1694"/>
      <c r="AA6" s="1694"/>
      <c r="AB6" s="1694"/>
      <c r="AC6" s="1693"/>
      <c r="AD6" s="1693"/>
      <c r="AE6" s="1698"/>
      <c r="AF6" s="1693"/>
      <c r="AG6" s="1701"/>
      <c r="AH6" s="1675"/>
      <c r="AI6" s="957"/>
      <c r="AJ6" s="1677"/>
      <c r="AK6" s="1693"/>
      <c r="AL6" s="1693"/>
    </row>
    <row r="7" spans="2:43" s="958" customFormat="1" ht="72" customHeight="1" thickBot="1" x14ac:dyDescent="0.9">
      <c r="B7" s="1670"/>
      <c r="C7" s="1183" t="s">
        <v>216</v>
      </c>
      <c r="D7" s="959" t="s">
        <v>217</v>
      </c>
      <c r="E7" s="959" t="s">
        <v>212</v>
      </c>
      <c r="F7" s="1183" t="s">
        <v>9</v>
      </c>
      <c r="G7" s="1678" t="s">
        <v>112</v>
      </c>
      <c r="H7" s="1678"/>
      <c r="I7" s="959" t="s">
        <v>10</v>
      </c>
      <c r="J7" s="1678" t="s">
        <v>112</v>
      </c>
      <c r="K7" s="1678"/>
      <c r="L7" s="943" t="s">
        <v>15</v>
      </c>
      <c r="M7" s="1183" t="s">
        <v>21</v>
      </c>
      <c r="N7" s="1183" t="s">
        <v>128</v>
      </c>
      <c r="O7" s="960" t="s">
        <v>14</v>
      </c>
      <c r="P7" s="961" t="s">
        <v>212</v>
      </c>
      <c r="Q7" s="962" t="s">
        <v>9</v>
      </c>
      <c r="R7" s="963" t="s">
        <v>10</v>
      </c>
      <c r="S7" s="963" t="s">
        <v>15</v>
      </c>
      <c r="T7" s="962" t="s">
        <v>21</v>
      </c>
      <c r="U7" s="963" t="s">
        <v>128</v>
      </c>
      <c r="V7" s="963" t="s">
        <v>198</v>
      </c>
      <c r="W7" s="1696"/>
      <c r="X7" s="1696"/>
      <c r="Y7" s="1673"/>
      <c r="Z7" s="1184" t="s">
        <v>14</v>
      </c>
      <c r="AA7" s="964" t="s">
        <v>18</v>
      </c>
      <c r="AB7" s="1184" t="s">
        <v>16</v>
      </c>
      <c r="AC7" s="1696"/>
      <c r="AD7" s="1696"/>
      <c r="AE7" s="1699"/>
      <c r="AF7" s="1696"/>
      <c r="AG7" s="1702"/>
      <c r="AH7" s="1676"/>
      <c r="AI7" s="957"/>
      <c r="AJ7" s="1677"/>
      <c r="AK7" s="1694"/>
      <c r="AL7" s="1694"/>
    </row>
    <row r="8" spans="2:43" s="804" customFormat="1" ht="39" customHeight="1" x14ac:dyDescent="0.85">
      <c r="B8" s="850">
        <v>45383</v>
      </c>
      <c r="C8" s="850" t="s">
        <v>205</v>
      </c>
      <c r="D8" s="931">
        <v>34615</v>
      </c>
      <c r="E8" s="931">
        <f>+D8</f>
        <v>34615</v>
      </c>
      <c r="F8" s="851">
        <v>11132</v>
      </c>
      <c r="G8" s="852">
        <v>4</v>
      </c>
      <c r="H8" s="853" t="s">
        <v>118</v>
      </c>
      <c r="I8" s="851">
        <v>14694</v>
      </c>
      <c r="J8" s="854">
        <v>5</v>
      </c>
      <c r="K8" s="853" t="s">
        <v>118</v>
      </c>
      <c r="L8" s="944">
        <f>+F8+I8</f>
        <v>25826</v>
      </c>
      <c r="M8" s="855">
        <f t="shared" ref="M8:M39" si="0">IFERROR(+L8/D8,"")</f>
        <v>0.74609273436371515</v>
      </c>
      <c r="N8" s="1071">
        <f>L8-D8</f>
        <v>-8789</v>
      </c>
      <c r="O8" s="1018">
        <v>2884</v>
      </c>
      <c r="P8" s="1018">
        <f>+O8</f>
        <v>2884</v>
      </c>
      <c r="Q8" s="856">
        <v>0</v>
      </c>
      <c r="R8" s="856">
        <v>0</v>
      </c>
      <c r="S8" s="856">
        <f>+R8+Q8</f>
        <v>0</v>
      </c>
      <c r="T8" s="855">
        <f t="shared" ref="T8:T38" si="1">IFERROR(+S8/O8,"")</f>
        <v>0</v>
      </c>
      <c r="U8" s="858">
        <f t="shared" ref="U8:U38" si="2">S8-O8</f>
        <v>-2884</v>
      </c>
      <c r="V8" s="965"/>
      <c r="W8" s="859">
        <v>15760</v>
      </c>
      <c r="X8" s="859">
        <v>9268.5</v>
      </c>
      <c r="Y8" s="966">
        <f>+W8+X8</f>
        <v>25028.5</v>
      </c>
      <c r="Z8" s="857">
        <f t="shared" ref="Z8:Z39" si="3">+IFERROR(D8/O8,0)</f>
        <v>12.00242718446602</v>
      </c>
      <c r="AA8" s="857">
        <f t="shared" ref="AA8:AA39" si="4">+IFERROR(L8/S8,0)</f>
        <v>0</v>
      </c>
      <c r="AB8" s="855">
        <f>IFERROR(+AA8/Z8,"")</f>
        <v>0</v>
      </c>
      <c r="AC8" s="860">
        <f t="shared" ref="AC8:AC39" si="5">+W8/(F8+(Q8/1.27))</f>
        <v>1.4157384117858427</v>
      </c>
      <c r="AD8" s="860">
        <f t="shared" ref="AD8:AD39" si="6">+X8/(I8+(R8/1.27))</f>
        <v>0.63076766026949771</v>
      </c>
      <c r="AE8" s="860">
        <f t="shared" ref="AE8:AE39" si="7">+Y8/(L8+(S8/1.27))</f>
        <v>0.96912026639820337</v>
      </c>
      <c r="AF8" s="861">
        <v>6.9444444444444434E-2</v>
      </c>
      <c r="AG8" s="861">
        <v>5.6944444444444443E-2</v>
      </c>
      <c r="AH8" s="805">
        <v>124</v>
      </c>
      <c r="AI8" s="1157"/>
      <c r="AJ8" s="806">
        <f>+AK8+AL8</f>
        <v>25826</v>
      </c>
      <c r="AK8" s="806">
        <f t="shared" ref="AK8:AK31" si="8">+AM8+F8</f>
        <v>11132</v>
      </c>
      <c r="AL8" s="806">
        <f t="shared" ref="AL8:AL31" si="9">+AN8+I8</f>
        <v>14694</v>
      </c>
      <c r="AM8" s="804">
        <f t="shared" ref="AM8:AN31" si="10">+Q8/1.27</f>
        <v>0</v>
      </c>
      <c r="AN8" s="804">
        <f t="shared" si="10"/>
        <v>0</v>
      </c>
      <c r="AO8" s="804">
        <f>+AN8+AM8</f>
        <v>0</v>
      </c>
      <c r="AP8" s="807" t="e">
        <f>+AO8-#REF!</f>
        <v>#REF!</v>
      </c>
      <c r="AQ8" s="1158">
        <f t="shared" ref="AQ8:AQ31" si="11">+AO8+L8</f>
        <v>25826</v>
      </c>
    </row>
    <row r="9" spans="2:43" s="808" customFormat="1" ht="39" customHeight="1" x14ac:dyDescent="0.85">
      <c r="B9" s="850">
        <v>45384</v>
      </c>
      <c r="C9" s="1007" t="s">
        <v>205</v>
      </c>
      <c r="D9" s="931">
        <v>34615</v>
      </c>
      <c r="E9" s="1006">
        <f>+E8+D9</f>
        <v>69230</v>
      </c>
      <c r="F9" s="1008">
        <v>17782</v>
      </c>
      <c r="G9" s="1009">
        <v>5</v>
      </c>
      <c r="H9" s="1010" t="s">
        <v>118</v>
      </c>
      <c r="I9" s="1008">
        <v>16244</v>
      </c>
      <c r="J9" s="1011">
        <v>5</v>
      </c>
      <c r="K9" s="1010" t="s">
        <v>118</v>
      </c>
      <c r="L9" s="847">
        <f>+F9+I9</f>
        <v>34026</v>
      </c>
      <c r="M9" s="1170">
        <f t="shared" si="0"/>
        <v>0.98298425538061529</v>
      </c>
      <c r="N9" s="1012">
        <f t="shared" ref="N9:N38" si="12">L9-D9</f>
        <v>-589</v>
      </c>
      <c r="O9" s="1018">
        <v>2884</v>
      </c>
      <c r="P9" s="876">
        <f>+P8+O9</f>
        <v>5768</v>
      </c>
      <c r="Q9" s="1165">
        <v>0</v>
      </c>
      <c r="R9" s="1165">
        <v>0</v>
      </c>
      <c r="S9" s="1165">
        <f>+R9+Q9</f>
        <v>0</v>
      </c>
      <c r="T9" s="1170">
        <f t="shared" si="1"/>
        <v>0</v>
      </c>
      <c r="U9" s="1013">
        <f t="shared" si="2"/>
        <v>-2884</v>
      </c>
      <c r="V9" s="1013"/>
      <c r="W9" s="1014">
        <v>17237</v>
      </c>
      <c r="X9" s="1014">
        <v>14226.5</v>
      </c>
      <c r="Y9" s="1015">
        <f t="shared" ref="Y9:Y38" si="13">+W9+X9</f>
        <v>31463.5</v>
      </c>
      <c r="Z9" s="834">
        <f t="shared" si="3"/>
        <v>12.00242718446602</v>
      </c>
      <c r="AA9" s="834">
        <f t="shared" si="4"/>
        <v>0</v>
      </c>
      <c r="AB9" s="1016">
        <f>IFERROR(+AA9/Z9,"")</f>
        <v>0</v>
      </c>
      <c r="AC9" s="820">
        <f t="shared" si="5"/>
        <v>0.96935102913058147</v>
      </c>
      <c r="AD9" s="820">
        <f t="shared" si="6"/>
        <v>0.87580029549372074</v>
      </c>
      <c r="AE9" s="820">
        <f t="shared" si="7"/>
        <v>0.92468994298477636</v>
      </c>
      <c r="AF9" s="1017">
        <v>0</v>
      </c>
      <c r="AG9" s="1017">
        <v>0</v>
      </c>
      <c r="AH9" s="815">
        <v>517</v>
      </c>
      <c r="AI9" s="1162"/>
      <c r="AJ9" s="816">
        <f t="shared" ref="AJ9:AJ37" si="14">+AK9+AL9</f>
        <v>34026</v>
      </c>
      <c r="AK9" s="816">
        <f t="shared" si="8"/>
        <v>17782</v>
      </c>
      <c r="AL9" s="816">
        <f t="shared" si="9"/>
        <v>16244</v>
      </c>
      <c r="AM9" s="808">
        <f t="shared" si="10"/>
        <v>0</v>
      </c>
      <c r="AN9" s="808">
        <f t="shared" si="10"/>
        <v>0</v>
      </c>
      <c r="AO9" s="808">
        <f t="shared" ref="AO9:AO38" si="15">+AN9+AM9</f>
        <v>0</v>
      </c>
      <c r="AP9" s="817" t="e">
        <f>+AO9-#REF!</f>
        <v>#REF!</v>
      </c>
      <c r="AQ9" s="818">
        <f t="shared" si="11"/>
        <v>34026</v>
      </c>
    </row>
    <row r="10" spans="2:43" s="808" customFormat="1" ht="39" customHeight="1" x14ac:dyDescent="0.85">
      <c r="B10" s="850">
        <v>45385</v>
      </c>
      <c r="C10" s="1007" t="s">
        <v>205</v>
      </c>
      <c r="D10" s="931">
        <v>34615</v>
      </c>
      <c r="E10" s="1006">
        <f>+E9+D10</f>
        <v>103845</v>
      </c>
      <c r="F10" s="847">
        <v>18568</v>
      </c>
      <c r="G10" s="1009">
        <v>5</v>
      </c>
      <c r="H10" s="1010" t="s">
        <v>118</v>
      </c>
      <c r="I10" s="1008">
        <v>14790</v>
      </c>
      <c r="J10" s="1011">
        <v>5</v>
      </c>
      <c r="K10" s="1010" t="s">
        <v>118</v>
      </c>
      <c r="L10" s="847">
        <f t="shared" ref="L10:L24" si="16">+F10+I10</f>
        <v>33358</v>
      </c>
      <c r="M10" s="1170">
        <f t="shared" si="0"/>
        <v>0.96368626318070205</v>
      </c>
      <c r="N10" s="1012">
        <f t="shared" si="12"/>
        <v>-1257</v>
      </c>
      <c r="O10" s="1018">
        <v>2884</v>
      </c>
      <c r="P10" s="876">
        <f>+P9+O10</f>
        <v>8652</v>
      </c>
      <c r="Q10" s="1165">
        <v>468.53</v>
      </c>
      <c r="R10" s="1165">
        <v>287.77</v>
      </c>
      <c r="S10" s="1077">
        <f>+R10+Q10</f>
        <v>756.3</v>
      </c>
      <c r="T10" s="1170">
        <f t="shared" si="1"/>
        <v>0.2622399445214979</v>
      </c>
      <c r="U10" s="1013">
        <f t="shared" si="2"/>
        <v>-2127.6999999999998</v>
      </c>
      <c r="V10" s="1013"/>
      <c r="W10" s="1014">
        <v>16379.5</v>
      </c>
      <c r="X10" s="1014">
        <v>14406.5</v>
      </c>
      <c r="Y10" s="1019">
        <f t="shared" si="13"/>
        <v>30786</v>
      </c>
      <c r="Z10" s="834">
        <f t="shared" si="3"/>
        <v>12.00242718446602</v>
      </c>
      <c r="AA10" s="834">
        <f t="shared" si="4"/>
        <v>44.106835911675262</v>
      </c>
      <c r="AB10" s="1016">
        <f t="shared" ref="AB10:AB38" si="17">IFERROR(+AA10/Z10,"")</f>
        <v>3.6748263691830547</v>
      </c>
      <c r="AC10" s="820">
        <f t="shared" si="5"/>
        <v>0.86495052576124054</v>
      </c>
      <c r="AD10" s="820">
        <f t="shared" si="6"/>
        <v>0.95937223239178515</v>
      </c>
      <c r="AE10" s="820">
        <f t="shared" si="7"/>
        <v>0.90671033297959969</v>
      </c>
      <c r="AF10" s="1017">
        <v>0</v>
      </c>
      <c r="AG10" s="1017">
        <v>0</v>
      </c>
      <c r="AH10" s="815">
        <v>1531</v>
      </c>
      <c r="AI10" s="1162"/>
      <c r="AJ10" s="816">
        <f t="shared" si="14"/>
        <v>33953.511811023622</v>
      </c>
      <c r="AK10" s="816">
        <f t="shared" si="8"/>
        <v>18936.921259842518</v>
      </c>
      <c r="AL10" s="816">
        <f t="shared" si="9"/>
        <v>15016.590551181102</v>
      </c>
      <c r="AM10" s="808">
        <f t="shared" si="10"/>
        <v>368.92125984251965</v>
      </c>
      <c r="AN10" s="808">
        <f t="shared" si="10"/>
        <v>226.59055118110234</v>
      </c>
      <c r="AO10" s="808">
        <f t="shared" si="15"/>
        <v>595.51181102362193</v>
      </c>
      <c r="AP10" s="817" t="e">
        <f>+AO10-#REF!</f>
        <v>#REF!</v>
      </c>
      <c r="AQ10" s="818">
        <f t="shared" si="11"/>
        <v>33953.511811023622</v>
      </c>
    </row>
    <row r="11" spans="2:43" s="808" customFormat="1" ht="39" customHeight="1" x14ac:dyDescent="0.85">
      <c r="B11" s="1072">
        <v>45386</v>
      </c>
      <c r="C11" s="1073" t="s">
        <v>205</v>
      </c>
      <c r="D11" s="1074">
        <v>34615</v>
      </c>
      <c r="E11" s="1075">
        <f>+E10+D11</f>
        <v>138460</v>
      </c>
      <c r="F11" s="1008">
        <v>16306</v>
      </c>
      <c r="G11" s="1009">
        <v>5</v>
      </c>
      <c r="H11" s="1010" t="s">
        <v>118</v>
      </c>
      <c r="I11" s="1008">
        <v>16666</v>
      </c>
      <c r="J11" s="1011">
        <v>5</v>
      </c>
      <c r="K11" s="1010" t="s">
        <v>118</v>
      </c>
      <c r="L11" s="847">
        <f t="shared" si="16"/>
        <v>32972</v>
      </c>
      <c r="M11" s="1016">
        <f t="shared" si="0"/>
        <v>0.95253502816697966</v>
      </c>
      <c r="N11" s="1012">
        <f t="shared" si="12"/>
        <v>-1643</v>
      </c>
      <c r="O11" s="944">
        <v>2884</v>
      </c>
      <c r="P11" s="847">
        <f t="shared" ref="P11:P37" si="18">+P10+O11</f>
        <v>11536</v>
      </c>
      <c r="Q11" s="838">
        <v>1216.6300000000001</v>
      </c>
      <c r="R11" s="838">
        <v>641.88</v>
      </c>
      <c r="S11" s="1078">
        <f t="shared" ref="S11:S24" si="19">+R11+Q11</f>
        <v>1858.5100000000002</v>
      </c>
      <c r="T11" s="1016">
        <f t="shared" si="1"/>
        <v>0.64442094313453546</v>
      </c>
      <c r="U11" s="1076">
        <f t="shared" si="2"/>
        <v>-1025.4899999999998</v>
      </c>
      <c r="V11" s="1076"/>
      <c r="W11" s="1014">
        <v>13315.5</v>
      </c>
      <c r="X11" s="1014">
        <v>14218.5</v>
      </c>
      <c r="Y11" s="1015">
        <f>+W11+X11</f>
        <v>27534</v>
      </c>
      <c r="Z11" s="834">
        <f t="shared" si="3"/>
        <v>12.00242718446602</v>
      </c>
      <c r="AA11" s="834">
        <f t="shared" si="4"/>
        <v>17.741093671812365</v>
      </c>
      <c r="AB11" s="1016">
        <f t="shared" si="17"/>
        <v>1.4781254990468542</v>
      </c>
      <c r="AC11" s="820">
        <f t="shared" si="5"/>
        <v>0.77128812670323021</v>
      </c>
      <c r="AD11" s="820">
        <f t="shared" si="6"/>
        <v>0.82803298834815231</v>
      </c>
      <c r="AE11" s="820">
        <f t="shared" si="7"/>
        <v>0.79958429513673324</v>
      </c>
      <c r="AF11" s="1017">
        <v>0</v>
      </c>
      <c r="AG11" s="1017">
        <v>0</v>
      </c>
      <c r="AH11" s="815">
        <v>257</v>
      </c>
      <c r="AI11" s="1162"/>
      <c r="AJ11" s="816">
        <f t="shared" si="14"/>
        <v>34435.393700787405</v>
      </c>
      <c r="AK11" s="816">
        <f t="shared" si="8"/>
        <v>17263.976377952757</v>
      </c>
      <c r="AL11" s="816">
        <f t="shared" si="9"/>
        <v>17171.417322834644</v>
      </c>
      <c r="AM11" s="808">
        <f t="shared" si="10"/>
        <v>957.97637795275602</v>
      </c>
      <c r="AN11" s="808">
        <f t="shared" si="10"/>
        <v>505.41732283464563</v>
      </c>
      <c r="AO11" s="808">
        <f t="shared" si="15"/>
        <v>1463.3937007874017</v>
      </c>
      <c r="AP11" s="817" t="e">
        <f>+AO11-#REF!</f>
        <v>#REF!</v>
      </c>
      <c r="AQ11" s="818">
        <f t="shared" si="11"/>
        <v>34435.393700787405</v>
      </c>
    </row>
    <row r="12" spans="2:43" s="1100" customFormat="1" ht="39" customHeight="1" x14ac:dyDescent="0.85">
      <c r="B12" s="1079">
        <v>45387</v>
      </c>
      <c r="C12" s="1080" t="s">
        <v>205</v>
      </c>
      <c r="D12" s="1081">
        <v>34615</v>
      </c>
      <c r="E12" s="1082">
        <f t="shared" ref="E12:E37" si="20">+E11+D12</f>
        <v>173075</v>
      </c>
      <c r="F12" s="1083">
        <v>15732</v>
      </c>
      <c r="G12" s="1084">
        <v>6</v>
      </c>
      <c r="H12" s="1085" t="s">
        <v>118</v>
      </c>
      <c r="I12" s="1085">
        <v>12390</v>
      </c>
      <c r="J12" s="1086">
        <v>4</v>
      </c>
      <c r="K12" s="1085" t="s">
        <v>118</v>
      </c>
      <c r="L12" s="1090">
        <f t="shared" si="16"/>
        <v>28122</v>
      </c>
      <c r="M12" s="1087">
        <f t="shared" si="0"/>
        <v>0.81242236024844716</v>
      </c>
      <c r="N12" s="1088">
        <f t="shared" si="12"/>
        <v>-6493</v>
      </c>
      <c r="O12" s="1089">
        <v>2884</v>
      </c>
      <c r="P12" s="1090">
        <f t="shared" si="18"/>
        <v>14420</v>
      </c>
      <c r="Q12" s="1091">
        <v>594.15</v>
      </c>
      <c r="R12" s="1091">
        <v>327.48</v>
      </c>
      <c r="S12" s="1078">
        <f t="shared" si="19"/>
        <v>921.63</v>
      </c>
      <c r="T12" s="1087">
        <f t="shared" si="1"/>
        <v>0.31956657420249651</v>
      </c>
      <c r="U12" s="1092">
        <f t="shared" si="2"/>
        <v>-1962.37</v>
      </c>
      <c r="V12" s="1092">
        <v>59033.39</v>
      </c>
      <c r="W12" s="1093">
        <v>15772</v>
      </c>
      <c r="X12" s="1093">
        <v>11898</v>
      </c>
      <c r="Y12" s="1094">
        <f t="shared" si="13"/>
        <v>27670</v>
      </c>
      <c r="Z12" s="1095">
        <f t="shared" si="3"/>
        <v>12.00242718446602</v>
      </c>
      <c r="AA12" s="1095">
        <f t="shared" si="4"/>
        <v>30.513329644217311</v>
      </c>
      <c r="AB12" s="1087">
        <f t="shared" si="17"/>
        <v>2.5422632585273068</v>
      </c>
      <c r="AC12" s="1096">
        <f t="shared" si="5"/>
        <v>0.97359018440452638</v>
      </c>
      <c r="AD12" s="1096">
        <f t="shared" si="6"/>
        <v>0.94071262882265705</v>
      </c>
      <c r="AE12" s="1096">
        <f t="shared" si="7"/>
        <v>0.95917549050033879</v>
      </c>
      <c r="AF12" s="1017">
        <v>0</v>
      </c>
      <c r="AG12" s="1017">
        <v>0</v>
      </c>
      <c r="AH12" s="1097">
        <v>877</v>
      </c>
      <c r="AI12" s="1098"/>
      <c r="AJ12" s="1099">
        <f t="shared" si="14"/>
        <v>28847.692913385828</v>
      </c>
      <c r="AK12" s="1099">
        <f t="shared" si="8"/>
        <v>16199.834645669291</v>
      </c>
      <c r="AL12" s="1099">
        <f t="shared" si="9"/>
        <v>12647.858267716536</v>
      </c>
      <c r="AM12" s="1100">
        <f t="shared" si="10"/>
        <v>467.83464566929132</v>
      </c>
      <c r="AN12" s="1100">
        <f t="shared" si="10"/>
        <v>257.85826771653547</v>
      </c>
      <c r="AO12" s="1100">
        <f t="shared" si="15"/>
        <v>725.69291338582684</v>
      </c>
      <c r="AP12" s="1101" t="e">
        <f>+AO12-#REF!</f>
        <v>#REF!</v>
      </c>
      <c r="AQ12" s="1102">
        <f t="shared" si="11"/>
        <v>28847.692913385828</v>
      </c>
    </row>
    <row r="13" spans="2:43" s="808" customFormat="1" ht="39" customHeight="1" x14ac:dyDescent="0.85">
      <c r="B13" s="1072">
        <v>45388</v>
      </c>
      <c r="C13" s="1073" t="s">
        <v>205</v>
      </c>
      <c r="D13" s="1074">
        <v>34615</v>
      </c>
      <c r="E13" s="1075">
        <f t="shared" si="20"/>
        <v>207690</v>
      </c>
      <c r="F13" s="1008">
        <v>9464</v>
      </c>
      <c r="G13" s="1009">
        <v>5</v>
      </c>
      <c r="H13" s="1010" t="s">
        <v>118</v>
      </c>
      <c r="I13" s="1008">
        <v>2554</v>
      </c>
      <c r="J13" s="1011">
        <v>4</v>
      </c>
      <c r="K13" s="1010" t="s">
        <v>118</v>
      </c>
      <c r="L13" s="847">
        <f t="shared" si="16"/>
        <v>12018</v>
      </c>
      <c r="M13" s="1016">
        <f t="shared" si="0"/>
        <v>0.34719052433915931</v>
      </c>
      <c r="N13" s="1012">
        <f t="shared" si="12"/>
        <v>-22597</v>
      </c>
      <c r="O13" s="944">
        <v>2884</v>
      </c>
      <c r="P13" s="847">
        <f t="shared" si="18"/>
        <v>17304</v>
      </c>
      <c r="Q13" s="838">
        <v>461.8</v>
      </c>
      <c r="R13" s="838">
        <v>0</v>
      </c>
      <c r="S13" s="1078">
        <f t="shared" si="19"/>
        <v>461.8</v>
      </c>
      <c r="T13" s="1016">
        <f t="shared" si="1"/>
        <v>0.160124826629681</v>
      </c>
      <c r="U13" s="1076">
        <f t="shared" si="2"/>
        <v>-2422.1999999999998</v>
      </c>
      <c r="V13" s="1076">
        <f>V12+S13</f>
        <v>59495.19</v>
      </c>
      <c r="W13" s="1014">
        <v>12404.5</v>
      </c>
      <c r="X13" s="1014">
        <v>7024</v>
      </c>
      <c r="Y13" s="1015">
        <f t="shared" si="13"/>
        <v>19428.5</v>
      </c>
      <c r="Z13" s="834">
        <f t="shared" si="3"/>
        <v>12.00242718446602</v>
      </c>
      <c r="AA13" s="834">
        <f t="shared" si="4"/>
        <v>26.02425292334344</v>
      </c>
      <c r="AB13" s="1016">
        <f t="shared" si="17"/>
        <v>2.1682491818842258</v>
      </c>
      <c r="AC13" s="820">
        <f t="shared" si="5"/>
        <v>1.2622076775407256</v>
      </c>
      <c r="AD13" s="820">
        <f t="shared" si="6"/>
        <v>2.7501957713390759</v>
      </c>
      <c r="AE13" s="820">
        <f t="shared" si="7"/>
        <v>1.5691401276720769</v>
      </c>
      <c r="AF13" s="1017">
        <v>0.32500000000000001</v>
      </c>
      <c r="AG13" s="1017">
        <v>0.22222222222222221</v>
      </c>
      <c r="AH13" s="815">
        <v>883</v>
      </c>
      <c r="AI13" s="1162"/>
      <c r="AJ13" s="816">
        <f t="shared" si="14"/>
        <v>12381.622047244095</v>
      </c>
      <c r="AK13" s="816">
        <f t="shared" si="8"/>
        <v>9827.6220472440946</v>
      </c>
      <c r="AL13" s="816">
        <f t="shared" si="9"/>
        <v>2554</v>
      </c>
      <c r="AM13" s="808">
        <f t="shared" si="10"/>
        <v>363.62204724409452</v>
      </c>
      <c r="AN13" s="808">
        <f t="shared" si="10"/>
        <v>0</v>
      </c>
      <c r="AO13" s="808">
        <f t="shared" si="15"/>
        <v>363.62204724409452</v>
      </c>
      <c r="AP13" s="817" t="e">
        <f>+AO13-#REF!</f>
        <v>#REF!</v>
      </c>
      <c r="AQ13" s="818">
        <f t="shared" si="11"/>
        <v>12381.622047244095</v>
      </c>
    </row>
    <row r="14" spans="2:43" s="808" customFormat="1" ht="39" customHeight="1" x14ac:dyDescent="0.85">
      <c r="B14" s="1072">
        <v>45389</v>
      </c>
      <c r="C14" s="1073" t="s">
        <v>205</v>
      </c>
      <c r="D14" s="1074">
        <f>D13/2</f>
        <v>17307.5</v>
      </c>
      <c r="E14" s="1075">
        <f t="shared" si="20"/>
        <v>224997.5</v>
      </c>
      <c r="F14" s="1008">
        <v>0</v>
      </c>
      <c r="G14" s="1009">
        <v>0</v>
      </c>
      <c r="H14" s="1010" t="s">
        <v>118</v>
      </c>
      <c r="I14" s="1008">
        <v>7782</v>
      </c>
      <c r="J14" s="1011">
        <v>4</v>
      </c>
      <c r="K14" s="1010" t="s">
        <v>118</v>
      </c>
      <c r="L14" s="847">
        <f t="shared" si="16"/>
        <v>7782</v>
      </c>
      <c r="M14" s="1016">
        <f t="shared" si="0"/>
        <v>0.44963166257402859</v>
      </c>
      <c r="N14" s="1012">
        <f t="shared" si="12"/>
        <v>-9525.5</v>
      </c>
      <c r="O14" s="847">
        <f>O13/2</f>
        <v>1442</v>
      </c>
      <c r="P14" s="847">
        <f t="shared" si="18"/>
        <v>18746</v>
      </c>
      <c r="Q14" s="838">
        <v>0</v>
      </c>
      <c r="R14" s="838">
        <v>0</v>
      </c>
      <c r="S14" s="838">
        <f t="shared" si="19"/>
        <v>0</v>
      </c>
      <c r="T14" s="1016">
        <f t="shared" si="1"/>
        <v>0</v>
      </c>
      <c r="U14" s="1076">
        <f t="shared" si="2"/>
        <v>-1442</v>
      </c>
      <c r="V14" s="1076">
        <f>V13+S14</f>
        <v>59495.19</v>
      </c>
      <c r="W14" s="1014">
        <v>139</v>
      </c>
      <c r="X14" s="1014">
        <v>4010</v>
      </c>
      <c r="Y14" s="1015">
        <f t="shared" si="13"/>
        <v>4149</v>
      </c>
      <c r="Z14" s="834">
        <f t="shared" si="3"/>
        <v>12.00242718446602</v>
      </c>
      <c r="AA14" s="834">
        <f t="shared" si="4"/>
        <v>0</v>
      </c>
      <c r="AB14" s="1016">
        <f t="shared" si="17"/>
        <v>0</v>
      </c>
      <c r="AC14" s="820" t="e">
        <f t="shared" si="5"/>
        <v>#DIV/0!</v>
      </c>
      <c r="AD14" s="820">
        <f t="shared" si="6"/>
        <v>0.51529169879208425</v>
      </c>
      <c r="AE14" s="820">
        <f t="shared" si="7"/>
        <v>0.53315343099460288</v>
      </c>
      <c r="AF14" s="814">
        <v>0</v>
      </c>
      <c r="AG14" s="814">
        <v>0.1875</v>
      </c>
      <c r="AH14" s="815">
        <v>593</v>
      </c>
      <c r="AI14" s="1162"/>
      <c r="AJ14" s="816">
        <f t="shared" si="14"/>
        <v>7782</v>
      </c>
      <c r="AK14" s="816">
        <f t="shared" si="8"/>
        <v>0</v>
      </c>
      <c r="AL14" s="816">
        <f t="shared" si="9"/>
        <v>7782</v>
      </c>
      <c r="AM14" s="808">
        <f t="shared" si="10"/>
        <v>0</v>
      </c>
      <c r="AN14" s="808">
        <f t="shared" si="10"/>
        <v>0</v>
      </c>
      <c r="AO14" s="808">
        <f t="shared" si="15"/>
        <v>0</v>
      </c>
      <c r="AP14" s="817" t="e">
        <f>+AO14-#REF!</f>
        <v>#REF!</v>
      </c>
      <c r="AQ14" s="818">
        <f t="shared" si="11"/>
        <v>7782</v>
      </c>
    </row>
    <row r="15" spans="2:43" s="808" customFormat="1" ht="39" customHeight="1" x14ac:dyDescent="0.85">
      <c r="B15" s="1072">
        <v>45390</v>
      </c>
      <c r="C15" s="1073" t="s">
        <v>205</v>
      </c>
      <c r="D15" s="1074">
        <v>34615</v>
      </c>
      <c r="E15" s="1075">
        <f t="shared" si="20"/>
        <v>259612.5</v>
      </c>
      <c r="F15" s="1008">
        <v>6230</v>
      </c>
      <c r="G15" s="1009">
        <v>4</v>
      </c>
      <c r="H15" s="1010" t="s">
        <v>118</v>
      </c>
      <c r="I15" s="1008">
        <v>6352</v>
      </c>
      <c r="J15" s="1011">
        <v>4</v>
      </c>
      <c r="K15" s="1010" t="s">
        <v>118</v>
      </c>
      <c r="L15" s="847">
        <f t="shared" si="16"/>
        <v>12582</v>
      </c>
      <c r="M15" s="1016">
        <f t="shared" si="0"/>
        <v>0.36348403871154122</v>
      </c>
      <c r="N15" s="1012">
        <f t="shared" si="12"/>
        <v>-22033</v>
      </c>
      <c r="O15" s="944">
        <v>2884</v>
      </c>
      <c r="P15" s="847">
        <f t="shared" si="18"/>
        <v>21630</v>
      </c>
      <c r="Q15" s="838">
        <v>0</v>
      </c>
      <c r="R15" s="838">
        <v>0</v>
      </c>
      <c r="S15" s="838">
        <f t="shared" si="19"/>
        <v>0</v>
      </c>
      <c r="T15" s="1016">
        <f t="shared" si="1"/>
        <v>0</v>
      </c>
      <c r="U15" s="1076">
        <f t="shared" si="2"/>
        <v>-2884</v>
      </c>
      <c r="V15" s="1076">
        <f>V14+S15</f>
        <v>59495.19</v>
      </c>
      <c r="W15" s="1014">
        <v>10555.5</v>
      </c>
      <c r="X15" s="1014">
        <v>4463.5</v>
      </c>
      <c r="Y15" s="1015">
        <f t="shared" si="13"/>
        <v>15019</v>
      </c>
      <c r="Z15" s="834">
        <f t="shared" si="3"/>
        <v>12.00242718446602</v>
      </c>
      <c r="AA15" s="834">
        <f t="shared" si="4"/>
        <v>0</v>
      </c>
      <c r="AB15" s="1016">
        <f t="shared" si="17"/>
        <v>0</v>
      </c>
      <c r="AC15" s="820">
        <f t="shared" si="5"/>
        <v>1.6943017656500803</v>
      </c>
      <c r="AD15" s="820">
        <f t="shared" si="6"/>
        <v>0.7026920654911839</v>
      </c>
      <c r="AE15" s="820">
        <f t="shared" si="7"/>
        <v>1.1936893975520586</v>
      </c>
      <c r="AF15" s="814">
        <v>0</v>
      </c>
      <c r="AG15" s="1017">
        <v>0</v>
      </c>
      <c r="AH15" s="815">
        <v>848</v>
      </c>
      <c r="AI15" s="1122"/>
      <c r="AJ15" s="816">
        <f t="shared" si="14"/>
        <v>12582</v>
      </c>
      <c r="AK15" s="816">
        <f t="shared" si="8"/>
        <v>6230</v>
      </c>
      <c r="AL15" s="816">
        <f t="shared" si="9"/>
        <v>6352</v>
      </c>
      <c r="AM15" s="808">
        <f t="shared" si="10"/>
        <v>0</v>
      </c>
      <c r="AN15" s="808">
        <f t="shared" si="10"/>
        <v>0</v>
      </c>
      <c r="AO15" s="808">
        <f t="shared" si="15"/>
        <v>0</v>
      </c>
      <c r="AP15" s="817" t="e">
        <f>+AO15-#REF!</f>
        <v>#REF!</v>
      </c>
      <c r="AQ15" s="818">
        <f t="shared" si="11"/>
        <v>12582</v>
      </c>
    </row>
    <row r="16" spans="2:43" s="808" customFormat="1" ht="39" customHeight="1" x14ac:dyDescent="0.85">
      <c r="B16" s="1072">
        <v>45391</v>
      </c>
      <c r="C16" s="1073" t="s">
        <v>205</v>
      </c>
      <c r="D16" s="1074">
        <v>34615</v>
      </c>
      <c r="E16" s="1075">
        <f t="shared" si="20"/>
        <v>294227.5</v>
      </c>
      <c r="F16" s="1008">
        <v>15874</v>
      </c>
      <c r="G16" s="1009">
        <v>5</v>
      </c>
      <c r="H16" s="1010" t="s">
        <v>118</v>
      </c>
      <c r="I16" s="1008">
        <v>11590</v>
      </c>
      <c r="J16" s="1011">
        <v>5</v>
      </c>
      <c r="K16" s="1010" t="s">
        <v>118</v>
      </c>
      <c r="L16" s="847">
        <f>+F16+I16</f>
        <v>27464</v>
      </c>
      <c r="M16" s="1016">
        <f t="shared" si="0"/>
        <v>0.79341326014733493</v>
      </c>
      <c r="N16" s="1012">
        <f t="shared" si="12"/>
        <v>-7151</v>
      </c>
      <c r="O16" s="944">
        <v>2884</v>
      </c>
      <c r="P16" s="847">
        <f t="shared" si="18"/>
        <v>24514</v>
      </c>
      <c r="Q16" s="838">
        <v>144.46</v>
      </c>
      <c r="R16" s="838">
        <v>0</v>
      </c>
      <c r="S16" s="838">
        <f t="shared" si="19"/>
        <v>144.46</v>
      </c>
      <c r="T16" s="1016">
        <f>IFERROR(+S16/O16,"")</f>
        <v>5.0090152565880723E-2</v>
      </c>
      <c r="U16" s="1076">
        <f t="shared" si="2"/>
        <v>-2739.54</v>
      </c>
      <c r="V16" s="1076">
        <f t="shared" ref="V16:V25" si="21">V15+S16</f>
        <v>59639.65</v>
      </c>
      <c r="W16" s="1014">
        <v>10967.5</v>
      </c>
      <c r="X16" s="1014">
        <v>11272</v>
      </c>
      <c r="Y16" s="1015">
        <f t="shared" si="13"/>
        <v>22239.5</v>
      </c>
      <c r="Z16" s="834">
        <f t="shared" si="3"/>
        <v>12.00242718446602</v>
      </c>
      <c r="AA16" s="834">
        <f t="shared" si="4"/>
        <v>190.1149107019244</v>
      </c>
      <c r="AB16" s="1016">
        <f t="shared" si="17"/>
        <v>15.839705401252345</v>
      </c>
      <c r="AC16" s="820">
        <f t="shared" si="5"/>
        <v>0.6859940485923276</v>
      </c>
      <c r="AD16" s="820">
        <f t="shared" si="6"/>
        <v>0.97256255392579816</v>
      </c>
      <c r="AE16" s="820">
        <f t="shared" si="7"/>
        <v>0.80642915348275201</v>
      </c>
      <c r="AF16" s="814">
        <v>0</v>
      </c>
      <c r="AG16" s="1017">
        <v>0</v>
      </c>
      <c r="AH16" s="815">
        <v>321</v>
      </c>
      <c r="AI16" s="1122"/>
      <c r="AJ16" s="816">
        <f t="shared" si="14"/>
        <v>27577.748031496063</v>
      </c>
      <c r="AK16" s="816">
        <f t="shared" si="8"/>
        <v>15987.748031496063</v>
      </c>
      <c r="AL16" s="816">
        <f t="shared" si="9"/>
        <v>11590</v>
      </c>
      <c r="AM16" s="808">
        <f t="shared" si="10"/>
        <v>113.74803149606299</v>
      </c>
      <c r="AN16" s="808">
        <f t="shared" si="10"/>
        <v>0</v>
      </c>
      <c r="AO16" s="808">
        <f t="shared" si="15"/>
        <v>113.74803149606299</v>
      </c>
      <c r="AP16" s="817" t="e">
        <f>+AO16-#REF!</f>
        <v>#REF!</v>
      </c>
      <c r="AQ16" s="818">
        <f t="shared" si="11"/>
        <v>27577.748031496063</v>
      </c>
    </row>
    <row r="17" spans="2:47" s="808" customFormat="1" ht="39" customHeight="1" x14ac:dyDescent="0.85">
      <c r="B17" s="1072">
        <v>45392</v>
      </c>
      <c r="C17" s="1073" t="s">
        <v>205</v>
      </c>
      <c r="D17" s="1074">
        <v>0</v>
      </c>
      <c r="E17" s="1075">
        <f t="shared" si="20"/>
        <v>294227.5</v>
      </c>
      <c r="F17" s="1008">
        <v>0</v>
      </c>
      <c r="G17" s="1009">
        <v>0</v>
      </c>
      <c r="H17" s="1010" t="s">
        <v>118</v>
      </c>
      <c r="I17" s="1008">
        <v>0</v>
      </c>
      <c r="J17" s="1011">
        <v>0</v>
      </c>
      <c r="K17" s="1010" t="s">
        <v>118</v>
      </c>
      <c r="L17" s="1009">
        <f>+F17+I17</f>
        <v>0</v>
      </c>
      <c r="M17" s="1016" t="str">
        <f t="shared" si="0"/>
        <v/>
      </c>
      <c r="N17" s="1012">
        <f t="shared" si="12"/>
        <v>0</v>
      </c>
      <c r="O17" s="944"/>
      <c r="P17" s="847">
        <f t="shared" si="18"/>
        <v>24514</v>
      </c>
      <c r="Q17" s="838">
        <v>0</v>
      </c>
      <c r="R17" s="838">
        <v>0</v>
      </c>
      <c r="S17" s="838">
        <f t="shared" si="19"/>
        <v>0</v>
      </c>
      <c r="T17" s="1016" t="str">
        <f t="shared" si="1"/>
        <v/>
      </c>
      <c r="U17" s="1076">
        <f t="shared" si="2"/>
        <v>0</v>
      </c>
      <c r="V17" s="1076">
        <f t="shared" si="21"/>
        <v>59639.65</v>
      </c>
      <c r="W17" s="1014">
        <v>0</v>
      </c>
      <c r="X17" s="1014">
        <v>20</v>
      </c>
      <c r="Y17" s="1015">
        <f t="shared" si="13"/>
        <v>20</v>
      </c>
      <c r="Z17" s="834">
        <f t="shared" si="3"/>
        <v>0</v>
      </c>
      <c r="AA17" s="834">
        <f t="shared" si="4"/>
        <v>0</v>
      </c>
      <c r="AB17" s="1016" t="str">
        <f t="shared" si="17"/>
        <v/>
      </c>
      <c r="AC17" s="820" t="e">
        <f t="shared" si="5"/>
        <v>#DIV/0!</v>
      </c>
      <c r="AD17" s="820" t="e">
        <f t="shared" si="6"/>
        <v>#DIV/0!</v>
      </c>
      <c r="AE17" s="820" t="e">
        <f t="shared" si="7"/>
        <v>#DIV/0!</v>
      </c>
      <c r="AF17" s="814">
        <v>0</v>
      </c>
      <c r="AG17" s="1017">
        <v>0</v>
      </c>
      <c r="AH17" s="815">
        <v>447</v>
      </c>
      <c r="AI17" s="1122"/>
      <c r="AJ17" s="816">
        <f t="shared" si="14"/>
        <v>0</v>
      </c>
      <c r="AK17" s="816">
        <f t="shared" si="8"/>
        <v>0</v>
      </c>
      <c r="AL17" s="816">
        <f t="shared" si="9"/>
        <v>0</v>
      </c>
      <c r="AM17" s="808">
        <f t="shared" si="10"/>
        <v>0</v>
      </c>
      <c r="AN17" s="808">
        <f t="shared" si="10"/>
        <v>0</v>
      </c>
      <c r="AO17" s="808">
        <f t="shared" si="15"/>
        <v>0</v>
      </c>
      <c r="AP17" s="817" t="e">
        <f>+AO17-#REF!</f>
        <v>#REF!</v>
      </c>
      <c r="AQ17" s="818">
        <f t="shared" si="11"/>
        <v>0</v>
      </c>
    </row>
    <row r="18" spans="2:47" s="808" customFormat="1" ht="39" customHeight="1" x14ac:dyDescent="0.85">
      <c r="B18" s="1072">
        <v>45393</v>
      </c>
      <c r="C18" s="1073" t="s">
        <v>205</v>
      </c>
      <c r="D18" s="1074">
        <v>0</v>
      </c>
      <c r="E18" s="1075">
        <f t="shared" si="20"/>
        <v>294227.5</v>
      </c>
      <c r="F18" s="1008">
        <v>0</v>
      </c>
      <c r="G18" s="1009">
        <v>0</v>
      </c>
      <c r="H18" s="1010" t="s">
        <v>118</v>
      </c>
      <c r="I18" s="1008">
        <v>20286</v>
      </c>
      <c r="J18" s="1011">
        <v>6</v>
      </c>
      <c r="K18" s="1010" t="s">
        <v>118</v>
      </c>
      <c r="L18" s="1009">
        <f>+F18+I18</f>
        <v>20286</v>
      </c>
      <c r="M18" s="1016" t="str">
        <f t="shared" si="0"/>
        <v/>
      </c>
      <c r="N18" s="1012">
        <f t="shared" si="12"/>
        <v>20286</v>
      </c>
      <c r="O18" s="944"/>
      <c r="P18" s="847">
        <f t="shared" si="18"/>
        <v>24514</v>
      </c>
      <c r="Q18" s="838">
        <v>0</v>
      </c>
      <c r="R18" s="838">
        <v>1091.4100000000001</v>
      </c>
      <c r="S18" s="838">
        <f t="shared" si="19"/>
        <v>1091.4100000000001</v>
      </c>
      <c r="T18" s="1016" t="str">
        <f t="shared" si="1"/>
        <v/>
      </c>
      <c r="U18" s="1076">
        <f t="shared" si="2"/>
        <v>1091.4100000000001</v>
      </c>
      <c r="V18" s="1076">
        <f t="shared" si="21"/>
        <v>60731.060000000005</v>
      </c>
      <c r="W18" s="1014">
        <v>225</v>
      </c>
      <c r="X18" s="1014">
        <v>14434.5</v>
      </c>
      <c r="Y18" s="1015">
        <f t="shared" si="13"/>
        <v>14659.5</v>
      </c>
      <c r="Z18" s="834">
        <f t="shared" si="3"/>
        <v>0</v>
      </c>
      <c r="AA18" s="834">
        <f t="shared" si="4"/>
        <v>18.586965485014797</v>
      </c>
      <c r="AB18" s="1016" t="str">
        <f t="shared" si="17"/>
        <v/>
      </c>
      <c r="AC18" s="820" t="e">
        <f t="shared" si="5"/>
        <v>#DIV/0!</v>
      </c>
      <c r="AD18" s="820">
        <f t="shared" si="6"/>
        <v>0.68263144939997311</v>
      </c>
      <c r="AE18" s="820">
        <f t="shared" si="7"/>
        <v>0.69327207263700896</v>
      </c>
      <c r="AF18" s="814">
        <v>0</v>
      </c>
      <c r="AG18" s="1017">
        <v>0</v>
      </c>
      <c r="AH18" s="815">
        <v>1012</v>
      </c>
      <c r="AI18" s="1122"/>
      <c r="AJ18" s="816">
        <f t="shared" si="14"/>
        <v>21145.377952755905</v>
      </c>
      <c r="AK18" s="816">
        <f t="shared" si="8"/>
        <v>0</v>
      </c>
      <c r="AL18" s="816">
        <f t="shared" si="9"/>
        <v>21145.377952755905</v>
      </c>
      <c r="AM18" s="808">
        <f t="shared" si="10"/>
        <v>0</v>
      </c>
      <c r="AN18" s="808">
        <f t="shared" si="10"/>
        <v>859.37795275590554</v>
      </c>
      <c r="AO18" s="808">
        <f t="shared" si="15"/>
        <v>859.37795275590554</v>
      </c>
      <c r="AP18" s="817" t="e">
        <f>+AO18-#REF!</f>
        <v>#REF!</v>
      </c>
      <c r="AQ18" s="818">
        <f t="shared" si="11"/>
        <v>21145.377952755905</v>
      </c>
      <c r="AS18" s="808">
        <v>20.100000000000001</v>
      </c>
    </row>
    <row r="19" spans="2:47" s="1100" customFormat="1" ht="39" customHeight="1" x14ac:dyDescent="0.85">
      <c r="B19" s="1079">
        <v>45394</v>
      </c>
      <c r="C19" s="1080" t="s">
        <v>205</v>
      </c>
      <c r="D19" s="1081">
        <v>34615</v>
      </c>
      <c r="E19" s="1082">
        <f t="shared" si="20"/>
        <v>328842.5</v>
      </c>
      <c r="F19" s="1083">
        <v>18358</v>
      </c>
      <c r="G19" s="1084">
        <v>6</v>
      </c>
      <c r="H19" s="1085" t="s">
        <v>118</v>
      </c>
      <c r="I19" s="1083">
        <v>17382</v>
      </c>
      <c r="J19" s="1086">
        <v>5</v>
      </c>
      <c r="K19" s="1085" t="s">
        <v>118</v>
      </c>
      <c r="L19" s="1084">
        <f t="shared" si="16"/>
        <v>35740</v>
      </c>
      <c r="M19" s="1087">
        <f t="shared" si="0"/>
        <v>1.0325003611151236</v>
      </c>
      <c r="N19" s="1088">
        <f t="shared" si="12"/>
        <v>1125</v>
      </c>
      <c r="O19" s="1089">
        <v>2884</v>
      </c>
      <c r="P19" s="1090">
        <f t="shared" si="18"/>
        <v>27398</v>
      </c>
      <c r="Q19" s="1091">
        <v>1268.97</v>
      </c>
      <c r="R19" s="1091">
        <v>984.7</v>
      </c>
      <c r="S19" s="1091">
        <f t="shared" si="19"/>
        <v>2253.67</v>
      </c>
      <c r="T19" s="1087">
        <f t="shared" si="1"/>
        <v>0.78143897364771153</v>
      </c>
      <c r="U19" s="1092">
        <f t="shared" si="2"/>
        <v>-630.32999999999993</v>
      </c>
      <c r="V19" s="1076">
        <f t="shared" si="21"/>
        <v>62984.73</v>
      </c>
      <c r="W19" s="1123">
        <v>17049</v>
      </c>
      <c r="X19" s="1123">
        <v>17939.5</v>
      </c>
      <c r="Y19" s="1124">
        <f t="shared" si="13"/>
        <v>34988.5</v>
      </c>
      <c r="Z19" s="1095">
        <f t="shared" si="3"/>
        <v>12.00242718446602</v>
      </c>
      <c r="AA19" s="1095">
        <f t="shared" si="4"/>
        <v>15.858577342734295</v>
      </c>
      <c r="AB19" s="1087">
        <f t="shared" si="17"/>
        <v>1.3212808625291261</v>
      </c>
      <c r="AC19" s="1096">
        <f t="shared" si="5"/>
        <v>0.88075804915710165</v>
      </c>
      <c r="AD19" s="1096">
        <f t="shared" si="6"/>
        <v>0.98800186818295355</v>
      </c>
      <c r="AE19" s="1096">
        <f t="shared" si="7"/>
        <v>0.93266495912241487</v>
      </c>
      <c r="AF19" s="1125">
        <v>0</v>
      </c>
      <c r="AG19" s="1125">
        <v>0</v>
      </c>
      <c r="AH19" s="1097">
        <v>446</v>
      </c>
      <c r="AI19" s="1098"/>
      <c r="AJ19" s="1099">
        <f t="shared" si="14"/>
        <v>37514.543307086613</v>
      </c>
      <c r="AK19" s="1099">
        <f t="shared" si="8"/>
        <v>19357.188976377955</v>
      </c>
      <c r="AL19" s="1099">
        <f t="shared" si="9"/>
        <v>18157.354330708662</v>
      </c>
      <c r="AM19" s="1100">
        <f t="shared" si="10"/>
        <v>999.18897637795271</v>
      </c>
      <c r="AN19" s="1100">
        <f t="shared" si="10"/>
        <v>775.35433070866145</v>
      </c>
      <c r="AO19" s="1100">
        <f t="shared" si="15"/>
        <v>1774.5433070866143</v>
      </c>
      <c r="AP19" s="1101" t="e">
        <f>+AO19-#REF!</f>
        <v>#REF!</v>
      </c>
      <c r="AQ19" s="1102">
        <f t="shared" si="11"/>
        <v>37514.543307086613</v>
      </c>
      <c r="AS19" s="1100">
        <v>19.760000000000002</v>
      </c>
    </row>
    <row r="20" spans="2:47" s="1100" customFormat="1" ht="39" customHeight="1" x14ac:dyDescent="0.85">
      <c r="B20" s="1079">
        <v>45395</v>
      </c>
      <c r="C20" s="1080" t="s">
        <v>205</v>
      </c>
      <c r="D20" s="1081">
        <v>34615</v>
      </c>
      <c r="E20" s="1082">
        <f t="shared" si="20"/>
        <v>363457.5</v>
      </c>
      <c r="F20" s="1083">
        <v>14608</v>
      </c>
      <c r="G20" s="1084">
        <v>4</v>
      </c>
      <c r="H20" s="1085" t="s">
        <v>118</v>
      </c>
      <c r="I20" s="1083">
        <v>14586</v>
      </c>
      <c r="J20" s="1086">
        <v>4</v>
      </c>
      <c r="K20" s="1085" t="s">
        <v>118</v>
      </c>
      <c r="L20" s="1084">
        <f t="shared" si="16"/>
        <v>29194</v>
      </c>
      <c r="M20" s="1087">
        <f t="shared" si="0"/>
        <v>0.84339159323992485</v>
      </c>
      <c r="N20" s="1088">
        <f t="shared" si="12"/>
        <v>-5421</v>
      </c>
      <c r="O20" s="1089">
        <v>2884</v>
      </c>
      <c r="P20" s="1090">
        <f t="shared" si="18"/>
        <v>30282</v>
      </c>
      <c r="Q20" s="1091">
        <v>354</v>
      </c>
      <c r="R20" s="1091">
        <v>0</v>
      </c>
      <c r="S20" s="1091">
        <f>+R20+Q20</f>
        <v>354</v>
      </c>
      <c r="T20" s="1087">
        <f t="shared" si="1"/>
        <v>0.12274618585298197</v>
      </c>
      <c r="U20" s="1092">
        <f t="shared" si="2"/>
        <v>-2530</v>
      </c>
      <c r="V20" s="1076">
        <f t="shared" si="21"/>
        <v>63338.73</v>
      </c>
      <c r="W20" s="1123">
        <v>15473</v>
      </c>
      <c r="X20" s="1123">
        <v>13658</v>
      </c>
      <c r="Y20" s="1124">
        <f>W20+X20</f>
        <v>29131</v>
      </c>
      <c r="Z20" s="1095">
        <f t="shared" si="3"/>
        <v>12.00242718446602</v>
      </c>
      <c r="AA20" s="1095">
        <f t="shared" si="4"/>
        <v>82.468926553672318</v>
      </c>
      <c r="AB20" s="1087">
        <f t="shared" si="17"/>
        <v>6.8710207765648112</v>
      </c>
      <c r="AC20" s="1096">
        <f t="shared" si="5"/>
        <v>1.0393813444930118</v>
      </c>
      <c r="AD20" s="1096">
        <f t="shared" si="6"/>
        <v>0.93637734814205398</v>
      </c>
      <c r="AE20" s="1096">
        <f t="shared" si="7"/>
        <v>0.98840487326070425</v>
      </c>
      <c r="AF20" s="1125">
        <v>0</v>
      </c>
      <c r="AG20" s="1125">
        <v>0</v>
      </c>
      <c r="AH20" s="1097">
        <v>20</v>
      </c>
      <c r="AI20" s="1098"/>
      <c r="AJ20" s="1099">
        <f t="shared" si="14"/>
        <v>29472.740157480315</v>
      </c>
      <c r="AK20" s="1099">
        <f t="shared" si="8"/>
        <v>14886.740157480315</v>
      </c>
      <c r="AL20" s="1099">
        <f t="shared" si="9"/>
        <v>14586</v>
      </c>
      <c r="AM20" s="1100">
        <f t="shared" si="10"/>
        <v>278.74015748031496</v>
      </c>
      <c r="AN20" s="1100">
        <f t="shared" si="10"/>
        <v>0</v>
      </c>
      <c r="AO20" s="1100">
        <f t="shared" si="15"/>
        <v>278.74015748031496</v>
      </c>
      <c r="AP20" s="1101" t="e">
        <f>+AO20-#REF!</f>
        <v>#REF!</v>
      </c>
      <c r="AQ20" s="1102">
        <f t="shared" si="11"/>
        <v>29472.740157480315</v>
      </c>
      <c r="AS20" s="1100">
        <v>20.059999999999999</v>
      </c>
    </row>
    <row r="21" spans="2:47" s="1100" customFormat="1" ht="39" customHeight="1" x14ac:dyDescent="0.85">
      <c r="B21" s="1079">
        <v>45396</v>
      </c>
      <c r="C21" s="1080" t="s">
        <v>205</v>
      </c>
      <c r="D21" s="1081">
        <f>D20/2</f>
        <v>17307.5</v>
      </c>
      <c r="E21" s="1082">
        <f t="shared" si="20"/>
        <v>380765</v>
      </c>
      <c r="F21" s="1083">
        <v>0</v>
      </c>
      <c r="G21" s="1084">
        <v>0</v>
      </c>
      <c r="H21" s="1085" t="s">
        <v>118</v>
      </c>
      <c r="I21" s="1083">
        <v>18348</v>
      </c>
      <c r="J21" s="1086">
        <v>4</v>
      </c>
      <c r="K21" s="1085" t="s">
        <v>118</v>
      </c>
      <c r="L21" s="1084">
        <f>+F21+I21</f>
        <v>18348</v>
      </c>
      <c r="M21" s="1087">
        <f t="shared" si="0"/>
        <v>1.0601184457605084</v>
      </c>
      <c r="N21" s="1088">
        <f t="shared" si="12"/>
        <v>1040.5</v>
      </c>
      <c r="O21" s="1089">
        <f>O20/2</f>
        <v>1442</v>
      </c>
      <c r="P21" s="1090">
        <f t="shared" si="18"/>
        <v>31724</v>
      </c>
      <c r="Q21" s="1091">
        <v>0</v>
      </c>
      <c r="R21" s="1091">
        <v>0</v>
      </c>
      <c r="S21" s="1091">
        <f t="shared" si="19"/>
        <v>0</v>
      </c>
      <c r="T21" s="1087">
        <f t="shared" si="1"/>
        <v>0</v>
      </c>
      <c r="U21" s="1092">
        <f t="shared" si="2"/>
        <v>-1442</v>
      </c>
      <c r="V21" s="1076">
        <f t="shared" si="21"/>
        <v>63338.73</v>
      </c>
      <c r="W21" s="1123">
        <v>1142</v>
      </c>
      <c r="X21" s="1123">
        <v>12108</v>
      </c>
      <c r="Y21" s="1124">
        <f>W21+X21</f>
        <v>13250</v>
      </c>
      <c r="Z21" s="1095">
        <f t="shared" si="3"/>
        <v>12.00242718446602</v>
      </c>
      <c r="AA21" s="1095">
        <f t="shared" si="4"/>
        <v>0</v>
      </c>
      <c r="AB21" s="1087">
        <f t="shared" si="17"/>
        <v>0</v>
      </c>
      <c r="AC21" s="1096" t="e">
        <f t="shared" si="5"/>
        <v>#DIV/0!</v>
      </c>
      <c r="AD21" s="1096">
        <f t="shared" si="6"/>
        <v>0.65990843688685419</v>
      </c>
      <c r="AE21" s="1096">
        <f t="shared" si="7"/>
        <v>0.72214955308480488</v>
      </c>
      <c r="AF21" s="1125">
        <v>0</v>
      </c>
      <c r="AG21" s="1125">
        <v>0</v>
      </c>
      <c r="AH21" s="1097">
        <v>0</v>
      </c>
      <c r="AI21" s="1098"/>
      <c r="AJ21" s="1099">
        <f t="shared" si="14"/>
        <v>18348</v>
      </c>
      <c r="AK21" s="1099">
        <f t="shared" si="8"/>
        <v>0</v>
      </c>
      <c r="AL21" s="1099">
        <f t="shared" si="9"/>
        <v>18348</v>
      </c>
      <c r="AM21" s="1100">
        <f t="shared" si="10"/>
        <v>0</v>
      </c>
      <c r="AN21" s="1100">
        <f t="shared" si="10"/>
        <v>0</v>
      </c>
      <c r="AO21" s="1100">
        <f t="shared" si="15"/>
        <v>0</v>
      </c>
      <c r="AP21" s="1101" t="e">
        <f>+AO21-#REF!</f>
        <v>#REF!</v>
      </c>
      <c r="AQ21" s="1102">
        <f t="shared" si="11"/>
        <v>18348</v>
      </c>
      <c r="AS21" s="1100">
        <v>20.97</v>
      </c>
    </row>
    <row r="22" spans="2:47" s="1100" customFormat="1" ht="39" customHeight="1" x14ac:dyDescent="0.85">
      <c r="B22" s="1079">
        <v>45397</v>
      </c>
      <c r="C22" s="1080" t="s">
        <v>205</v>
      </c>
      <c r="D22" s="1081">
        <v>34615</v>
      </c>
      <c r="E22" s="1082">
        <f t="shared" si="20"/>
        <v>415380</v>
      </c>
      <c r="F22" s="1083">
        <f>'[6]PIT GAR 50'!$D$22</f>
        <v>16648</v>
      </c>
      <c r="G22" s="1084">
        <v>4</v>
      </c>
      <c r="H22" s="1085" t="s">
        <v>118</v>
      </c>
      <c r="I22" s="1083">
        <f>'[6]PIT GAR 50'!$F$22</f>
        <v>19268</v>
      </c>
      <c r="J22" s="1086">
        <v>5</v>
      </c>
      <c r="K22" s="1085" t="s">
        <v>118</v>
      </c>
      <c r="L22" s="1084">
        <f>+F22+I22</f>
        <v>35916</v>
      </c>
      <c r="M22" s="1087">
        <f t="shared" si="0"/>
        <v>1.0375848620540229</v>
      </c>
      <c r="N22" s="1088">
        <f t="shared" si="12"/>
        <v>1301</v>
      </c>
      <c r="O22" s="1089">
        <v>2884</v>
      </c>
      <c r="P22" s="1090">
        <f t="shared" si="18"/>
        <v>34608</v>
      </c>
      <c r="Q22" s="1091">
        <v>111.54</v>
      </c>
      <c r="R22" s="1091">
        <v>1104.52</v>
      </c>
      <c r="S22" s="1091">
        <f t="shared" si="19"/>
        <v>1216.06</v>
      </c>
      <c r="T22" s="1087">
        <f t="shared" si="1"/>
        <v>0.42165742024965325</v>
      </c>
      <c r="U22" s="1092">
        <f t="shared" si="2"/>
        <v>-1667.94</v>
      </c>
      <c r="V22" s="1076">
        <f t="shared" si="21"/>
        <v>64554.79</v>
      </c>
      <c r="W22" s="1123">
        <v>14191.5</v>
      </c>
      <c r="X22" s="1123">
        <v>15325.5</v>
      </c>
      <c r="Y22" s="1124">
        <f>W22+X22</f>
        <v>29517</v>
      </c>
      <c r="Z22" s="1095">
        <f t="shared" si="3"/>
        <v>12.00242718446602</v>
      </c>
      <c r="AA22" s="1095">
        <f t="shared" si="4"/>
        <v>29.534726904922454</v>
      </c>
      <c r="AB22" s="1087">
        <f t="shared" si="17"/>
        <v>2.4607295217043581</v>
      </c>
      <c r="AC22" s="1096">
        <f t="shared" si="5"/>
        <v>0.84797125314639243</v>
      </c>
      <c r="AD22" s="1096">
        <f t="shared" si="6"/>
        <v>0.76103524239409914</v>
      </c>
      <c r="AE22" s="1096">
        <f t="shared" si="7"/>
        <v>0.80049298111570133</v>
      </c>
      <c r="AF22" s="1125">
        <v>0</v>
      </c>
      <c r="AG22" s="1125">
        <v>0</v>
      </c>
      <c r="AH22" s="1097">
        <v>871</v>
      </c>
      <c r="AI22" s="1098"/>
      <c r="AJ22" s="1099">
        <f t="shared" si="14"/>
        <v>36873.527559055117</v>
      </c>
      <c r="AK22" s="1099">
        <f t="shared" si="8"/>
        <v>16735.826771653545</v>
      </c>
      <c r="AL22" s="1099">
        <f t="shared" si="9"/>
        <v>20137.700787401576</v>
      </c>
      <c r="AM22" s="1100">
        <f t="shared" si="10"/>
        <v>87.826771653543304</v>
      </c>
      <c r="AN22" s="1100">
        <f t="shared" si="10"/>
        <v>869.70078740157476</v>
      </c>
      <c r="AO22" s="1100">
        <f t="shared" si="15"/>
        <v>957.5275590551181</v>
      </c>
      <c r="AP22" s="1101" t="e">
        <f>+AO22-#REF!</f>
        <v>#REF!</v>
      </c>
      <c r="AQ22" s="1102">
        <f t="shared" si="11"/>
        <v>36873.527559055117</v>
      </c>
      <c r="AS22" s="1100">
        <v>19.559999999999999</v>
      </c>
    </row>
    <row r="23" spans="2:47" s="1100" customFormat="1" ht="39" customHeight="1" x14ac:dyDescent="0.85">
      <c r="B23" s="1079">
        <v>45398</v>
      </c>
      <c r="C23" s="1080" t="s">
        <v>205</v>
      </c>
      <c r="D23" s="1081">
        <v>34615</v>
      </c>
      <c r="E23" s="1082">
        <f t="shared" si="20"/>
        <v>449995</v>
      </c>
      <c r="F23" s="1083">
        <v>19098</v>
      </c>
      <c r="G23" s="1084">
        <v>5</v>
      </c>
      <c r="H23" s="1085" t="s">
        <v>118</v>
      </c>
      <c r="I23" s="1083">
        <v>17218</v>
      </c>
      <c r="J23" s="1086">
        <v>5</v>
      </c>
      <c r="K23" s="1085" t="s">
        <v>118</v>
      </c>
      <c r="L23" s="1084">
        <f t="shared" si="16"/>
        <v>36316</v>
      </c>
      <c r="M23" s="1087">
        <f t="shared" si="0"/>
        <v>1.0491405460060668</v>
      </c>
      <c r="N23" s="1088">
        <f t="shared" si="12"/>
        <v>1701</v>
      </c>
      <c r="O23" s="1089">
        <v>2884</v>
      </c>
      <c r="P23" s="1090">
        <f t="shared" si="18"/>
        <v>37492</v>
      </c>
      <c r="Q23" s="1091">
        <v>1715.4</v>
      </c>
      <c r="R23" s="1091">
        <v>887.58</v>
      </c>
      <c r="S23" s="1091">
        <f t="shared" si="19"/>
        <v>2602.98</v>
      </c>
      <c r="T23" s="1087">
        <f t="shared" si="1"/>
        <v>0.90255894590846053</v>
      </c>
      <c r="U23" s="1092">
        <f t="shared" si="2"/>
        <v>-281.02</v>
      </c>
      <c r="V23" s="1076">
        <f t="shared" si="21"/>
        <v>67157.77</v>
      </c>
      <c r="W23" s="1154">
        <v>18180.5</v>
      </c>
      <c r="X23" s="1154">
        <v>15864</v>
      </c>
      <c r="Y23" s="1124">
        <f t="shared" si="13"/>
        <v>34044.5</v>
      </c>
      <c r="Z23" s="1095">
        <f t="shared" si="3"/>
        <v>12.00242718446602</v>
      </c>
      <c r="AA23" s="1095">
        <f t="shared" si="4"/>
        <v>13.951701511344689</v>
      </c>
      <c r="AB23" s="1087">
        <f t="shared" si="17"/>
        <v>1.1624066779927222</v>
      </c>
      <c r="AC23" s="1096">
        <f t="shared" si="5"/>
        <v>0.88907814674395624</v>
      </c>
      <c r="AD23" s="1096">
        <f t="shared" si="6"/>
        <v>0.8854219220512568</v>
      </c>
      <c r="AE23" s="1096">
        <f t="shared" si="7"/>
        <v>0.88737067541247394</v>
      </c>
      <c r="AF23" s="1125">
        <v>0</v>
      </c>
      <c r="AG23" s="1125">
        <v>0</v>
      </c>
      <c r="AH23" s="1097">
        <f>+'[2]Daily All PIT'!$AF$23</f>
        <v>366</v>
      </c>
      <c r="AI23" s="1098"/>
      <c r="AJ23" s="1099">
        <f t="shared" si="14"/>
        <v>38365.5905511811</v>
      </c>
      <c r="AK23" s="1099">
        <f t="shared" si="8"/>
        <v>20448.708661417324</v>
      </c>
      <c r="AL23" s="1099">
        <f t="shared" si="9"/>
        <v>17916.881889763779</v>
      </c>
      <c r="AM23" s="1100">
        <f t="shared" si="10"/>
        <v>1350.7086614173229</v>
      </c>
      <c r="AN23" s="1100">
        <f t="shared" si="10"/>
        <v>698.88188976377955</v>
      </c>
      <c r="AO23" s="1100">
        <f t="shared" si="15"/>
        <v>2049.5905511811025</v>
      </c>
      <c r="AP23" s="1101" t="e">
        <f>+AO23-#REF!</f>
        <v>#REF!</v>
      </c>
      <c r="AQ23" s="1102">
        <f t="shared" si="11"/>
        <v>38365.5905511811</v>
      </c>
      <c r="AS23" s="1100">
        <v>22.16</v>
      </c>
    </row>
    <row r="24" spans="2:47" s="1100" customFormat="1" ht="39" customHeight="1" x14ac:dyDescent="0.85">
      <c r="B24" s="1079">
        <v>45399</v>
      </c>
      <c r="C24" s="1080" t="s">
        <v>205</v>
      </c>
      <c r="D24" s="1081">
        <v>34615</v>
      </c>
      <c r="E24" s="1082">
        <f t="shared" si="20"/>
        <v>484610</v>
      </c>
      <c r="F24" s="1083">
        <v>15206</v>
      </c>
      <c r="G24" s="1084">
        <v>5</v>
      </c>
      <c r="H24" s="1085" t="s">
        <v>118</v>
      </c>
      <c r="I24" s="1083">
        <v>17230</v>
      </c>
      <c r="J24" s="1086">
        <v>5</v>
      </c>
      <c r="K24" s="1085" t="s">
        <v>118</v>
      </c>
      <c r="L24" s="1084">
        <f t="shared" si="16"/>
        <v>32436</v>
      </c>
      <c r="M24" s="1087">
        <f t="shared" si="0"/>
        <v>0.93705041167124081</v>
      </c>
      <c r="N24" s="1088">
        <f t="shared" si="12"/>
        <v>-2179</v>
      </c>
      <c r="O24" s="1089">
        <v>2884</v>
      </c>
      <c r="P24" s="1090">
        <f t="shared" si="18"/>
        <v>40376</v>
      </c>
      <c r="Q24" s="1091">
        <v>1357.76</v>
      </c>
      <c r="R24" s="1091">
        <v>1013.68</v>
      </c>
      <c r="S24" s="1091">
        <f t="shared" si="19"/>
        <v>2371.44</v>
      </c>
      <c r="T24" s="1087">
        <f t="shared" si="1"/>
        <v>0.82227461858529827</v>
      </c>
      <c r="U24" s="1092">
        <f t="shared" si="2"/>
        <v>-512.55999999999995</v>
      </c>
      <c r="V24" s="1076">
        <f t="shared" si="21"/>
        <v>69529.210000000006</v>
      </c>
      <c r="W24" s="1154">
        <v>14912.5</v>
      </c>
      <c r="X24" s="1154">
        <v>13415</v>
      </c>
      <c r="Y24" s="1124">
        <f>+W24+X24</f>
        <v>28327.5</v>
      </c>
      <c r="Z24" s="1095">
        <f t="shared" si="3"/>
        <v>12.00242718446602</v>
      </c>
      <c r="AA24" s="1095">
        <f t="shared" si="4"/>
        <v>13.677765408359477</v>
      </c>
      <c r="AB24" s="1087">
        <f t="shared" si="17"/>
        <v>1.1395832857925388</v>
      </c>
      <c r="AC24" s="1096">
        <f t="shared" si="5"/>
        <v>0.91627687913232037</v>
      </c>
      <c r="AD24" s="1096">
        <f t="shared" si="6"/>
        <v>0.74411310730623725</v>
      </c>
      <c r="AE24" s="1096">
        <f t="shared" si="7"/>
        <v>0.82579577350341427</v>
      </c>
      <c r="AF24" s="1125">
        <v>0</v>
      </c>
      <c r="AG24" s="1125">
        <v>0</v>
      </c>
      <c r="AH24" s="1097">
        <v>900</v>
      </c>
      <c r="AI24" s="1098"/>
      <c r="AJ24" s="1099">
        <f t="shared" si="14"/>
        <v>34303.27559055118</v>
      </c>
      <c r="AK24" s="1099">
        <f t="shared" si="8"/>
        <v>16275.102362204725</v>
      </c>
      <c r="AL24" s="1099">
        <f t="shared" si="9"/>
        <v>18028.173228346455</v>
      </c>
      <c r="AM24" s="1100">
        <f t="shared" si="10"/>
        <v>1069.1023622047244</v>
      </c>
      <c r="AN24" s="1100">
        <f t="shared" si="10"/>
        <v>798.17322834645665</v>
      </c>
      <c r="AO24" s="1100">
        <f t="shared" si="15"/>
        <v>1867.275590551181</v>
      </c>
      <c r="AP24" s="1101" t="e">
        <f>+AO24-#REF!</f>
        <v>#REF!</v>
      </c>
      <c r="AQ24" s="1102">
        <f t="shared" si="11"/>
        <v>34303.27559055118</v>
      </c>
      <c r="AS24" s="1100">
        <v>21.71</v>
      </c>
    </row>
    <row r="25" spans="2:47" s="1100" customFormat="1" ht="39" customHeight="1" x14ac:dyDescent="0.85">
      <c r="B25" s="1079">
        <v>45400</v>
      </c>
      <c r="C25" s="1080" t="s">
        <v>205</v>
      </c>
      <c r="D25" s="1081">
        <v>34615</v>
      </c>
      <c r="E25" s="1082">
        <f t="shared" si="20"/>
        <v>519225</v>
      </c>
      <c r="F25" s="1083">
        <v>21220</v>
      </c>
      <c r="G25" s="1084">
        <v>5</v>
      </c>
      <c r="H25" s="1085" t="s">
        <v>118</v>
      </c>
      <c r="I25" s="1083">
        <v>16788</v>
      </c>
      <c r="J25" s="1086">
        <v>5</v>
      </c>
      <c r="K25" s="1085" t="s">
        <v>118</v>
      </c>
      <c r="L25" s="1084">
        <f>+F25+I25</f>
        <v>38008</v>
      </c>
      <c r="M25" s="1087">
        <f t="shared" si="0"/>
        <v>1.0980210891232125</v>
      </c>
      <c r="N25" s="1088">
        <f t="shared" si="12"/>
        <v>3393</v>
      </c>
      <c r="O25" s="1089">
        <v>2884</v>
      </c>
      <c r="P25" s="1090">
        <f t="shared" si="18"/>
        <v>43260</v>
      </c>
      <c r="Q25" s="1091">
        <v>996.4</v>
      </c>
      <c r="R25" s="1091">
        <v>1288.3399999999999</v>
      </c>
      <c r="S25" s="1091">
        <f>+R25+Q25</f>
        <v>2284.7399999999998</v>
      </c>
      <c r="T25" s="1087">
        <f t="shared" si="1"/>
        <v>0.79221220527045766</v>
      </c>
      <c r="U25" s="1092">
        <f t="shared" si="2"/>
        <v>-599.26000000000022</v>
      </c>
      <c r="V25" s="1076">
        <f t="shared" si="21"/>
        <v>71813.950000000012</v>
      </c>
      <c r="W25" s="1154">
        <v>18138</v>
      </c>
      <c r="X25" s="1154">
        <v>16457.5</v>
      </c>
      <c r="Y25" s="1124">
        <f t="shared" si="13"/>
        <v>34595.5</v>
      </c>
      <c r="Z25" s="1095">
        <f t="shared" si="3"/>
        <v>12.00242718446602</v>
      </c>
      <c r="AA25" s="1095">
        <f t="shared" si="4"/>
        <v>16.63559092062992</v>
      </c>
      <c r="AB25" s="1087">
        <f t="shared" si="17"/>
        <v>1.3860188997572349</v>
      </c>
      <c r="AC25" s="1096">
        <f t="shared" si="5"/>
        <v>0.82428343436222973</v>
      </c>
      <c r="AD25" s="1096">
        <f t="shared" si="6"/>
        <v>0.92445187999522305</v>
      </c>
      <c r="AE25" s="1096">
        <f t="shared" si="7"/>
        <v>0.86908064302372268</v>
      </c>
      <c r="AF25" s="1125">
        <v>0</v>
      </c>
      <c r="AG25" s="1125">
        <v>0</v>
      </c>
      <c r="AH25" s="1097">
        <v>275</v>
      </c>
      <c r="AI25" s="1098"/>
      <c r="AJ25" s="1099">
        <f t="shared" si="14"/>
        <v>39807.007874015748</v>
      </c>
      <c r="AK25" s="1099">
        <f t="shared" si="8"/>
        <v>22004.56692913386</v>
      </c>
      <c r="AL25" s="1099">
        <f t="shared" si="9"/>
        <v>17802.440944881891</v>
      </c>
      <c r="AM25" s="1100">
        <f t="shared" si="10"/>
        <v>784.56692913385825</v>
      </c>
      <c r="AN25" s="1100">
        <f t="shared" si="10"/>
        <v>1014.4409448818897</v>
      </c>
      <c r="AO25" s="1100">
        <f t="shared" si="15"/>
        <v>1799.0078740157478</v>
      </c>
      <c r="AP25" s="1101" t="e">
        <f>+AO25-#REF!</f>
        <v>#REF!</v>
      </c>
      <c r="AQ25" s="1102">
        <f t="shared" si="11"/>
        <v>39807.007874015748</v>
      </c>
      <c r="AS25" s="1100">
        <v>22.24</v>
      </c>
    </row>
    <row r="26" spans="2:47" s="808" customFormat="1" ht="39" customHeight="1" x14ac:dyDescent="0.85">
      <c r="B26" s="1072">
        <v>45401</v>
      </c>
      <c r="C26" s="1103" t="s">
        <v>205</v>
      </c>
      <c r="D26" s="1104">
        <v>34615</v>
      </c>
      <c r="E26" s="1105">
        <f t="shared" si="20"/>
        <v>553840</v>
      </c>
      <c r="F26" s="1117"/>
      <c r="G26" s="1107"/>
      <c r="H26" s="1108" t="s">
        <v>118</v>
      </c>
      <c r="I26" s="1106"/>
      <c r="J26" s="1107"/>
      <c r="K26" s="1108" t="s">
        <v>118</v>
      </c>
      <c r="L26" s="1009">
        <v>35000</v>
      </c>
      <c r="M26" s="1016">
        <f t="shared" si="0"/>
        <v>1.0111223458038423</v>
      </c>
      <c r="N26" s="1111">
        <f t="shared" si="12"/>
        <v>385</v>
      </c>
      <c r="O26" s="1112">
        <v>2884</v>
      </c>
      <c r="P26" s="1113">
        <f t="shared" si="18"/>
        <v>46144</v>
      </c>
      <c r="Q26" s="838"/>
      <c r="R26" s="838"/>
      <c r="S26" s="838">
        <v>4500</v>
      </c>
      <c r="T26" s="1110">
        <f t="shared" si="1"/>
        <v>1.5603328710124826</v>
      </c>
      <c r="U26" s="1114">
        <f t="shared" si="2"/>
        <v>1616</v>
      </c>
      <c r="V26" s="1076"/>
      <c r="W26" s="1186"/>
      <c r="X26" s="1186"/>
      <c r="Y26" s="1187">
        <f t="shared" si="13"/>
        <v>0</v>
      </c>
      <c r="Z26" s="1115">
        <f t="shared" si="3"/>
        <v>12.00242718446602</v>
      </c>
      <c r="AA26" s="1115">
        <f t="shared" si="4"/>
        <v>7.7777777777777777</v>
      </c>
      <c r="AB26" s="1110"/>
      <c r="AC26" s="1116" t="e">
        <f t="shared" si="5"/>
        <v>#DIV/0!</v>
      </c>
      <c r="AD26" s="1116" t="e">
        <f t="shared" si="6"/>
        <v>#DIV/0!</v>
      </c>
      <c r="AE26" s="820">
        <f t="shared" si="7"/>
        <v>0</v>
      </c>
      <c r="AF26" s="1017"/>
      <c r="AG26" s="1017"/>
      <c r="AH26" s="815"/>
      <c r="AI26" s="1162"/>
      <c r="AJ26" s="816">
        <f t="shared" si="14"/>
        <v>0</v>
      </c>
      <c r="AK26" s="816">
        <f t="shared" si="8"/>
        <v>0</v>
      </c>
      <c r="AL26" s="816">
        <f t="shared" si="9"/>
        <v>0</v>
      </c>
      <c r="AM26" s="808">
        <f t="shared" si="10"/>
        <v>0</v>
      </c>
      <c r="AN26" s="808">
        <f t="shared" si="10"/>
        <v>0</v>
      </c>
      <c r="AO26" s="808">
        <f t="shared" si="15"/>
        <v>0</v>
      </c>
      <c r="AP26" s="817" t="e">
        <f>+AO26-#REF!</f>
        <v>#REF!</v>
      </c>
      <c r="AQ26" s="818">
        <f t="shared" si="11"/>
        <v>35000</v>
      </c>
      <c r="AS26" s="808">
        <v>21.9</v>
      </c>
    </row>
    <row r="27" spans="2:47" s="808" customFormat="1" ht="39" customHeight="1" x14ac:dyDescent="0.85">
      <c r="B27" s="1072">
        <v>45402</v>
      </c>
      <c r="C27" s="1103" t="s">
        <v>205</v>
      </c>
      <c r="D27" s="1104">
        <v>34615</v>
      </c>
      <c r="E27" s="1105">
        <f t="shared" si="20"/>
        <v>588455</v>
      </c>
      <c r="F27" s="1106"/>
      <c r="G27" s="1107"/>
      <c r="H27" s="1108" t="s">
        <v>118</v>
      </c>
      <c r="I27" s="1106"/>
      <c r="J27" s="1109"/>
      <c r="K27" s="1108" t="s">
        <v>118</v>
      </c>
      <c r="L27" s="1009">
        <v>35000</v>
      </c>
      <c r="M27" s="1016">
        <f t="shared" si="0"/>
        <v>1.0111223458038423</v>
      </c>
      <c r="N27" s="1111">
        <f t="shared" si="12"/>
        <v>385</v>
      </c>
      <c r="O27" s="1112">
        <v>2884</v>
      </c>
      <c r="P27" s="1113">
        <f t="shared" si="18"/>
        <v>49028</v>
      </c>
      <c r="Q27" s="838"/>
      <c r="R27" s="838"/>
      <c r="S27" s="838">
        <v>4500</v>
      </c>
      <c r="T27" s="1110">
        <f t="shared" si="1"/>
        <v>1.5603328710124826</v>
      </c>
      <c r="U27" s="1114">
        <f t="shared" si="2"/>
        <v>1616</v>
      </c>
      <c r="V27" s="1076"/>
      <c r="W27" s="1188"/>
      <c r="X27" s="1188"/>
      <c r="Y27" s="1187">
        <f t="shared" si="13"/>
        <v>0</v>
      </c>
      <c r="Z27" s="1115">
        <f t="shared" si="3"/>
        <v>12.00242718446602</v>
      </c>
      <c r="AA27" s="1115">
        <f t="shared" si="4"/>
        <v>7.7777777777777777</v>
      </c>
      <c r="AB27" s="1110">
        <f t="shared" si="17"/>
        <v>0.64801707673295128</v>
      </c>
      <c r="AC27" s="1116" t="e">
        <f t="shared" si="5"/>
        <v>#DIV/0!</v>
      </c>
      <c r="AD27" s="1116" t="e">
        <f t="shared" si="6"/>
        <v>#DIV/0!</v>
      </c>
      <c r="AE27" s="820">
        <f t="shared" si="7"/>
        <v>0</v>
      </c>
      <c r="AF27" s="1017"/>
      <c r="AG27" s="1017"/>
      <c r="AH27" s="815"/>
      <c r="AI27" s="1162"/>
      <c r="AJ27" s="816">
        <f t="shared" si="14"/>
        <v>0</v>
      </c>
      <c r="AK27" s="816">
        <f t="shared" si="8"/>
        <v>0</v>
      </c>
      <c r="AL27" s="816">
        <f t="shared" si="9"/>
        <v>0</v>
      </c>
      <c r="AM27" s="808">
        <f t="shared" si="10"/>
        <v>0</v>
      </c>
      <c r="AN27" s="808">
        <f t="shared" si="10"/>
        <v>0</v>
      </c>
      <c r="AO27" s="808">
        <f t="shared" si="15"/>
        <v>0</v>
      </c>
      <c r="AP27" s="817" t="e">
        <f>+AO27-#REF!</f>
        <v>#REF!</v>
      </c>
      <c r="AQ27" s="818">
        <f t="shared" si="11"/>
        <v>35000</v>
      </c>
      <c r="AS27" s="808">
        <f>34.75-13.11</f>
        <v>21.64</v>
      </c>
      <c r="AU27" s="1189">
        <f>Y31-1029</f>
        <v>-1029</v>
      </c>
    </row>
    <row r="28" spans="2:47" s="808" customFormat="1" ht="39" customHeight="1" x14ac:dyDescent="0.85">
      <c r="B28" s="1191">
        <v>45403</v>
      </c>
      <c r="C28" s="1103" t="s">
        <v>205</v>
      </c>
      <c r="D28" s="1104">
        <f>D27/2</f>
        <v>17307.5</v>
      </c>
      <c r="E28" s="1105">
        <f t="shared" si="20"/>
        <v>605762.5</v>
      </c>
      <c r="F28" s="1106"/>
      <c r="G28" s="1107"/>
      <c r="H28" s="1108" t="s">
        <v>118</v>
      </c>
      <c r="I28" s="1106"/>
      <c r="J28" s="1107"/>
      <c r="K28" s="1108" t="s">
        <v>118</v>
      </c>
      <c r="L28" s="1009">
        <f>35000/2</f>
        <v>17500</v>
      </c>
      <c r="M28" s="1016">
        <f t="shared" si="0"/>
        <v>1.0111223458038423</v>
      </c>
      <c r="N28" s="1111">
        <f t="shared" si="12"/>
        <v>192.5</v>
      </c>
      <c r="O28" s="1113">
        <f>O27/2</f>
        <v>1442</v>
      </c>
      <c r="P28" s="1113">
        <f t="shared" si="18"/>
        <v>50470</v>
      </c>
      <c r="Q28" s="838"/>
      <c r="R28" s="838"/>
      <c r="S28" s="838">
        <v>2000</v>
      </c>
      <c r="T28" s="1110">
        <f t="shared" si="1"/>
        <v>1.3869625520110958</v>
      </c>
      <c r="U28" s="1114">
        <f t="shared" si="2"/>
        <v>558</v>
      </c>
      <c r="V28" s="1076"/>
      <c r="W28" s="1014"/>
      <c r="X28" s="1014"/>
      <c r="Y28" s="1187">
        <f t="shared" si="13"/>
        <v>0</v>
      </c>
      <c r="Z28" s="1115">
        <f t="shared" si="3"/>
        <v>12.00242718446602</v>
      </c>
      <c r="AA28" s="1115">
        <f t="shared" si="4"/>
        <v>8.75</v>
      </c>
      <c r="AB28" s="1110">
        <f t="shared" si="17"/>
        <v>0.72901921132457026</v>
      </c>
      <c r="AC28" s="1116" t="e">
        <f t="shared" si="5"/>
        <v>#DIV/0!</v>
      </c>
      <c r="AD28" s="1116" t="e">
        <f t="shared" si="6"/>
        <v>#DIV/0!</v>
      </c>
      <c r="AE28" s="820">
        <f t="shared" si="7"/>
        <v>0</v>
      </c>
      <c r="AF28" s="1017"/>
      <c r="AG28" s="1017"/>
      <c r="AH28" s="815"/>
      <c r="AI28" s="1162"/>
      <c r="AJ28" s="816">
        <f t="shared" si="14"/>
        <v>0</v>
      </c>
      <c r="AK28" s="816">
        <f t="shared" si="8"/>
        <v>0</v>
      </c>
      <c r="AL28" s="816">
        <f t="shared" si="9"/>
        <v>0</v>
      </c>
      <c r="AM28" s="808">
        <f t="shared" si="10"/>
        <v>0</v>
      </c>
      <c r="AN28" s="808">
        <f t="shared" si="10"/>
        <v>0</v>
      </c>
      <c r="AO28" s="808">
        <f t="shared" si="15"/>
        <v>0</v>
      </c>
      <c r="AP28" s="817" t="e">
        <f>+AO28-#REF!</f>
        <v>#REF!</v>
      </c>
      <c r="AQ28" s="818">
        <f t="shared" si="11"/>
        <v>17500</v>
      </c>
      <c r="AS28" s="808">
        <v>21</v>
      </c>
    </row>
    <row r="29" spans="2:47" s="808" customFormat="1" ht="39" customHeight="1" x14ac:dyDescent="0.85">
      <c r="B29" s="1072">
        <v>45404</v>
      </c>
      <c r="C29" s="1103" t="s">
        <v>205</v>
      </c>
      <c r="D29" s="1104">
        <v>34615</v>
      </c>
      <c r="E29" s="1105">
        <f t="shared" si="20"/>
        <v>640377.5</v>
      </c>
      <c r="F29" s="1118"/>
      <c r="G29" s="1107"/>
      <c r="H29" s="1108" t="s">
        <v>118</v>
      </c>
      <c r="I29" s="1106"/>
      <c r="J29" s="1109"/>
      <c r="K29" s="1108" t="s">
        <v>118</v>
      </c>
      <c r="L29" s="1009">
        <v>35000</v>
      </c>
      <c r="M29" s="1016">
        <f t="shared" si="0"/>
        <v>1.0111223458038423</v>
      </c>
      <c r="N29" s="1111">
        <f t="shared" si="12"/>
        <v>385</v>
      </c>
      <c r="O29" s="1112">
        <v>2884</v>
      </c>
      <c r="P29" s="1113">
        <f t="shared" si="18"/>
        <v>53354</v>
      </c>
      <c r="Q29" s="838"/>
      <c r="R29" s="838"/>
      <c r="S29" s="838">
        <v>4500</v>
      </c>
      <c r="T29" s="1110">
        <f t="shared" si="1"/>
        <v>1.5603328710124826</v>
      </c>
      <c r="U29" s="1114">
        <f t="shared" si="2"/>
        <v>1616</v>
      </c>
      <c r="V29" s="1076"/>
      <c r="W29" s="1014"/>
      <c r="X29" s="1014"/>
      <c r="Y29" s="1187">
        <f t="shared" si="13"/>
        <v>0</v>
      </c>
      <c r="Z29" s="1115">
        <f t="shared" si="3"/>
        <v>12.00242718446602</v>
      </c>
      <c r="AA29" s="1115">
        <f t="shared" si="4"/>
        <v>7.7777777777777777</v>
      </c>
      <c r="AB29" s="1110">
        <f t="shared" si="17"/>
        <v>0.64801707673295128</v>
      </c>
      <c r="AC29" s="1116" t="e">
        <f t="shared" si="5"/>
        <v>#DIV/0!</v>
      </c>
      <c r="AD29" s="1116" t="e">
        <f t="shared" si="6"/>
        <v>#DIV/0!</v>
      </c>
      <c r="AE29" s="820">
        <f t="shared" si="7"/>
        <v>0</v>
      </c>
      <c r="AF29" s="1017"/>
      <c r="AG29" s="1017"/>
      <c r="AH29" s="815"/>
      <c r="AI29" s="1162"/>
      <c r="AJ29" s="816">
        <f t="shared" si="14"/>
        <v>0</v>
      </c>
      <c r="AK29" s="816">
        <f t="shared" si="8"/>
        <v>0</v>
      </c>
      <c r="AL29" s="816">
        <f t="shared" si="9"/>
        <v>0</v>
      </c>
      <c r="AM29" s="808">
        <f t="shared" si="10"/>
        <v>0</v>
      </c>
      <c r="AN29" s="808">
        <f t="shared" si="10"/>
        <v>0</v>
      </c>
      <c r="AO29" s="808">
        <f t="shared" si="15"/>
        <v>0</v>
      </c>
      <c r="AP29" s="817" t="e">
        <f>+AO29-#REF!</f>
        <v>#REF!</v>
      </c>
      <c r="AQ29" s="818">
        <f t="shared" si="11"/>
        <v>35000</v>
      </c>
      <c r="AS29" s="808">
        <v>19.649999999999999</v>
      </c>
    </row>
    <row r="30" spans="2:47" s="808" customFormat="1" ht="39" customHeight="1" x14ac:dyDescent="0.85">
      <c r="B30" s="1072">
        <v>45405</v>
      </c>
      <c r="C30" s="1103" t="s">
        <v>205</v>
      </c>
      <c r="D30" s="1104">
        <v>34615</v>
      </c>
      <c r="E30" s="1105">
        <f t="shared" si="20"/>
        <v>674992.5</v>
      </c>
      <c r="F30" s="1118"/>
      <c r="G30" s="1107"/>
      <c r="H30" s="1108" t="s">
        <v>118</v>
      </c>
      <c r="I30" s="1106"/>
      <c r="J30" s="1109"/>
      <c r="K30" s="1108" t="s">
        <v>118</v>
      </c>
      <c r="L30" s="1009">
        <v>35000</v>
      </c>
      <c r="M30" s="1016">
        <f t="shared" si="0"/>
        <v>1.0111223458038423</v>
      </c>
      <c r="N30" s="1111">
        <f t="shared" si="12"/>
        <v>385</v>
      </c>
      <c r="O30" s="1112">
        <v>2884</v>
      </c>
      <c r="P30" s="1113">
        <f t="shared" si="18"/>
        <v>56238</v>
      </c>
      <c r="Q30" s="838"/>
      <c r="R30" s="838"/>
      <c r="S30" s="838">
        <v>4500</v>
      </c>
      <c r="T30" s="1110">
        <f t="shared" si="1"/>
        <v>1.5603328710124826</v>
      </c>
      <c r="U30" s="1114">
        <f t="shared" si="2"/>
        <v>1616</v>
      </c>
      <c r="V30" s="1076"/>
      <c r="W30" s="1014"/>
      <c r="X30" s="1014"/>
      <c r="Y30" s="1187">
        <f t="shared" si="13"/>
        <v>0</v>
      </c>
      <c r="Z30" s="1115">
        <f t="shared" si="3"/>
        <v>12.00242718446602</v>
      </c>
      <c r="AA30" s="1115">
        <f t="shared" si="4"/>
        <v>7.7777777777777777</v>
      </c>
      <c r="AB30" s="1110">
        <f t="shared" si="17"/>
        <v>0.64801707673295128</v>
      </c>
      <c r="AC30" s="1116" t="e">
        <f t="shared" si="5"/>
        <v>#DIV/0!</v>
      </c>
      <c r="AD30" s="1116" t="e">
        <f t="shared" si="6"/>
        <v>#DIV/0!</v>
      </c>
      <c r="AE30" s="820">
        <f t="shared" si="7"/>
        <v>0</v>
      </c>
      <c r="AF30" s="1017"/>
      <c r="AG30" s="1017"/>
      <c r="AH30" s="815"/>
      <c r="AI30" s="1162"/>
      <c r="AJ30" s="816">
        <f t="shared" si="14"/>
        <v>0</v>
      </c>
      <c r="AK30" s="816">
        <f t="shared" si="8"/>
        <v>0</v>
      </c>
      <c r="AL30" s="816">
        <f t="shared" si="9"/>
        <v>0</v>
      </c>
      <c r="AM30" s="808">
        <f t="shared" si="10"/>
        <v>0</v>
      </c>
      <c r="AN30" s="808">
        <f t="shared" si="10"/>
        <v>0</v>
      </c>
      <c r="AO30" s="808">
        <f t="shared" si="15"/>
        <v>0</v>
      </c>
      <c r="AP30" s="817" t="e">
        <f>+AO30-#REF!</f>
        <v>#REF!</v>
      </c>
      <c r="AQ30" s="818">
        <f t="shared" si="11"/>
        <v>35000</v>
      </c>
      <c r="AS30" s="808">
        <v>20.07</v>
      </c>
    </row>
    <row r="31" spans="2:47" s="808" customFormat="1" ht="39" customHeight="1" x14ac:dyDescent="0.85">
      <c r="B31" s="1072">
        <v>45406</v>
      </c>
      <c r="C31" s="1103" t="s">
        <v>205</v>
      </c>
      <c r="D31" s="1104">
        <v>34615</v>
      </c>
      <c r="E31" s="1105">
        <f t="shared" si="20"/>
        <v>709607.5</v>
      </c>
      <c r="F31" s="1118"/>
      <c r="G31" s="1107"/>
      <c r="H31" s="1108" t="s">
        <v>118</v>
      </c>
      <c r="I31" s="1106"/>
      <c r="J31" s="1109"/>
      <c r="K31" s="1108" t="s">
        <v>118</v>
      </c>
      <c r="L31" s="1009">
        <v>35000</v>
      </c>
      <c r="M31" s="1016">
        <f t="shared" si="0"/>
        <v>1.0111223458038423</v>
      </c>
      <c r="N31" s="1111">
        <f t="shared" si="12"/>
        <v>385</v>
      </c>
      <c r="O31" s="1112">
        <v>2884</v>
      </c>
      <c r="P31" s="1113">
        <f t="shared" si="18"/>
        <v>59122</v>
      </c>
      <c r="Q31" s="838"/>
      <c r="R31" s="838"/>
      <c r="S31" s="838">
        <v>4500</v>
      </c>
      <c r="T31" s="1110">
        <f t="shared" si="1"/>
        <v>1.5603328710124826</v>
      </c>
      <c r="U31" s="1114">
        <f t="shared" si="2"/>
        <v>1616</v>
      </c>
      <c r="V31" s="1076"/>
      <c r="W31" s="1014"/>
      <c r="X31" s="1014"/>
      <c r="Y31" s="1187">
        <f t="shared" si="13"/>
        <v>0</v>
      </c>
      <c r="Z31" s="1115">
        <f t="shared" si="3"/>
        <v>12.00242718446602</v>
      </c>
      <c r="AA31" s="1115">
        <f t="shared" si="4"/>
        <v>7.7777777777777777</v>
      </c>
      <c r="AB31" s="1110">
        <f>IFERROR(+AA31/Z31,"")</f>
        <v>0.64801707673295128</v>
      </c>
      <c r="AC31" s="1119" t="e">
        <f t="shared" si="5"/>
        <v>#DIV/0!</v>
      </c>
      <c r="AD31" s="1116" t="e">
        <f t="shared" si="6"/>
        <v>#DIV/0!</v>
      </c>
      <c r="AE31" s="820">
        <f t="shared" si="7"/>
        <v>0</v>
      </c>
      <c r="AF31" s="1017"/>
      <c r="AG31" s="1017"/>
      <c r="AH31" s="815"/>
      <c r="AI31" s="1162"/>
      <c r="AJ31" s="816">
        <f t="shared" si="14"/>
        <v>0</v>
      </c>
      <c r="AK31" s="816">
        <f t="shared" si="8"/>
        <v>0</v>
      </c>
      <c r="AL31" s="816">
        <f t="shared" si="9"/>
        <v>0</v>
      </c>
      <c r="AM31" s="808">
        <f t="shared" si="10"/>
        <v>0</v>
      </c>
      <c r="AN31" s="808">
        <f t="shared" si="10"/>
        <v>0</v>
      </c>
      <c r="AO31" s="808">
        <f t="shared" si="15"/>
        <v>0</v>
      </c>
      <c r="AP31" s="817" t="e">
        <f>+AO31-#REF!</f>
        <v>#REF!</v>
      </c>
      <c r="AQ31" s="818">
        <f t="shared" si="11"/>
        <v>35000</v>
      </c>
      <c r="AS31" s="808">
        <v>20.65</v>
      </c>
    </row>
    <row r="32" spans="2:47" s="808" customFormat="1" ht="39" customHeight="1" x14ac:dyDescent="0.85">
      <c r="B32" s="1072">
        <v>45407</v>
      </c>
      <c r="C32" s="1103" t="s">
        <v>205</v>
      </c>
      <c r="D32" s="1104">
        <v>34615</v>
      </c>
      <c r="E32" s="1105">
        <f t="shared" si="20"/>
        <v>744222.5</v>
      </c>
      <c r="F32" s="1118"/>
      <c r="G32" s="1107"/>
      <c r="H32" s="1108" t="s">
        <v>118</v>
      </c>
      <c r="I32" s="1106"/>
      <c r="J32" s="1109"/>
      <c r="K32" s="1108" t="s">
        <v>118</v>
      </c>
      <c r="L32" s="1009">
        <v>35000</v>
      </c>
      <c r="M32" s="1016">
        <f t="shared" si="0"/>
        <v>1.0111223458038423</v>
      </c>
      <c r="N32" s="1111">
        <f t="shared" si="12"/>
        <v>385</v>
      </c>
      <c r="O32" s="1112">
        <v>2884</v>
      </c>
      <c r="P32" s="1113">
        <f t="shared" si="18"/>
        <v>62006</v>
      </c>
      <c r="Q32" s="838"/>
      <c r="R32" s="838"/>
      <c r="S32" s="838">
        <v>4500</v>
      </c>
      <c r="T32" s="1110">
        <f t="shared" si="1"/>
        <v>1.5603328710124826</v>
      </c>
      <c r="U32" s="1114">
        <f t="shared" si="2"/>
        <v>1616</v>
      </c>
      <c r="V32" s="1076"/>
      <c r="W32" s="1014"/>
      <c r="X32" s="1014"/>
      <c r="Y32" s="1187">
        <f t="shared" si="13"/>
        <v>0</v>
      </c>
      <c r="Z32" s="1115">
        <f t="shared" si="3"/>
        <v>12.00242718446602</v>
      </c>
      <c r="AA32" s="1115">
        <f t="shared" si="4"/>
        <v>7.7777777777777777</v>
      </c>
      <c r="AB32" s="1110">
        <v>0</v>
      </c>
      <c r="AC32" s="1119" t="e">
        <f t="shared" si="5"/>
        <v>#DIV/0!</v>
      </c>
      <c r="AD32" s="1116" t="e">
        <f t="shared" si="6"/>
        <v>#DIV/0!</v>
      </c>
      <c r="AE32" s="820">
        <f t="shared" si="7"/>
        <v>0</v>
      </c>
      <c r="AF32" s="1017"/>
      <c r="AG32" s="1017"/>
      <c r="AH32" s="815"/>
      <c r="AI32" s="1162"/>
      <c r="AJ32" s="816">
        <v>0</v>
      </c>
      <c r="AK32" s="816">
        <v>0</v>
      </c>
      <c r="AL32" s="816">
        <v>0</v>
      </c>
      <c r="AM32" s="808">
        <v>0</v>
      </c>
      <c r="AN32" s="808">
        <v>0</v>
      </c>
      <c r="AO32" s="808">
        <v>0</v>
      </c>
      <c r="AP32" s="817"/>
      <c r="AQ32" s="818">
        <v>0</v>
      </c>
    </row>
    <row r="33" spans="1:45" s="808" customFormat="1" ht="39" customHeight="1" x14ac:dyDescent="0.85">
      <c r="B33" s="1072">
        <v>45408</v>
      </c>
      <c r="C33" s="1103" t="s">
        <v>205</v>
      </c>
      <c r="D33" s="1104">
        <v>34615</v>
      </c>
      <c r="E33" s="1105">
        <f t="shared" si="20"/>
        <v>778837.5</v>
      </c>
      <c r="F33" s="1106"/>
      <c r="G33" s="1107"/>
      <c r="H33" s="1108" t="s">
        <v>118</v>
      </c>
      <c r="I33" s="1106"/>
      <c r="J33" s="1109"/>
      <c r="K33" s="1108" t="s">
        <v>118</v>
      </c>
      <c r="L33" s="1009">
        <v>35000</v>
      </c>
      <c r="M33" s="1016">
        <f t="shared" si="0"/>
        <v>1.0111223458038423</v>
      </c>
      <c r="N33" s="1111">
        <f t="shared" si="12"/>
        <v>385</v>
      </c>
      <c r="O33" s="1112">
        <v>2884</v>
      </c>
      <c r="P33" s="1113">
        <f t="shared" si="18"/>
        <v>64890</v>
      </c>
      <c r="Q33" s="838"/>
      <c r="R33" s="838"/>
      <c r="S33" s="838">
        <v>4500</v>
      </c>
      <c r="T33" s="1110">
        <f t="shared" si="1"/>
        <v>1.5603328710124826</v>
      </c>
      <c r="U33" s="1114">
        <f t="shared" si="2"/>
        <v>1616</v>
      </c>
      <c r="V33" s="1190"/>
      <c r="W33" s="1014"/>
      <c r="X33" s="1014"/>
      <c r="Y33" s="1187">
        <f>+W33+X33</f>
        <v>0</v>
      </c>
      <c r="Z33" s="1115">
        <f t="shared" si="3"/>
        <v>12.00242718446602</v>
      </c>
      <c r="AA33" s="1115">
        <f t="shared" si="4"/>
        <v>7.7777777777777777</v>
      </c>
      <c r="AB33" s="1110">
        <v>0</v>
      </c>
      <c r="AC33" s="1116" t="e">
        <f t="shared" si="5"/>
        <v>#DIV/0!</v>
      </c>
      <c r="AD33" s="1116" t="e">
        <f t="shared" si="6"/>
        <v>#DIV/0!</v>
      </c>
      <c r="AE33" s="820">
        <f t="shared" si="7"/>
        <v>0</v>
      </c>
      <c r="AF33" s="1017"/>
      <c r="AG33" s="1017"/>
      <c r="AH33" s="815"/>
      <c r="AI33" s="1162"/>
      <c r="AJ33" s="816">
        <f t="shared" si="14"/>
        <v>0</v>
      </c>
      <c r="AK33" s="816">
        <f>+AM33+F33</f>
        <v>0</v>
      </c>
      <c r="AL33" s="816">
        <f t="shared" ref="AL33:AL38" si="22">+AN33+I33</f>
        <v>0</v>
      </c>
      <c r="AM33" s="808">
        <f t="shared" ref="AM33:AN38" si="23">+Q33/1.27</f>
        <v>0</v>
      </c>
      <c r="AN33" s="808">
        <f t="shared" si="23"/>
        <v>0</v>
      </c>
      <c r="AO33" s="808">
        <f t="shared" si="15"/>
        <v>0</v>
      </c>
      <c r="AP33" s="817" t="e">
        <f>+AO33-#REF!</f>
        <v>#REF!</v>
      </c>
      <c r="AQ33" s="818">
        <f t="shared" ref="AQ33:AQ39" si="24">+AO33+L33</f>
        <v>35000</v>
      </c>
      <c r="AS33" s="808">
        <v>21.9</v>
      </c>
    </row>
    <row r="34" spans="1:45" s="808" customFormat="1" ht="39" customHeight="1" x14ac:dyDescent="0.85">
      <c r="B34" s="1072">
        <v>45409</v>
      </c>
      <c r="C34" s="1103" t="s">
        <v>205</v>
      </c>
      <c r="D34" s="1104">
        <v>34615</v>
      </c>
      <c r="E34" s="1105">
        <f t="shared" si="20"/>
        <v>813452.5</v>
      </c>
      <c r="F34" s="1118"/>
      <c r="G34" s="1107"/>
      <c r="H34" s="1108" t="s">
        <v>118</v>
      </c>
      <c r="I34" s="1106"/>
      <c r="J34" s="1107"/>
      <c r="K34" s="1108" t="s">
        <v>118</v>
      </c>
      <c r="L34" s="1009">
        <v>35000</v>
      </c>
      <c r="M34" s="1016">
        <f t="shared" si="0"/>
        <v>1.0111223458038423</v>
      </c>
      <c r="N34" s="1111">
        <f t="shared" si="12"/>
        <v>385</v>
      </c>
      <c r="O34" s="1112">
        <v>2884</v>
      </c>
      <c r="P34" s="1113">
        <f t="shared" si="18"/>
        <v>67774</v>
      </c>
      <c r="Q34" s="838"/>
      <c r="R34" s="838"/>
      <c r="S34" s="838">
        <v>4500</v>
      </c>
      <c r="T34" s="1110">
        <f t="shared" si="1"/>
        <v>1.5603328710124826</v>
      </c>
      <c r="U34" s="1114">
        <f t="shared" si="2"/>
        <v>1616</v>
      </c>
      <c r="V34" s="1190"/>
      <c r="W34" s="1014"/>
      <c r="X34" s="1014"/>
      <c r="Y34" s="1187">
        <f t="shared" si="13"/>
        <v>0</v>
      </c>
      <c r="Z34" s="1115">
        <f t="shared" si="3"/>
        <v>12.00242718446602</v>
      </c>
      <c r="AA34" s="1115">
        <f t="shared" si="4"/>
        <v>7.7777777777777777</v>
      </c>
      <c r="AB34" s="1110">
        <f t="shared" si="17"/>
        <v>0.64801707673295128</v>
      </c>
      <c r="AC34" s="1116" t="e">
        <f t="shared" si="5"/>
        <v>#DIV/0!</v>
      </c>
      <c r="AD34" s="1116" t="e">
        <f t="shared" si="6"/>
        <v>#DIV/0!</v>
      </c>
      <c r="AE34" s="820">
        <f t="shared" si="7"/>
        <v>0</v>
      </c>
      <c r="AF34" s="1017"/>
      <c r="AG34" s="1017"/>
      <c r="AH34" s="815"/>
      <c r="AI34" s="1162"/>
      <c r="AJ34" s="816">
        <f t="shared" si="14"/>
        <v>0</v>
      </c>
      <c r="AK34" s="816">
        <f>+AM34+F34</f>
        <v>0</v>
      </c>
      <c r="AL34" s="816">
        <f t="shared" si="22"/>
        <v>0</v>
      </c>
      <c r="AM34" s="808">
        <f t="shared" si="23"/>
        <v>0</v>
      </c>
      <c r="AN34" s="808">
        <f t="shared" si="23"/>
        <v>0</v>
      </c>
      <c r="AO34" s="808">
        <f t="shared" si="15"/>
        <v>0</v>
      </c>
      <c r="AP34" s="817" t="e">
        <f>+AO34-#REF!</f>
        <v>#REF!</v>
      </c>
      <c r="AQ34" s="818">
        <f t="shared" si="24"/>
        <v>35000</v>
      </c>
      <c r="AS34" s="808">
        <v>20.98</v>
      </c>
    </row>
    <row r="35" spans="1:45" s="808" customFormat="1" ht="39" customHeight="1" x14ac:dyDescent="0.85">
      <c r="B35" s="1191">
        <v>45410</v>
      </c>
      <c r="C35" s="1103" t="s">
        <v>205</v>
      </c>
      <c r="D35" s="1104">
        <f>D34/2</f>
        <v>17307.5</v>
      </c>
      <c r="E35" s="1105">
        <f t="shared" si="20"/>
        <v>830760</v>
      </c>
      <c r="F35" s="1118"/>
      <c r="G35" s="1107"/>
      <c r="H35" s="1108" t="s">
        <v>118</v>
      </c>
      <c r="I35" s="1106"/>
      <c r="J35" s="1109"/>
      <c r="K35" s="1108" t="s">
        <v>118</v>
      </c>
      <c r="L35" s="1009">
        <f>35000/2</f>
        <v>17500</v>
      </c>
      <c r="M35" s="1016">
        <f t="shared" si="0"/>
        <v>1.0111223458038423</v>
      </c>
      <c r="N35" s="1111">
        <f t="shared" si="12"/>
        <v>192.5</v>
      </c>
      <c r="O35" s="1113">
        <f>O34/2</f>
        <v>1442</v>
      </c>
      <c r="P35" s="1113">
        <f t="shared" si="18"/>
        <v>69216</v>
      </c>
      <c r="Q35" s="838"/>
      <c r="R35" s="838"/>
      <c r="S35" s="838">
        <v>2000</v>
      </c>
      <c r="T35" s="1110">
        <f t="shared" si="1"/>
        <v>1.3869625520110958</v>
      </c>
      <c r="U35" s="1114">
        <f t="shared" si="2"/>
        <v>558</v>
      </c>
      <c r="V35" s="1190"/>
      <c r="W35" s="1014"/>
      <c r="X35" s="1014"/>
      <c r="Y35" s="1187">
        <f t="shared" si="13"/>
        <v>0</v>
      </c>
      <c r="Z35" s="1115">
        <f t="shared" si="3"/>
        <v>12.00242718446602</v>
      </c>
      <c r="AA35" s="1115">
        <f t="shared" si="4"/>
        <v>8.75</v>
      </c>
      <c r="AB35" s="1110">
        <f t="shared" si="17"/>
        <v>0.72901921132457026</v>
      </c>
      <c r="AC35" s="1116" t="e">
        <f t="shared" si="5"/>
        <v>#DIV/0!</v>
      </c>
      <c r="AD35" s="1116" t="e">
        <f t="shared" si="6"/>
        <v>#DIV/0!</v>
      </c>
      <c r="AE35" s="820">
        <f t="shared" si="7"/>
        <v>0</v>
      </c>
      <c r="AF35" s="1017"/>
      <c r="AG35" s="1017"/>
      <c r="AH35" s="815"/>
      <c r="AI35" s="1162"/>
      <c r="AJ35" s="816">
        <f t="shared" si="14"/>
        <v>0</v>
      </c>
      <c r="AK35" s="816">
        <f>+AM35+F35</f>
        <v>0</v>
      </c>
      <c r="AL35" s="816">
        <f t="shared" si="22"/>
        <v>0</v>
      </c>
      <c r="AM35" s="808">
        <f t="shared" si="23"/>
        <v>0</v>
      </c>
      <c r="AN35" s="808">
        <f t="shared" si="23"/>
        <v>0</v>
      </c>
      <c r="AO35" s="808">
        <f t="shared" si="15"/>
        <v>0</v>
      </c>
      <c r="AP35" s="817" t="e">
        <f>+AO35-#REF!</f>
        <v>#REF!</v>
      </c>
      <c r="AQ35" s="818">
        <f t="shared" si="24"/>
        <v>17500</v>
      </c>
      <c r="AS35" s="808">
        <v>21.08</v>
      </c>
    </row>
    <row r="36" spans="1:45" s="808" customFormat="1" ht="39" customHeight="1" x14ac:dyDescent="0.85">
      <c r="B36" s="1072">
        <v>45411</v>
      </c>
      <c r="C36" s="1103" t="s">
        <v>205</v>
      </c>
      <c r="D36" s="1104">
        <v>34615</v>
      </c>
      <c r="E36" s="1105">
        <f t="shared" si="20"/>
        <v>865375</v>
      </c>
      <c r="F36" s="1118"/>
      <c r="G36" s="1107"/>
      <c r="H36" s="1108" t="s">
        <v>118</v>
      </c>
      <c r="I36" s="1106"/>
      <c r="J36" s="1109"/>
      <c r="K36" s="1108" t="s">
        <v>118</v>
      </c>
      <c r="L36" s="1009">
        <v>35000</v>
      </c>
      <c r="M36" s="1016">
        <f t="shared" si="0"/>
        <v>1.0111223458038423</v>
      </c>
      <c r="N36" s="1111">
        <f t="shared" si="12"/>
        <v>385</v>
      </c>
      <c r="O36" s="1112">
        <v>2884</v>
      </c>
      <c r="P36" s="1113">
        <f t="shared" si="18"/>
        <v>72100</v>
      </c>
      <c r="Q36" s="838"/>
      <c r="R36" s="838"/>
      <c r="S36" s="838">
        <v>4500</v>
      </c>
      <c r="T36" s="1110">
        <f t="shared" si="1"/>
        <v>1.5603328710124826</v>
      </c>
      <c r="U36" s="1114">
        <f t="shared" si="2"/>
        <v>1616</v>
      </c>
      <c r="V36" s="1190"/>
      <c r="W36" s="1014"/>
      <c r="X36" s="1014"/>
      <c r="Y36" s="1187">
        <f t="shared" si="13"/>
        <v>0</v>
      </c>
      <c r="Z36" s="1115">
        <f t="shared" si="3"/>
        <v>12.00242718446602</v>
      </c>
      <c r="AA36" s="1115">
        <f t="shared" si="4"/>
        <v>7.7777777777777777</v>
      </c>
      <c r="AB36" s="1110">
        <f t="shared" si="17"/>
        <v>0.64801707673295128</v>
      </c>
      <c r="AC36" s="1116" t="e">
        <f t="shared" si="5"/>
        <v>#DIV/0!</v>
      </c>
      <c r="AD36" s="1116" t="e">
        <f t="shared" si="6"/>
        <v>#DIV/0!</v>
      </c>
      <c r="AE36" s="820">
        <f t="shared" si="7"/>
        <v>0</v>
      </c>
      <c r="AF36" s="1017"/>
      <c r="AG36" s="1017"/>
      <c r="AH36" s="815"/>
      <c r="AI36" s="1162"/>
      <c r="AJ36" s="816">
        <f t="shared" si="14"/>
        <v>0</v>
      </c>
      <c r="AK36" s="816">
        <f>+AM36+F36</f>
        <v>0</v>
      </c>
      <c r="AL36" s="816">
        <f t="shared" si="22"/>
        <v>0</v>
      </c>
      <c r="AM36" s="808">
        <f t="shared" si="23"/>
        <v>0</v>
      </c>
      <c r="AN36" s="808">
        <f t="shared" si="23"/>
        <v>0</v>
      </c>
      <c r="AO36" s="808">
        <f t="shared" si="15"/>
        <v>0</v>
      </c>
      <c r="AP36" s="817" t="e">
        <f>+AO36-#REF!</f>
        <v>#REF!</v>
      </c>
      <c r="AQ36" s="818">
        <f t="shared" si="24"/>
        <v>35000</v>
      </c>
    </row>
    <row r="37" spans="1:45" s="808" customFormat="1" ht="39" customHeight="1" thickBot="1" x14ac:dyDescent="0.9">
      <c r="B37" s="1072">
        <v>45412</v>
      </c>
      <c r="C37" s="1103" t="s">
        <v>205</v>
      </c>
      <c r="D37" s="1104">
        <v>34615</v>
      </c>
      <c r="E37" s="1105">
        <f t="shared" si="20"/>
        <v>899990</v>
      </c>
      <c r="F37" s="1118"/>
      <c r="G37" s="1107"/>
      <c r="H37" s="1108" t="s">
        <v>118</v>
      </c>
      <c r="I37" s="1106"/>
      <c r="J37" s="1109"/>
      <c r="K37" s="1108" t="s">
        <v>118</v>
      </c>
      <c r="L37" s="1009">
        <v>35000</v>
      </c>
      <c r="M37" s="1016">
        <f t="shared" si="0"/>
        <v>1.0111223458038423</v>
      </c>
      <c r="N37" s="1111">
        <f t="shared" si="12"/>
        <v>385</v>
      </c>
      <c r="O37" s="1112">
        <v>2884</v>
      </c>
      <c r="P37" s="1113">
        <f t="shared" si="18"/>
        <v>74984</v>
      </c>
      <c r="Q37" s="838"/>
      <c r="R37" s="838"/>
      <c r="S37" s="838">
        <v>4500</v>
      </c>
      <c r="T37" s="1110">
        <f t="shared" si="1"/>
        <v>1.5603328710124826</v>
      </c>
      <c r="U37" s="1114">
        <f t="shared" si="2"/>
        <v>1616</v>
      </c>
      <c r="V37" s="1190"/>
      <c r="W37" s="1014"/>
      <c r="X37" s="1014"/>
      <c r="Y37" s="1187">
        <f t="shared" si="13"/>
        <v>0</v>
      </c>
      <c r="Z37" s="1115">
        <f t="shared" si="3"/>
        <v>12.00242718446602</v>
      </c>
      <c r="AA37" s="1115">
        <f t="shared" si="4"/>
        <v>7.7777777777777777</v>
      </c>
      <c r="AB37" s="1110">
        <f t="shared" si="17"/>
        <v>0.64801707673295128</v>
      </c>
      <c r="AC37" s="1116" t="e">
        <f t="shared" si="5"/>
        <v>#DIV/0!</v>
      </c>
      <c r="AD37" s="1116" t="e">
        <f t="shared" si="6"/>
        <v>#DIV/0!</v>
      </c>
      <c r="AE37" s="820">
        <f t="shared" si="7"/>
        <v>0</v>
      </c>
      <c r="AF37" s="1017"/>
      <c r="AG37" s="1017"/>
      <c r="AH37" s="1020"/>
      <c r="AI37" s="1162"/>
      <c r="AJ37" s="816">
        <f t="shared" si="14"/>
        <v>0</v>
      </c>
      <c r="AK37" s="816">
        <f>+AM37+F37</f>
        <v>0</v>
      </c>
      <c r="AL37" s="816">
        <f t="shared" si="22"/>
        <v>0</v>
      </c>
      <c r="AM37" s="808">
        <f t="shared" si="23"/>
        <v>0</v>
      </c>
      <c r="AN37" s="808">
        <f t="shared" si="23"/>
        <v>0</v>
      </c>
      <c r="AO37" s="808">
        <f t="shared" si="15"/>
        <v>0</v>
      </c>
      <c r="AP37" s="817"/>
      <c r="AQ37" s="818">
        <f t="shared" si="24"/>
        <v>35000</v>
      </c>
    </row>
    <row r="38" spans="1:45" s="808" customFormat="1" ht="39" hidden="1" customHeight="1" thickBot="1" x14ac:dyDescent="0.9">
      <c r="B38" s="850"/>
      <c r="C38" s="1021"/>
      <c r="D38" s="1006"/>
      <c r="E38" s="1006"/>
      <c r="F38" s="1022"/>
      <c r="G38" s="1023"/>
      <c r="H38" s="1024" t="s">
        <v>118</v>
      </c>
      <c r="I38" s="1025"/>
      <c r="J38" s="1026"/>
      <c r="K38" s="1024" t="s">
        <v>118</v>
      </c>
      <c r="L38" s="1023">
        <f>+F38+I38</f>
        <v>0</v>
      </c>
      <c r="M38" s="1027" t="str">
        <f t="shared" si="0"/>
        <v/>
      </c>
      <c r="N38" s="1028">
        <f t="shared" si="12"/>
        <v>0</v>
      </c>
      <c r="O38" s="1018"/>
      <c r="P38" s="876"/>
      <c r="Q38" s="1029"/>
      <c r="R38" s="1029"/>
      <c r="S38" s="1029">
        <f>+R38+Q38</f>
        <v>0</v>
      </c>
      <c r="T38" s="1170" t="str">
        <f t="shared" si="1"/>
        <v/>
      </c>
      <c r="U38" s="1030">
        <f t="shared" si="2"/>
        <v>0</v>
      </c>
      <c r="V38" s="1031"/>
      <c r="W38" s="1032"/>
      <c r="X38" s="1032"/>
      <c r="Y38" s="1033">
        <f t="shared" si="13"/>
        <v>0</v>
      </c>
      <c r="Z38" s="1034">
        <f t="shared" si="3"/>
        <v>0</v>
      </c>
      <c r="AA38" s="1034">
        <f t="shared" si="4"/>
        <v>0</v>
      </c>
      <c r="AB38" s="1027" t="str">
        <f t="shared" si="17"/>
        <v/>
      </c>
      <c r="AC38" s="1035" t="e">
        <f t="shared" si="5"/>
        <v>#DIV/0!</v>
      </c>
      <c r="AD38" s="1035" t="e">
        <f t="shared" si="6"/>
        <v>#DIV/0!</v>
      </c>
      <c r="AE38" s="1035" t="e">
        <f t="shared" si="7"/>
        <v>#DIV/0!</v>
      </c>
      <c r="AF38" s="1036"/>
      <c r="AG38" s="1036"/>
      <c r="AH38" s="1020"/>
      <c r="AI38" s="1162"/>
      <c r="AJ38" s="816"/>
      <c r="AK38" s="816"/>
      <c r="AL38" s="816">
        <f t="shared" si="22"/>
        <v>0</v>
      </c>
      <c r="AM38" s="808">
        <f t="shared" si="23"/>
        <v>0</v>
      </c>
      <c r="AN38" s="808">
        <f t="shared" si="23"/>
        <v>0</v>
      </c>
      <c r="AO38" s="808">
        <f t="shared" si="15"/>
        <v>0</v>
      </c>
      <c r="AP38" s="817"/>
      <c r="AQ38" s="818">
        <f t="shared" si="24"/>
        <v>0</v>
      </c>
    </row>
    <row r="39" spans="1:45" s="808" customFormat="1" ht="39" customHeight="1" thickBot="1" x14ac:dyDescent="0.6">
      <c r="B39" s="821"/>
      <c r="C39" s="821"/>
      <c r="D39" s="833">
        <f>SUM(D8:D37)</f>
        <v>899990</v>
      </c>
      <c r="E39" s="932"/>
      <c r="F39" s="822">
        <f>SUM(F8:F37)</f>
        <v>216226</v>
      </c>
      <c r="G39" s="823">
        <f>AVERAGE(G8:G38)</f>
        <v>3.7777777777777777</v>
      </c>
      <c r="H39" s="822" t="s">
        <v>112</v>
      </c>
      <c r="I39" s="822">
        <f>SUM(I8:I37)</f>
        <v>244168</v>
      </c>
      <c r="J39" s="823">
        <f>AVERAGE(J8:J38)</f>
        <v>4.4444444444444446</v>
      </c>
      <c r="K39" s="824" t="s">
        <v>112</v>
      </c>
      <c r="L39" s="1192">
        <f>SUM(L8:L38)</f>
        <v>845394</v>
      </c>
      <c r="M39" s="825">
        <f t="shared" si="0"/>
        <v>0.9393371037455972</v>
      </c>
      <c r="N39" s="826">
        <f>SUM(N8:N12)</f>
        <v>-18771</v>
      </c>
      <c r="O39" s="933">
        <f>SUM(O8:O38)</f>
        <v>74984</v>
      </c>
      <c r="P39" s="933"/>
      <c r="Q39" s="934">
        <f>SUM(Q8:Q38)</f>
        <v>8689.64</v>
      </c>
      <c r="R39" s="934">
        <f>SUM(R8:R38)</f>
        <v>7627.3600000000006</v>
      </c>
      <c r="S39" s="1193">
        <f>SUM(S8:S38)</f>
        <v>65317</v>
      </c>
      <c r="T39" s="935">
        <f>IFERROR(+S39/O39,"")</f>
        <v>0.87107916355489168</v>
      </c>
      <c r="U39" s="936">
        <f>SUM(U8:U12)</f>
        <v>-10883.559999999998</v>
      </c>
      <c r="V39" s="827"/>
      <c r="W39" s="822">
        <f>SUM(W8:W38)</f>
        <v>211842</v>
      </c>
      <c r="X39" s="822">
        <f>SUM(X8:X38)</f>
        <v>210009.5</v>
      </c>
      <c r="Y39" s="828">
        <f>SUM(Y8:Y38)</f>
        <v>421851.5</v>
      </c>
      <c r="Z39" s="829">
        <f t="shared" si="3"/>
        <v>12.00242718446602</v>
      </c>
      <c r="AA39" s="1194">
        <f t="shared" si="4"/>
        <v>12.942939816586799</v>
      </c>
      <c r="AB39" s="830">
        <f>IFERROR(+AA39/Z39,"")</f>
        <v>1.0783602031210842</v>
      </c>
      <c r="AC39" s="849">
        <f t="shared" si="5"/>
        <v>0.94967353303777036</v>
      </c>
      <c r="AD39" s="849">
        <f t="shared" si="6"/>
        <v>0.83945442714595386</v>
      </c>
      <c r="AE39" s="831">
        <f t="shared" si="7"/>
        <v>0.47038344943645355</v>
      </c>
      <c r="AF39" s="832">
        <f>SUM(AF8:AF36)</f>
        <v>0.39444444444444443</v>
      </c>
      <c r="AG39" s="832">
        <f>SUM(AG8:AG36)</f>
        <v>0.46666666666666667</v>
      </c>
      <c r="AH39" s="833">
        <f>SUM(AH8:AH36)</f>
        <v>10288</v>
      </c>
      <c r="AI39" s="1162"/>
      <c r="AJ39" s="834">
        <f>SUM(AJ8:AJ37)</f>
        <v>473242.03149606299</v>
      </c>
      <c r="AK39" s="834">
        <f>SUM(AK8:AK37)</f>
        <v>223068.23622047246</v>
      </c>
      <c r="AL39" s="834">
        <f>SUM(AL8:AL38)</f>
        <v>250173.79527559056</v>
      </c>
      <c r="AM39" s="808">
        <f>+Q39/1.27</f>
        <v>6842.2362204724404</v>
      </c>
      <c r="AN39" s="808">
        <f>+R39/1.27</f>
        <v>6005.7952755905517</v>
      </c>
      <c r="AO39" s="808">
        <f>+AN39+AM39</f>
        <v>12848.031496062991</v>
      </c>
      <c r="AP39" s="817" t="e">
        <f>+AO39-#REF!</f>
        <v>#REF!</v>
      </c>
      <c r="AQ39" s="818">
        <f t="shared" si="24"/>
        <v>858242.03149606299</v>
      </c>
      <c r="AS39" s="808">
        <v>19.71</v>
      </c>
    </row>
    <row r="40" spans="1:45" s="804" customFormat="1" ht="39" customHeight="1" x14ac:dyDescent="0.55000000000000004">
      <c r="B40" s="967"/>
      <c r="C40" s="967"/>
      <c r="D40" s="835"/>
      <c r="E40" s="835"/>
      <c r="F40" s="1157"/>
      <c r="G40" s="968"/>
      <c r="H40" s="1157"/>
      <c r="I40" s="1157"/>
      <c r="J40" s="968"/>
      <c r="K40" s="969"/>
      <c r="L40" s="1756"/>
      <c r="M40" s="1756"/>
      <c r="N40" s="915"/>
      <c r="O40" s="1157"/>
      <c r="P40" s="1157"/>
      <c r="Q40" s="1160"/>
      <c r="R40" s="1160"/>
      <c r="S40" s="1160"/>
      <c r="T40" s="970"/>
      <c r="U40" s="910"/>
      <c r="V40" s="910"/>
      <c r="W40" s="910"/>
      <c r="X40" s="910"/>
      <c r="Y40" s="865" t="b">
        <f>+Y39/(L39+(S39/1.27))=AE39</f>
        <v>1</v>
      </c>
      <c r="Z40" s="807"/>
      <c r="AA40" s="807"/>
      <c r="AB40" s="819"/>
      <c r="AC40" s="807"/>
      <c r="AD40" s="807"/>
      <c r="AE40" s="807"/>
      <c r="AF40" s="971"/>
      <c r="AG40" s="971"/>
      <c r="AH40" s="1157"/>
      <c r="AI40" s="1157"/>
      <c r="AJ40" s="807"/>
      <c r="AK40" s="807"/>
      <c r="AL40" s="807"/>
      <c r="AS40" s="804">
        <v>19.7</v>
      </c>
    </row>
    <row r="41" spans="1:45" s="1178" customFormat="1" ht="39" customHeight="1" thickBot="1" x14ac:dyDescent="0.9">
      <c r="D41" s="835" t="s">
        <v>139</v>
      </c>
      <c r="E41" s="835"/>
      <c r="G41" s="972"/>
      <c r="I41" s="947"/>
      <c r="J41" s="972"/>
      <c r="K41" s="947"/>
      <c r="L41" s="942"/>
      <c r="M41" s="951"/>
      <c r="O41" s="1177"/>
      <c r="P41" s="1177"/>
      <c r="Q41" s="1182"/>
      <c r="R41" s="1182"/>
      <c r="S41" s="1182"/>
      <c r="T41" s="951"/>
      <c r="U41" s="953"/>
      <c r="V41" s="953"/>
      <c r="W41" s="973"/>
      <c r="X41" s="973"/>
      <c r="Y41" s="974">
        <f>'[7]fuel 50 gar'!$BP$399</f>
        <v>585220.40714285709</v>
      </c>
      <c r="AE41" s="947"/>
      <c r="AH41" s="942"/>
      <c r="AI41" s="942"/>
      <c r="AS41" s="1178">
        <v>20.07</v>
      </c>
    </row>
    <row r="42" spans="1:45" ht="39" customHeight="1" x14ac:dyDescent="0.85">
      <c r="D42" s="975" t="s">
        <v>27</v>
      </c>
      <c r="E42" s="976"/>
      <c r="F42" s="1703">
        <f>L39</f>
        <v>845394</v>
      </c>
      <c r="G42" s="1704"/>
      <c r="H42" s="1705"/>
      <c r="I42" s="1706" t="s">
        <v>24</v>
      </c>
      <c r="J42" s="1707"/>
      <c r="K42" s="1707"/>
      <c r="L42" s="1708"/>
      <c r="M42" s="1733">
        <f>F39</f>
        <v>216226</v>
      </c>
      <c r="N42" s="1734"/>
      <c r="O42" s="977" t="s">
        <v>7</v>
      </c>
      <c r="P42" s="978"/>
      <c r="Q42" s="937">
        <f>+AF39</f>
        <v>0.39444444444444443</v>
      </c>
      <c r="R42" s="877" t="s">
        <v>31</v>
      </c>
      <c r="S42" s="979" t="s">
        <v>32</v>
      </c>
      <c r="T42" s="953"/>
      <c r="U42" s="951"/>
      <c r="V42" s="951"/>
      <c r="W42" s="951"/>
      <c r="X42" s="951"/>
      <c r="Y42" s="980" t="s">
        <v>103</v>
      </c>
      <c r="Z42" s="1177"/>
      <c r="AC42" s="955"/>
      <c r="AD42" s="955"/>
      <c r="AE42" s="951"/>
      <c r="AH42" s="951"/>
      <c r="AI42" s="951"/>
      <c r="AS42" s="951">
        <v>20.170000000000002</v>
      </c>
    </row>
    <row r="43" spans="1:45" ht="39" customHeight="1" x14ac:dyDescent="0.85">
      <c r="D43" s="981" t="s">
        <v>28</v>
      </c>
      <c r="E43" s="982"/>
      <c r="F43" s="1592">
        <f>S39</f>
        <v>65317</v>
      </c>
      <c r="G43" s="1656"/>
      <c r="H43" s="1593"/>
      <c r="I43" s="1603" t="s">
        <v>25</v>
      </c>
      <c r="J43" s="1604"/>
      <c r="K43" s="1604"/>
      <c r="L43" s="1605"/>
      <c r="M43" s="1713">
        <f>I39</f>
        <v>244168</v>
      </c>
      <c r="N43" s="1714"/>
      <c r="O43" s="876" t="s">
        <v>8</v>
      </c>
      <c r="P43" s="1176"/>
      <c r="Q43" s="938">
        <f>+AG39</f>
        <v>0.46666666666666667</v>
      </c>
      <c r="R43" s="1167" t="s">
        <v>48</v>
      </c>
      <c r="S43" s="1167">
        <f>SUM(D8:D38)</f>
        <v>899990</v>
      </c>
      <c r="T43" s="879">
        <f>IFERROR(+F42/S43,0)</f>
        <v>0.9393371037455972</v>
      </c>
      <c r="U43" s="880"/>
      <c r="V43" s="880"/>
      <c r="W43" s="880"/>
      <c r="X43" s="880"/>
      <c r="Y43" s="881" t="s">
        <v>104</v>
      </c>
      <c r="Z43" s="1592" t="s">
        <v>14</v>
      </c>
      <c r="AA43" s="1593"/>
      <c r="AB43" s="1592" t="s">
        <v>17</v>
      </c>
      <c r="AC43" s="1656"/>
      <c r="AD43" s="1656"/>
      <c r="AE43" s="1593"/>
      <c r="AF43" s="843" t="s">
        <v>105</v>
      </c>
      <c r="AG43" s="843" t="s">
        <v>106</v>
      </c>
      <c r="AH43" s="951"/>
      <c r="AI43" s="951"/>
      <c r="AJ43" s="1185" t="s">
        <v>109</v>
      </c>
      <c r="AK43" s="1185" t="s">
        <v>110</v>
      </c>
      <c r="AS43" s="951">
        <v>19.059999999999999</v>
      </c>
    </row>
    <row r="44" spans="1:45" ht="39" customHeight="1" x14ac:dyDescent="0.85">
      <c r="A44" s="951" t="s">
        <v>140</v>
      </c>
      <c r="D44" s="981" t="s">
        <v>46</v>
      </c>
      <c r="E44" s="982"/>
      <c r="F44" s="1592">
        <f>+AE25</f>
        <v>0.86908064302372268</v>
      </c>
      <c r="G44" s="1656"/>
      <c r="H44" s="1593"/>
      <c r="I44" s="1603" t="s">
        <v>26</v>
      </c>
      <c r="J44" s="1604"/>
      <c r="K44" s="1604"/>
      <c r="L44" s="1605"/>
      <c r="M44" s="1713">
        <f>+Q39</f>
        <v>8689.64</v>
      </c>
      <c r="N44" s="1714"/>
      <c r="O44" s="876"/>
      <c r="P44" s="926"/>
      <c r="Q44" s="939"/>
      <c r="R44" s="1165" t="s">
        <v>49</v>
      </c>
      <c r="S44" s="1167">
        <f>SUM(O8:O38)</f>
        <v>74984</v>
      </c>
      <c r="T44" s="879">
        <f>IFERROR(+F43/S44,0)</f>
        <v>0.87107916355489168</v>
      </c>
      <c r="U44" s="955"/>
      <c r="V44" s="955"/>
      <c r="W44" s="955"/>
      <c r="X44" s="955"/>
      <c r="Y44" s="983" t="s">
        <v>107</v>
      </c>
      <c r="Z44" s="1735">
        <f>SUM(D8:D38)</f>
        <v>899990</v>
      </c>
      <c r="AA44" s="1736"/>
      <c r="AB44" s="1737">
        <f>+F42</f>
        <v>845394</v>
      </c>
      <c r="AC44" s="1738"/>
      <c r="AD44" s="1738"/>
      <c r="AE44" s="1739"/>
      <c r="AF44" s="836">
        <f>+IFERROR(AB44/Z44,0)</f>
        <v>0.9393371037455972</v>
      </c>
      <c r="AG44" s="843">
        <f>+IFERROR(AB44-Z44,0)</f>
        <v>-54596</v>
      </c>
      <c r="AH44" s="951"/>
      <c r="AI44" s="951"/>
      <c r="AJ44" s="950">
        <v>27.5</v>
      </c>
      <c r="AK44" s="882">
        <f>AJ44-11</f>
        <v>16.5</v>
      </c>
      <c r="AS44" s="951">
        <v>19.28</v>
      </c>
    </row>
    <row r="45" spans="1:45" ht="39" customHeight="1" x14ac:dyDescent="0.85">
      <c r="D45" s="981" t="s">
        <v>47</v>
      </c>
      <c r="E45" s="982"/>
      <c r="F45" s="1592">
        <f>AE39</f>
        <v>0.47038344943645355</v>
      </c>
      <c r="G45" s="1656"/>
      <c r="H45" s="1593"/>
      <c r="I45" s="1603" t="s">
        <v>23</v>
      </c>
      <c r="J45" s="1604"/>
      <c r="K45" s="1604"/>
      <c r="L45" s="1605"/>
      <c r="M45" s="1713">
        <f>+R39</f>
        <v>7627.3600000000006</v>
      </c>
      <c r="N45" s="1714"/>
      <c r="O45" s="876"/>
      <c r="P45" s="926"/>
      <c r="Q45" s="939"/>
      <c r="R45" s="1165" t="s">
        <v>5</v>
      </c>
      <c r="S45" s="1167">
        <v>12</v>
      </c>
      <c r="T45" s="879">
        <f>IFERROR(+F47/S45,0)</f>
        <v>1.0785783180488999</v>
      </c>
      <c r="U45" s="955"/>
      <c r="V45" s="955"/>
      <c r="W45" s="955"/>
      <c r="X45" s="955"/>
      <c r="Y45" s="983" t="s">
        <v>108</v>
      </c>
      <c r="Z45" s="1735">
        <f>SUM(O8:O38)</f>
        <v>74984</v>
      </c>
      <c r="AA45" s="1736"/>
      <c r="AB45" s="1737">
        <f>+F43</f>
        <v>65317</v>
      </c>
      <c r="AC45" s="1738"/>
      <c r="AD45" s="1738"/>
      <c r="AE45" s="1739"/>
      <c r="AF45" s="836">
        <f>+IFERROR(AB45/Z45,0)</f>
        <v>0.87107916355489168</v>
      </c>
      <c r="AG45" s="843">
        <f>+IFERROR(AB45-Z45,0)</f>
        <v>-9667</v>
      </c>
      <c r="AH45" s="951"/>
      <c r="AI45" s="951"/>
      <c r="AJ45" s="863" t="s">
        <v>111</v>
      </c>
      <c r="AK45" s="804"/>
      <c r="AS45" s="951">
        <v>20.190000000000001</v>
      </c>
    </row>
    <row r="46" spans="1:45" ht="39" customHeight="1" x14ac:dyDescent="0.85">
      <c r="D46" s="981" t="s">
        <v>30</v>
      </c>
      <c r="E46" s="982"/>
      <c r="F46" s="1592">
        <f>+AA25</f>
        <v>16.63559092062992</v>
      </c>
      <c r="G46" s="1656"/>
      <c r="H46" s="1593"/>
      <c r="I46" s="984"/>
      <c r="J46" s="985"/>
      <c r="K46" s="986"/>
      <c r="L46" s="945"/>
      <c r="M46" s="1713"/>
      <c r="N46" s="1714"/>
      <c r="O46" s="1003"/>
      <c r="P46" s="987"/>
      <c r="Q46" s="940"/>
      <c r="R46" s="1165" t="s">
        <v>6</v>
      </c>
      <c r="S46" s="1165">
        <v>0.8</v>
      </c>
      <c r="T46" s="879">
        <f>IFERROR(+F45/S46,0)</f>
        <v>0.58797931179556695</v>
      </c>
      <c r="U46" s="951"/>
      <c r="V46" s="951"/>
      <c r="W46" s="951"/>
      <c r="X46" s="951"/>
      <c r="Y46" s="983" t="s">
        <v>5</v>
      </c>
      <c r="Z46" s="1735">
        <f>+IFERROR(Z44/Z45,0)</f>
        <v>12.00242718446602</v>
      </c>
      <c r="AA46" s="1736"/>
      <c r="AB46" s="1740">
        <f>+IFERROR(AB44/AB45,0)</f>
        <v>12.942939816586799</v>
      </c>
      <c r="AC46" s="1741"/>
      <c r="AD46" s="1741"/>
      <c r="AE46" s="1742"/>
      <c r="AF46" s="836"/>
      <c r="AG46" s="843">
        <f>+IFERROR(AB46-Z46,0)</f>
        <v>0.94051263212077885</v>
      </c>
      <c r="AH46" s="951"/>
      <c r="AI46" s="951"/>
      <c r="AJ46" s="950" t="s">
        <v>107</v>
      </c>
      <c r="AK46" s="1168">
        <f>IFERROR((D39-AB44)/AK44,"")</f>
        <v>3308.848484848485</v>
      </c>
      <c r="AS46" s="951">
        <v>20.61</v>
      </c>
    </row>
    <row r="47" spans="1:45" ht="39" customHeight="1" thickBot="1" x14ac:dyDescent="0.9">
      <c r="D47" s="988" t="s">
        <v>29</v>
      </c>
      <c r="E47" s="989"/>
      <c r="F47" s="1743">
        <f>+AA39</f>
        <v>12.942939816586799</v>
      </c>
      <c r="G47" s="1744"/>
      <c r="H47" s="1745"/>
      <c r="I47" s="990"/>
      <c r="J47" s="991"/>
      <c r="K47" s="992"/>
      <c r="L47" s="946"/>
      <c r="M47" s="1723"/>
      <c r="N47" s="1724"/>
      <c r="O47" s="1004"/>
      <c r="P47" s="993"/>
      <c r="Q47" s="941"/>
      <c r="U47" s="951"/>
      <c r="V47" s="951"/>
      <c r="W47" s="951"/>
      <c r="X47" s="951"/>
      <c r="Y47" s="1166" t="s">
        <v>6</v>
      </c>
      <c r="Z47" s="1746">
        <v>0.8</v>
      </c>
      <c r="AA47" s="1747"/>
      <c r="AB47" s="1179"/>
      <c r="AC47" s="1748">
        <f>F45</f>
        <v>0.47038344943645355</v>
      </c>
      <c r="AD47" s="1748"/>
      <c r="AE47" s="1748"/>
      <c r="AF47" s="994"/>
      <c r="AG47" s="843">
        <f>+IFERROR(AC47-Z47,0)</f>
        <v>-0.3296165505635465</v>
      </c>
      <c r="AH47" s="951"/>
      <c r="AI47" s="951"/>
      <c r="AJ47" s="950" t="s">
        <v>108</v>
      </c>
      <c r="AK47" s="1168">
        <f>IFERROR((O39-AB45)/AK44,"")</f>
        <v>585.87878787878788</v>
      </c>
      <c r="AS47" s="951">
        <v>18.77</v>
      </c>
    </row>
    <row r="48" spans="1:45" x14ac:dyDescent="0.85">
      <c r="H48" s="955"/>
      <c r="M48" s="1182"/>
      <c r="N48" s="1182"/>
      <c r="Q48" s="951"/>
      <c r="AS48" s="951">
        <v>21.13</v>
      </c>
    </row>
    <row r="49" spans="4:45" s="1177" customFormat="1" x14ac:dyDescent="0.85">
      <c r="D49" s="951"/>
      <c r="E49" s="951"/>
      <c r="F49" s="1182"/>
      <c r="G49" s="952"/>
      <c r="H49" s="951"/>
      <c r="I49" s="951"/>
      <c r="J49" s="952"/>
      <c r="K49" s="1182"/>
      <c r="L49" s="947"/>
      <c r="M49" s="951"/>
      <c r="N49" s="951"/>
      <c r="Q49" s="995"/>
      <c r="R49" s="1182"/>
      <c r="S49" s="1182"/>
      <c r="T49" s="951"/>
      <c r="U49" s="953"/>
      <c r="V49" s="953"/>
      <c r="W49" s="953"/>
      <c r="X49" s="953"/>
      <c r="Y49" s="1178"/>
      <c r="Z49" s="951"/>
      <c r="AA49" s="951"/>
      <c r="AB49" s="951"/>
      <c r="AC49" s="951"/>
      <c r="AD49" s="951"/>
      <c r="AE49" s="1182"/>
      <c r="AF49" s="951"/>
      <c r="AG49" s="951"/>
      <c r="AS49" s="1177">
        <v>17.260000000000002</v>
      </c>
    </row>
    <row r="50" spans="4:45" s="1177" customFormat="1" x14ac:dyDescent="0.85">
      <c r="D50" s="1177" t="s">
        <v>194</v>
      </c>
      <c r="F50" s="951"/>
      <c r="G50" s="952"/>
      <c r="H50" s="948"/>
      <c r="I50" s="948"/>
      <c r="J50" s="948"/>
      <c r="K50" s="948"/>
      <c r="L50" s="948"/>
      <c r="M50" s="1044"/>
      <c r="N50" s="996" t="s">
        <v>197</v>
      </c>
      <c r="P50" s="997"/>
      <c r="Q50" s="1749" t="s">
        <v>195</v>
      </c>
      <c r="R50" s="1749"/>
      <c r="S50" s="1182"/>
      <c r="T50" s="951"/>
      <c r="U50" s="953"/>
      <c r="V50" s="953"/>
      <c r="W50" s="953"/>
      <c r="X50" s="953"/>
      <c r="Y50" s="1178"/>
      <c r="Z50" s="951"/>
      <c r="AA50" s="951"/>
      <c r="AB50" s="951"/>
      <c r="AC50" s="951"/>
      <c r="AD50" s="951"/>
      <c r="AE50" s="1182"/>
      <c r="AF50" s="951"/>
      <c r="AG50" s="951"/>
      <c r="AS50" s="1177">
        <v>19.329999999999998</v>
      </c>
    </row>
    <row r="51" spans="4:45" s="1177" customFormat="1" x14ac:dyDescent="0.85">
      <c r="F51" s="998"/>
      <c r="H51" s="951"/>
      <c r="I51" s="998"/>
      <c r="J51" s="951"/>
      <c r="K51" s="951"/>
      <c r="L51" s="947"/>
      <c r="M51" s="951"/>
      <c r="N51" s="947"/>
      <c r="O51" s="952"/>
      <c r="P51" s="952"/>
      <c r="Q51" s="952"/>
      <c r="R51" s="1182"/>
      <c r="S51" s="1182"/>
      <c r="T51" s="951"/>
      <c r="U51" s="953"/>
      <c r="V51" s="953"/>
      <c r="W51" s="953"/>
      <c r="X51" s="953"/>
      <c r="Y51" s="901" t="s">
        <v>222</v>
      </c>
      <c r="Z51" s="1157"/>
      <c r="AA51" s="804"/>
      <c r="AB51" s="804"/>
      <c r="AC51" s="902"/>
      <c r="AD51" s="902"/>
      <c r="AE51" s="804"/>
      <c r="AF51" s="804"/>
      <c r="AG51" s="804"/>
    </row>
    <row r="52" spans="4:45" s="1177" customFormat="1" x14ac:dyDescent="0.85">
      <c r="F52" s="998"/>
      <c r="G52" s="1005"/>
      <c r="H52" s="951"/>
      <c r="I52" s="998"/>
      <c r="J52" s="951"/>
      <c r="K52" s="951"/>
      <c r="L52" s="947"/>
      <c r="M52" s="951"/>
      <c r="N52" s="947"/>
      <c r="O52" s="952"/>
      <c r="P52" s="952"/>
      <c r="Q52" s="952"/>
      <c r="R52" s="1182"/>
      <c r="S52" s="1182"/>
      <c r="T52" s="951"/>
      <c r="U52" s="953"/>
      <c r="V52" s="953"/>
      <c r="W52" s="953"/>
      <c r="X52" s="953"/>
      <c r="Y52" s="881" t="s">
        <v>104</v>
      </c>
      <c r="Z52" s="1592" t="s">
        <v>14</v>
      </c>
      <c r="AA52" s="1593"/>
      <c r="AB52" s="1592" t="s">
        <v>17</v>
      </c>
      <c r="AC52" s="1656"/>
      <c r="AD52" s="1656"/>
      <c r="AE52" s="1593"/>
      <c r="AF52" s="1168" t="s">
        <v>105</v>
      </c>
      <c r="AG52" s="1168" t="s">
        <v>106</v>
      </c>
    </row>
    <row r="53" spans="4:45" s="1177" customFormat="1" x14ac:dyDescent="0.85">
      <c r="F53" s="998"/>
      <c r="G53" s="952"/>
      <c r="H53" s="951"/>
      <c r="I53" s="998"/>
      <c r="J53" s="951"/>
      <c r="K53" s="951"/>
      <c r="L53" s="947"/>
      <c r="M53" s="951"/>
      <c r="N53" s="947"/>
      <c r="O53" s="952"/>
      <c r="P53" s="952"/>
      <c r="Q53" s="952"/>
      <c r="R53" s="1182"/>
      <c r="S53" s="1182"/>
      <c r="T53" s="951"/>
      <c r="U53" s="953"/>
      <c r="V53" s="999"/>
      <c r="W53" s="953"/>
      <c r="X53" s="953"/>
      <c r="Y53" s="881" t="s">
        <v>107</v>
      </c>
      <c r="Z53" s="1594">
        <f>SUM(D8:D25)</f>
        <v>519225</v>
      </c>
      <c r="AA53" s="1595"/>
      <c r="AB53" s="1592">
        <f>SUM(L8:L25)</f>
        <v>460394</v>
      </c>
      <c r="AC53" s="1656"/>
      <c r="AD53" s="1656"/>
      <c r="AE53" s="1593"/>
      <c r="AF53" s="903">
        <f>+IFERROR(AB53/Z53,0)</f>
        <v>0.8866945929028841</v>
      </c>
      <c r="AG53" s="1171">
        <f>+IFERROR(AB53-Z53,0)</f>
        <v>-58831</v>
      </c>
    </row>
    <row r="54" spans="4:45" s="1177" customFormat="1" x14ac:dyDescent="0.85">
      <c r="F54" s="998"/>
      <c r="G54" s="952"/>
      <c r="H54" s="951"/>
      <c r="I54" s="998"/>
      <c r="J54" s="951"/>
      <c r="K54" s="951"/>
      <c r="L54" s="947"/>
      <c r="M54" s="951"/>
      <c r="N54" s="947"/>
      <c r="O54" s="952"/>
      <c r="P54" s="952"/>
      <c r="Q54" s="952"/>
      <c r="R54" s="1182"/>
      <c r="S54" s="1182"/>
      <c r="T54" s="951"/>
      <c r="U54" s="953"/>
      <c r="V54" s="953"/>
      <c r="W54" s="953"/>
      <c r="X54" s="953"/>
      <c r="Y54" s="881" t="s">
        <v>108</v>
      </c>
      <c r="Z54" s="1594">
        <f>SUM(O8:O25)</f>
        <v>43260</v>
      </c>
      <c r="AA54" s="1595"/>
      <c r="AB54" s="1592">
        <f>SUM(S8:S25)</f>
        <v>16317</v>
      </c>
      <c r="AC54" s="1656"/>
      <c r="AD54" s="1656"/>
      <c r="AE54" s="1593"/>
      <c r="AF54" s="903">
        <f>+IFERROR(AB54/Z54,0)</f>
        <v>0.37718446601941746</v>
      </c>
      <c r="AG54" s="1171">
        <f>+IFERROR(AB54-Z54,0)</f>
        <v>-26943</v>
      </c>
    </row>
    <row r="55" spans="4:45" s="1177" customFormat="1" x14ac:dyDescent="0.85">
      <c r="D55" s="998"/>
      <c r="E55" s="998"/>
      <c r="F55" s="1182"/>
      <c r="G55" s="952"/>
      <c r="H55" s="951"/>
      <c r="I55" s="951"/>
      <c r="J55" s="952"/>
      <c r="K55" s="1182"/>
      <c r="L55" s="947"/>
      <c r="M55" s="951"/>
      <c r="N55" s="947"/>
      <c r="O55" s="1182"/>
      <c r="P55" s="1182"/>
      <c r="Q55" s="1182"/>
      <c r="R55" s="1182"/>
      <c r="S55" s="1182"/>
      <c r="T55" s="951"/>
      <c r="U55" s="953"/>
      <c r="V55" s="953"/>
      <c r="W55" s="953"/>
      <c r="X55" s="953"/>
      <c r="Y55" s="881" t="s">
        <v>5</v>
      </c>
      <c r="Z55" s="1594">
        <f>+IFERROR(Z53/Z54,0)</f>
        <v>12.00242718446602</v>
      </c>
      <c r="AA55" s="1595"/>
      <c r="AB55" s="1594">
        <f>+IFERROR(AB53/AB54,0)</f>
        <v>28.215603358460502</v>
      </c>
      <c r="AC55" s="1664"/>
      <c r="AD55" s="1664"/>
      <c r="AE55" s="1595"/>
      <c r="AF55" s="904"/>
      <c r="AG55" s="1168">
        <f>+IFERROR(AB55-Z55,0)</f>
        <v>16.213176173994484</v>
      </c>
      <c r="AS55" s="1177">
        <v>20.16</v>
      </c>
    </row>
    <row r="56" spans="4:45" s="1177" customFormat="1" x14ac:dyDescent="0.85">
      <c r="D56" s="951"/>
      <c r="E56" s="951"/>
      <c r="F56" s="1182"/>
      <c r="G56" s="952"/>
      <c r="H56" s="951"/>
      <c r="I56" s="951"/>
      <c r="J56" s="952"/>
      <c r="K56" s="1182"/>
      <c r="L56" s="947"/>
      <c r="M56" s="951"/>
      <c r="N56" s="947"/>
      <c r="O56" s="1182"/>
      <c r="P56" s="1182"/>
      <c r="Q56" s="1182"/>
      <c r="R56" s="1182"/>
      <c r="S56" s="1182"/>
      <c r="T56" s="951"/>
      <c r="U56" s="953"/>
      <c r="V56" s="953"/>
      <c r="W56" s="953"/>
      <c r="X56" s="953"/>
      <c r="Y56" s="905" t="s">
        <v>6</v>
      </c>
      <c r="Z56" s="1665">
        <v>0.8</v>
      </c>
      <c r="AA56" s="1666"/>
      <c r="AB56" s="1165"/>
      <c r="AC56" s="1657">
        <f>+AE39</f>
        <v>0.47038344943645355</v>
      </c>
      <c r="AD56" s="1657"/>
      <c r="AE56" s="1657"/>
      <c r="AF56" s="950"/>
      <c r="AG56" s="1168">
        <f>+IFERROR(AC56-Z56,0)</f>
        <v>-0.3296165505635465</v>
      </c>
    </row>
    <row r="57" spans="4:45" s="1177" customFormat="1" x14ac:dyDescent="0.85">
      <c r="D57" s="951"/>
      <c r="E57" s="951"/>
      <c r="F57" s="1182"/>
      <c r="G57" s="952"/>
      <c r="H57" s="951"/>
      <c r="I57" s="951"/>
      <c r="J57" s="952"/>
      <c r="K57" s="1182"/>
      <c r="L57" s="947"/>
      <c r="M57" s="951"/>
      <c r="N57" s="947"/>
      <c r="O57" s="1182"/>
      <c r="P57" s="1182"/>
      <c r="Q57" s="1182"/>
      <c r="R57" s="1182"/>
      <c r="S57" s="1182"/>
      <c r="T57" s="951"/>
      <c r="U57" s="953"/>
      <c r="V57" s="953"/>
      <c r="W57" s="953"/>
      <c r="X57" s="953"/>
      <c r="Y57" s="1178"/>
      <c r="Z57" s="951"/>
      <c r="AA57" s="951"/>
      <c r="AB57" s="951"/>
      <c r="AC57" s="951"/>
      <c r="AD57" s="951"/>
      <c r="AE57" s="1182"/>
      <c r="AF57" s="951"/>
      <c r="AG57" s="951"/>
    </row>
    <row r="58" spans="4:45" x14ac:dyDescent="0.85">
      <c r="D58" s="1177"/>
      <c r="E58" s="1177"/>
      <c r="F58" s="1182"/>
      <c r="I58" s="951"/>
      <c r="L58" s="947"/>
      <c r="N58" s="947"/>
      <c r="Y58" s="1750"/>
      <c r="Z58" s="1750"/>
      <c r="AA58" s="1750"/>
      <c r="AS58" s="951">
        <v>20.09</v>
      </c>
    </row>
    <row r="59" spans="4:45" ht="32.4" x14ac:dyDescent="1.75">
      <c r="D59" s="1000" t="s">
        <v>204</v>
      </c>
      <c r="E59" s="1000"/>
      <c r="F59" s="1000"/>
      <c r="H59" s="1180"/>
      <c r="I59" s="1180"/>
      <c r="J59" s="1751"/>
      <c r="K59" s="1751"/>
      <c r="L59" s="949"/>
      <c r="M59" s="1752"/>
      <c r="N59" s="1752"/>
      <c r="O59" s="1752"/>
      <c r="P59" s="1001"/>
      <c r="Q59" s="1753" t="s">
        <v>203</v>
      </c>
      <c r="R59" s="1753"/>
      <c r="Y59" s="1754" t="s">
        <v>219</v>
      </c>
      <c r="Z59" s="1754"/>
      <c r="AA59" s="1754"/>
      <c r="AC59" s="1755"/>
      <c r="AD59" s="1755"/>
      <c r="AS59" s="951">
        <v>19.66</v>
      </c>
    </row>
    <row r="60" spans="4:45" ht="23.25" customHeight="1" x14ac:dyDescent="0.85">
      <c r="D60" s="1177" t="s">
        <v>191</v>
      </c>
      <c r="E60" s="1177"/>
      <c r="F60" s="1182"/>
      <c r="H60" s="1177"/>
      <c r="I60" s="951"/>
      <c r="J60" s="1749"/>
      <c r="K60" s="1749"/>
      <c r="L60" s="947"/>
      <c r="N60" s="942"/>
      <c r="O60" s="1182"/>
      <c r="P60" s="1002"/>
      <c r="Q60" s="1749" t="s">
        <v>199</v>
      </c>
      <c r="R60" s="1749"/>
      <c r="Y60" s="1596">
        <f>AG44/10</f>
        <v>-5459.6</v>
      </c>
      <c r="Z60" s="1596"/>
      <c r="AA60" s="1596"/>
      <c r="AS60" s="951">
        <v>18.27</v>
      </c>
    </row>
    <row r="61" spans="4:45" x14ac:dyDescent="0.85">
      <c r="D61" s="1177"/>
      <c r="E61" s="1177"/>
      <c r="F61" s="1182"/>
      <c r="I61" s="951"/>
      <c r="L61" s="947"/>
      <c r="AS61" s="951">
        <v>19.07</v>
      </c>
    </row>
    <row r="62" spans="4:45" ht="32.4" x14ac:dyDescent="1.75">
      <c r="D62" s="1181"/>
      <c r="E62" s="1181"/>
      <c r="F62" s="1182"/>
      <c r="H62" s="1180"/>
      <c r="I62" s="951"/>
      <c r="L62" s="949"/>
      <c r="AS62" s="951">
        <v>20.13</v>
      </c>
    </row>
    <row r="63" spans="4:45" x14ac:dyDescent="0.85">
      <c r="D63" s="1177"/>
      <c r="E63" s="1177"/>
      <c r="F63" s="1182"/>
      <c r="I63" s="951"/>
      <c r="L63" s="947"/>
      <c r="AS63" s="951">
        <v>21.25</v>
      </c>
    </row>
    <row r="64" spans="4:45" x14ac:dyDescent="0.85">
      <c r="AS64" s="951">
        <v>20.059999999999999</v>
      </c>
    </row>
    <row r="65" spans="4:45" x14ac:dyDescent="0.85">
      <c r="AS65" s="951">
        <v>19.77</v>
      </c>
    </row>
    <row r="66" spans="4:45" x14ac:dyDescent="0.85">
      <c r="AS66" s="951">
        <v>20.16</v>
      </c>
    </row>
    <row r="67" spans="4:45" x14ac:dyDescent="0.85">
      <c r="AS67" s="951">
        <f>SUM(AS18:AS66)</f>
        <v>789.32999999999981</v>
      </c>
    </row>
    <row r="68" spans="4:45" x14ac:dyDescent="0.85">
      <c r="AS68" s="951">
        <f>+AS67+22</f>
        <v>811.32999999999981</v>
      </c>
    </row>
    <row r="69" spans="4:45" x14ac:dyDescent="0.85">
      <c r="D69" s="951"/>
      <c r="E69" s="951"/>
      <c r="I69" s="951"/>
      <c r="K69" s="951"/>
      <c r="L69" s="1178"/>
      <c r="O69" s="951"/>
      <c r="P69" s="951"/>
      <c r="Q69" s="951"/>
      <c r="R69" s="951"/>
      <c r="S69" s="951"/>
      <c r="U69" s="951"/>
      <c r="V69" s="951"/>
      <c r="W69" s="951"/>
      <c r="X69" s="951"/>
      <c r="AE69" s="951"/>
      <c r="AH69" s="951"/>
      <c r="AI69" s="951"/>
      <c r="AS69" s="951">
        <f>927.8-AS67</f>
        <v>138.47000000000014</v>
      </c>
    </row>
  </sheetData>
  <mergeCells count="69">
    <mergeCell ref="J60:K60"/>
    <mergeCell ref="Q60:R60"/>
    <mergeCell ref="Y60:AA60"/>
    <mergeCell ref="L40:M40"/>
    <mergeCell ref="Z56:AA56"/>
    <mergeCell ref="Z53:AA53"/>
    <mergeCell ref="Z52:AA52"/>
    <mergeCell ref="Z43:AA43"/>
    <mergeCell ref="AC56:AE56"/>
    <mergeCell ref="Y58:AA58"/>
    <mergeCell ref="J59:K59"/>
    <mergeCell ref="M59:O59"/>
    <mergeCell ref="Q59:R59"/>
    <mergeCell ref="Y59:AA59"/>
    <mergeCell ref="AC59:AD59"/>
    <mergeCell ref="AB53:AE53"/>
    <mergeCell ref="Z54:AA54"/>
    <mergeCell ref="AB54:AE54"/>
    <mergeCell ref="Z55:AA55"/>
    <mergeCell ref="AB55:AE55"/>
    <mergeCell ref="AB52:AE52"/>
    <mergeCell ref="F45:H45"/>
    <mergeCell ref="I45:L45"/>
    <mergeCell ref="M45:N45"/>
    <mergeCell ref="Z45:AA45"/>
    <mergeCell ref="AB45:AE45"/>
    <mergeCell ref="F46:H46"/>
    <mergeCell ref="M46:N46"/>
    <mergeCell ref="Z46:AA46"/>
    <mergeCell ref="AB46:AE46"/>
    <mergeCell ref="F47:H47"/>
    <mergeCell ref="M47:N47"/>
    <mergeCell ref="Z47:AA47"/>
    <mergeCell ref="AC47:AE47"/>
    <mergeCell ref="Q50:R50"/>
    <mergeCell ref="AB43:AE43"/>
    <mergeCell ref="F44:H44"/>
    <mergeCell ref="I44:L44"/>
    <mergeCell ref="M44:N44"/>
    <mergeCell ref="Z44:AA44"/>
    <mergeCell ref="AB44:AE44"/>
    <mergeCell ref="F42:H42"/>
    <mergeCell ref="I42:L42"/>
    <mergeCell ref="M42:N42"/>
    <mergeCell ref="F43:H43"/>
    <mergeCell ref="I43:L43"/>
    <mergeCell ref="M43:N43"/>
    <mergeCell ref="AH5:AH7"/>
    <mergeCell ref="AJ5:AJ7"/>
    <mergeCell ref="AK5:AK7"/>
    <mergeCell ref="AL5:AL7"/>
    <mergeCell ref="C6:E6"/>
    <mergeCell ref="F6:N6"/>
    <mergeCell ref="O6:P6"/>
    <mergeCell ref="Q6:V6"/>
    <mergeCell ref="G7:H7"/>
    <mergeCell ref="J7:K7"/>
    <mergeCell ref="Z5:AB6"/>
    <mergeCell ref="AC5:AC7"/>
    <mergeCell ref="AD5:AD7"/>
    <mergeCell ref="AE5:AE7"/>
    <mergeCell ref="AF5:AF7"/>
    <mergeCell ref="AG5:AG7"/>
    <mergeCell ref="Y5:Y7"/>
    <mergeCell ref="B5:B7"/>
    <mergeCell ref="C5:N5"/>
    <mergeCell ref="O5:V5"/>
    <mergeCell ref="W5:W7"/>
    <mergeCell ref="X5:X7"/>
  </mergeCells>
  <conditionalFormatting sqref="M8:M13 M15 M31:M38 M19 M23:M24 M26:M29">
    <cfRule type="colorScale" priority="19">
      <colorScale>
        <cfvo type="min"/>
        <cfvo type="max"/>
        <color theme="0"/>
        <color theme="0"/>
      </colorScale>
    </cfRule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4">
    <cfRule type="colorScale" priority="17">
      <colorScale>
        <cfvo type="min"/>
        <cfvo type="max"/>
        <color theme="0"/>
        <color theme="0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6">
    <cfRule type="colorScale" priority="13">
      <colorScale>
        <cfvo type="min"/>
        <cfvo type="max"/>
        <color theme="0"/>
        <color theme="0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7">
    <cfRule type="colorScale" priority="11">
      <colorScale>
        <cfvo type="min"/>
        <cfvo type="max"/>
        <color theme="0"/>
        <color theme="0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8">
    <cfRule type="colorScale" priority="9">
      <colorScale>
        <cfvo type="min"/>
        <cfvo type="max"/>
        <color theme="0"/>
        <color theme="0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0">
    <cfRule type="colorScale" priority="7">
      <colorScale>
        <cfvo type="min"/>
        <cfvo type="max"/>
        <color theme="0"/>
        <color theme="0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1">
    <cfRule type="colorScale" priority="5">
      <colorScale>
        <cfvo type="min"/>
        <cfvo type="max"/>
        <color theme="0"/>
        <color theme="0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2">
    <cfRule type="colorScale" priority="3">
      <colorScale>
        <cfvo type="min"/>
        <cfvo type="max"/>
        <color theme="0"/>
        <color theme="0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5">
    <cfRule type="colorScale" priority="1">
      <colorScale>
        <cfvo type="min"/>
        <cfvo type="max"/>
        <color theme="0"/>
        <color theme="0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0">
    <cfRule type="colorScale" priority="15">
      <colorScale>
        <cfvo type="min"/>
        <cfvo type="max"/>
        <color theme="0"/>
        <color theme="0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31496062992125984" right="0.31496062992125984" top="0.74803149606299213" bottom="0.74803149606299213" header="0.31496062992125984" footer="0.31496062992125984"/>
  <pageSetup paperSize="8" scale="27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AX281"/>
  <sheetViews>
    <sheetView showGridLines="0" view="pageBreakPreview" zoomScale="40" zoomScaleNormal="40" zoomScaleSheetLayoutView="40" workbookViewId="0">
      <pane xSplit="2" ySplit="8" topLeftCell="J25" activePane="bottomRight" state="frozen"/>
      <selection activeCell="F42" sqref="F42:H42"/>
      <selection pane="topRight" activeCell="F42" sqref="F42:H42"/>
      <selection pane="bottomLeft" activeCell="F42" sqref="F42:H42"/>
      <selection pane="bottomRight" activeCell="F42" sqref="F42:H42"/>
    </sheetView>
  </sheetViews>
  <sheetFormatPr defaultColWidth="9.15625" defaultRowHeight="19.8" x14ac:dyDescent="0.55000000000000004"/>
  <cols>
    <col min="1" max="1" width="7.26171875" style="883" customWidth="1"/>
    <col min="2" max="2" width="24.68359375" style="883" bestFit="1" customWidth="1"/>
    <col min="3" max="4" width="28.15625" style="884" customWidth="1"/>
    <col min="5" max="5" width="26" style="884" customWidth="1"/>
    <col min="6" max="6" width="23" style="884" customWidth="1"/>
    <col min="7" max="7" width="21.578125" style="883" customWidth="1"/>
    <col min="8" max="8" width="12.578125" style="883" customWidth="1"/>
    <col min="9" max="9" width="15.26171875" style="883" customWidth="1"/>
    <col min="10" max="10" width="29.41796875" style="884" bestFit="1" customWidth="1"/>
    <col min="11" max="11" width="14.15625" style="884" customWidth="1"/>
    <col min="12" max="12" width="15.26171875" style="884" bestFit="1" customWidth="1"/>
    <col min="13" max="13" width="23.68359375" style="885" customWidth="1"/>
    <col min="14" max="14" width="15.578125" style="883" hidden="1" customWidth="1"/>
    <col min="15" max="15" width="15.578125" style="883" customWidth="1"/>
    <col min="16" max="16" width="28.83984375" style="883" bestFit="1" customWidth="1"/>
    <col min="17" max="17" width="27.15625" style="886" customWidth="1"/>
    <col min="18" max="18" width="20.68359375" style="886" customWidth="1"/>
    <col min="19" max="19" width="20.26171875" style="886" customWidth="1"/>
    <col min="20" max="21" width="25.68359375" style="884" bestFit="1" customWidth="1"/>
    <col min="22" max="22" width="28.83984375" style="887" customWidth="1"/>
    <col min="23" max="23" width="15.83984375" style="883" customWidth="1"/>
    <col min="24" max="24" width="26.15625" style="888" customWidth="1"/>
    <col min="25" max="25" width="25.15625" style="888" customWidth="1"/>
    <col min="26" max="26" width="22.41796875" style="888" customWidth="1"/>
    <col min="27" max="27" width="23" style="888" customWidth="1"/>
    <col min="28" max="28" width="22.83984375" style="917" customWidth="1"/>
    <col min="29" max="29" width="16.15625" style="883" customWidth="1"/>
    <col min="30" max="30" width="15.68359375" style="883" customWidth="1"/>
    <col min="31" max="31" width="13" style="883" hidden="1" customWidth="1"/>
    <col min="32" max="32" width="19" style="883" customWidth="1"/>
    <col min="33" max="33" width="17.26171875" style="883" customWidth="1"/>
    <col min="34" max="34" width="19.41796875" style="884" customWidth="1"/>
    <col min="35" max="35" width="17.26171875" style="883" customWidth="1"/>
    <col min="36" max="36" width="28.41796875" style="883" bestFit="1" customWidth="1"/>
    <col min="37" max="37" width="16.26171875" style="886" hidden="1" customWidth="1"/>
    <col min="38" max="38" width="21.41796875" style="886" hidden="1" customWidth="1"/>
    <col min="39" max="39" width="23.26171875" style="883" hidden="1" customWidth="1"/>
    <col min="40" max="46" width="21.578125" style="883" hidden="1" customWidth="1"/>
    <col min="47" max="47" width="0" style="883" hidden="1" customWidth="1"/>
    <col min="48" max="48" width="21.578125" style="883" hidden="1" customWidth="1"/>
    <col min="49" max="49" width="21.578125" style="883" bestFit="1" customWidth="1"/>
    <col min="50" max="50" width="13.41796875" style="883" bestFit="1" customWidth="1"/>
    <col min="51" max="16384" width="9.15625" style="883"/>
  </cols>
  <sheetData>
    <row r="2" spans="1:46" x14ac:dyDescent="0.55000000000000004">
      <c r="B2" s="862" t="s">
        <v>202</v>
      </c>
      <c r="AB2" s="889"/>
      <c r="AH2" s="883" t="s">
        <v>137</v>
      </c>
    </row>
    <row r="3" spans="1:46" s="890" customFormat="1" ht="27" x14ac:dyDescent="0.55000000000000004">
      <c r="B3" s="863" t="s">
        <v>218</v>
      </c>
      <c r="C3" s="891"/>
      <c r="D3" s="891"/>
      <c r="E3" s="891"/>
      <c r="F3" s="891"/>
      <c r="G3" s="892" t="s">
        <v>211</v>
      </c>
      <c r="J3" s="891"/>
      <c r="K3" s="891"/>
      <c r="L3" s="891"/>
      <c r="M3" s="893"/>
      <c r="Q3" s="894"/>
      <c r="R3" s="894"/>
      <c r="S3" s="894"/>
      <c r="T3" s="894"/>
      <c r="U3" s="894"/>
      <c r="V3" s="893"/>
      <c r="W3" s="895"/>
      <c r="X3" s="896"/>
      <c r="Y3" s="896"/>
      <c r="Z3" s="896"/>
      <c r="AA3" s="896"/>
      <c r="AB3" s="897"/>
      <c r="AH3" s="891"/>
      <c r="AK3" s="894"/>
      <c r="AL3" s="894"/>
    </row>
    <row r="4" spans="1:46" s="890" customFormat="1" ht="27.3" thickBot="1" x14ac:dyDescent="0.6">
      <c r="B4" s="863" t="s">
        <v>120</v>
      </c>
      <c r="C4" s="891"/>
      <c r="D4" s="891"/>
      <c r="E4" s="891"/>
      <c r="F4" s="891"/>
      <c r="J4" s="891"/>
      <c r="K4" s="891"/>
      <c r="L4" s="891"/>
      <c r="M4" s="893"/>
      <c r="Q4" s="894"/>
      <c r="R4" s="894"/>
      <c r="S4" s="894"/>
      <c r="T4" s="891"/>
      <c r="U4" s="891"/>
      <c r="V4" s="898"/>
      <c r="X4" s="896"/>
      <c r="Y4" s="896"/>
      <c r="Z4" s="896"/>
      <c r="AA4" s="896"/>
      <c r="AB4" s="897"/>
      <c r="AH4" s="891"/>
      <c r="AK4" s="894"/>
      <c r="AL4" s="894"/>
      <c r="AM4" s="890" t="s">
        <v>0</v>
      </c>
    </row>
    <row r="5" spans="1:46" s="864" customFormat="1" ht="43.5" customHeight="1" x14ac:dyDescent="0.55000000000000004">
      <c r="B5" s="1599" t="s">
        <v>1</v>
      </c>
      <c r="C5" s="1600" t="s">
        <v>119</v>
      </c>
      <c r="D5" s="1601"/>
      <c r="E5" s="1601"/>
      <c r="F5" s="1601"/>
      <c r="G5" s="1601"/>
      <c r="H5" s="1601"/>
      <c r="I5" s="1601"/>
      <c r="J5" s="1601"/>
      <c r="K5" s="1601"/>
      <c r="L5" s="1601"/>
      <c r="M5" s="1601"/>
      <c r="N5" s="1601"/>
      <c r="O5" s="1601"/>
      <c r="P5" s="1602"/>
      <c r="Q5" s="1615" t="s">
        <v>215</v>
      </c>
      <c r="R5" s="1616"/>
      <c r="S5" s="1616"/>
      <c r="T5" s="1616"/>
      <c r="U5" s="1616"/>
      <c r="V5" s="1616"/>
      <c r="W5" s="1616"/>
      <c r="X5" s="1616"/>
      <c r="Y5" s="1617"/>
      <c r="Z5" s="1599" t="s">
        <v>130</v>
      </c>
      <c r="AA5" s="1599" t="s">
        <v>131</v>
      </c>
      <c r="AB5" s="1652" t="s">
        <v>4</v>
      </c>
      <c r="AC5" s="1642" t="s">
        <v>5</v>
      </c>
      <c r="AD5" s="1643"/>
      <c r="AE5" s="1644"/>
      <c r="AF5" s="1599" t="s">
        <v>99</v>
      </c>
      <c r="AG5" s="1599" t="s">
        <v>100</v>
      </c>
      <c r="AH5" s="1651" t="s">
        <v>6</v>
      </c>
      <c r="AI5" s="1599" t="s">
        <v>7</v>
      </c>
      <c r="AJ5" s="1599" t="s">
        <v>8</v>
      </c>
      <c r="AK5" s="1653" t="s">
        <v>22</v>
      </c>
      <c r="AM5" s="1599" t="s">
        <v>2</v>
      </c>
      <c r="AN5" s="1618" t="s">
        <v>97</v>
      </c>
      <c r="AO5" s="1618" t="s">
        <v>98</v>
      </c>
    </row>
    <row r="6" spans="1:46" s="864" customFormat="1" ht="27" customHeight="1" x14ac:dyDescent="0.55000000000000004">
      <c r="B6" s="1599"/>
      <c r="C6" s="1621" t="s">
        <v>14</v>
      </c>
      <c r="D6" s="1622"/>
      <c r="E6" s="1622"/>
      <c r="F6" s="1623"/>
      <c r="G6" s="1627" t="s">
        <v>213</v>
      </c>
      <c r="H6" s="1628"/>
      <c r="I6" s="1628"/>
      <c r="J6" s="1628"/>
      <c r="K6" s="1628"/>
      <c r="L6" s="1628"/>
      <c r="M6" s="1629"/>
      <c r="N6" s="1597" t="s">
        <v>21</v>
      </c>
      <c r="O6" s="1597" t="s">
        <v>21</v>
      </c>
      <c r="P6" s="1633" t="s">
        <v>128</v>
      </c>
      <c r="Q6" s="1636" t="s">
        <v>14</v>
      </c>
      <c r="R6" s="1637"/>
      <c r="S6" s="1638"/>
      <c r="T6" s="1608" t="s">
        <v>17</v>
      </c>
      <c r="U6" s="1609"/>
      <c r="V6" s="1609"/>
      <c r="W6" s="1609"/>
      <c r="X6" s="1610"/>
      <c r="Y6" s="1614" t="s">
        <v>200</v>
      </c>
      <c r="Z6" s="1599"/>
      <c r="AA6" s="1599"/>
      <c r="AB6" s="1652"/>
      <c r="AC6" s="1645"/>
      <c r="AD6" s="1646"/>
      <c r="AE6" s="1647"/>
      <c r="AF6" s="1599"/>
      <c r="AG6" s="1599"/>
      <c r="AH6" s="1651"/>
      <c r="AI6" s="1599"/>
      <c r="AJ6" s="1599"/>
      <c r="AK6" s="1654"/>
      <c r="AM6" s="1599"/>
      <c r="AN6" s="1619"/>
      <c r="AO6" s="1619"/>
    </row>
    <row r="7" spans="1:46" s="864" customFormat="1" ht="27" customHeight="1" x14ac:dyDescent="0.55000000000000004">
      <c r="B7" s="1599"/>
      <c r="C7" s="1624"/>
      <c r="D7" s="1625"/>
      <c r="E7" s="1625"/>
      <c r="F7" s="1626"/>
      <c r="G7" s="1630"/>
      <c r="H7" s="1631"/>
      <c r="I7" s="1631"/>
      <c r="J7" s="1631"/>
      <c r="K7" s="1631"/>
      <c r="L7" s="1631"/>
      <c r="M7" s="1632"/>
      <c r="N7" s="1597"/>
      <c r="O7" s="1597"/>
      <c r="P7" s="1634"/>
      <c r="Q7" s="1639"/>
      <c r="R7" s="1640"/>
      <c r="S7" s="1641"/>
      <c r="T7" s="1611"/>
      <c r="U7" s="1612"/>
      <c r="V7" s="1612"/>
      <c r="W7" s="1612"/>
      <c r="X7" s="1613"/>
      <c r="Y7" s="1614"/>
      <c r="Z7" s="1599"/>
      <c r="AA7" s="1599"/>
      <c r="AB7" s="1652"/>
      <c r="AC7" s="1648"/>
      <c r="AD7" s="1649"/>
      <c r="AE7" s="1650"/>
      <c r="AF7" s="1599"/>
      <c r="AG7" s="1599"/>
      <c r="AH7" s="1651"/>
      <c r="AI7" s="1599"/>
      <c r="AJ7" s="1599"/>
      <c r="AK7" s="1654"/>
      <c r="AM7" s="1599"/>
      <c r="AN7" s="1619"/>
      <c r="AO7" s="1619"/>
    </row>
    <row r="8" spans="1:46" s="864" customFormat="1" ht="51" customHeight="1" thickBot="1" x14ac:dyDescent="0.6">
      <c r="B8" s="1599"/>
      <c r="C8" s="1045" t="s">
        <v>219</v>
      </c>
      <c r="D8" s="1045" t="s">
        <v>214</v>
      </c>
      <c r="E8" s="1045" t="s">
        <v>212</v>
      </c>
      <c r="F8" s="1045" t="s">
        <v>112</v>
      </c>
      <c r="G8" s="1173" t="s">
        <v>9</v>
      </c>
      <c r="H8" s="1597" t="s">
        <v>112</v>
      </c>
      <c r="I8" s="1597"/>
      <c r="J8" s="1045" t="s">
        <v>10</v>
      </c>
      <c r="K8" s="1597" t="s">
        <v>112</v>
      </c>
      <c r="L8" s="1597"/>
      <c r="M8" s="924" t="s">
        <v>15</v>
      </c>
      <c r="N8" s="1597"/>
      <c r="O8" s="1597"/>
      <c r="P8" s="1635"/>
      <c r="Q8" s="1175" t="s">
        <v>220</v>
      </c>
      <c r="R8" s="1175" t="s">
        <v>214</v>
      </c>
      <c r="S8" s="1175" t="s">
        <v>212</v>
      </c>
      <c r="T8" s="925" t="s">
        <v>9</v>
      </c>
      <c r="U8" s="1175" t="s">
        <v>10</v>
      </c>
      <c r="V8" s="1175" t="s">
        <v>15</v>
      </c>
      <c r="W8" s="925" t="s">
        <v>21</v>
      </c>
      <c r="X8" s="1175" t="s">
        <v>128</v>
      </c>
      <c r="Y8" s="1614"/>
      <c r="Z8" s="1599"/>
      <c r="AA8" s="1599"/>
      <c r="AB8" s="1652"/>
      <c r="AC8" s="1174" t="s">
        <v>14</v>
      </c>
      <c r="AD8" s="1174" t="s">
        <v>18</v>
      </c>
      <c r="AE8" s="1174"/>
      <c r="AF8" s="1599"/>
      <c r="AG8" s="1599"/>
      <c r="AH8" s="1651"/>
      <c r="AI8" s="1599"/>
      <c r="AJ8" s="1599"/>
      <c r="AK8" s="1655"/>
      <c r="AM8" s="1599"/>
      <c r="AN8" s="1620"/>
      <c r="AO8" s="1620"/>
    </row>
    <row r="9" spans="1:46" s="804" customFormat="1" ht="39" customHeight="1" thickBot="1" x14ac:dyDescent="0.6">
      <c r="B9" s="1046">
        <v>45383</v>
      </c>
      <c r="C9" s="1047">
        <v>0</v>
      </c>
      <c r="D9" s="1047">
        <v>33654</v>
      </c>
      <c r="E9" s="1047">
        <f>+D9</f>
        <v>33654</v>
      </c>
      <c r="F9" s="1048" t="s">
        <v>205</v>
      </c>
      <c r="G9" s="1049">
        <v>11484</v>
      </c>
      <c r="H9" s="1050">
        <v>5</v>
      </c>
      <c r="I9" s="1051" t="s">
        <v>112</v>
      </c>
      <c r="J9" s="1049">
        <v>16148</v>
      </c>
      <c r="K9" s="1050">
        <v>6</v>
      </c>
      <c r="L9" s="1051" t="s">
        <v>112</v>
      </c>
      <c r="M9" s="1052">
        <f t="shared" ref="M9:M26" si="0">+J9+G9</f>
        <v>27632</v>
      </c>
      <c r="N9" s="1053">
        <f t="shared" ref="N9:N33" si="1">IFERROR(+M9/D9,"")</f>
        <v>0.82106138943364826</v>
      </c>
      <c r="O9" s="1053">
        <f>IFERROR(+M9/D9,"")</f>
        <v>0.82106138943364826</v>
      </c>
      <c r="P9" s="1054">
        <f>M9-D9</f>
        <v>-6022</v>
      </c>
      <c r="Q9" s="1047">
        <v>0</v>
      </c>
      <c r="R9" s="1047">
        <v>2103</v>
      </c>
      <c r="S9" s="1047">
        <f>+R9</f>
        <v>2103</v>
      </c>
      <c r="T9" s="1055">
        <v>978.7</v>
      </c>
      <c r="U9" s="1056">
        <v>797.47</v>
      </c>
      <c r="V9" s="1056">
        <f>+U9+T9</f>
        <v>1776.17</v>
      </c>
      <c r="W9" s="1053">
        <f t="shared" ref="W9:W38" si="2">IFERROR(+V9/R9,"")</f>
        <v>0.84458868283404664</v>
      </c>
      <c r="X9" s="1057">
        <f t="shared" ref="X9" si="3">V9-R9</f>
        <v>-326.82999999999993</v>
      </c>
      <c r="Y9" s="1057">
        <f>34321.23+V9</f>
        <v>36097.4</v>
      </c>
      <c r="Z9" s="1058">
        <v>18813</v>
      </c>
      <c r="AA9" s="1058">
        <v>13765</v>
      </c>
      <c r="AB9" s="1059">
        <f>Z9+AA9</f>
        <v>32578</v>
      </c>
      <c r="AC9" s="1060">
        <f t="shared" ref="AC9:AC39" si="4">+IFERROR(D9/R9,0)</f>
        <v>16.002853067047077</v>
      </c>
      <c r="AD9" s="1060">
        <f t="shared" ref="AD9:AD33" si="5">+IFERROR(M9/V9,0)</f>
        <v>15.557069424660927</v>
      </c>
      <c r="AE9" s="1053"/>
      <c r="AF9" s="1061">
        <f t="shared" ref="AF9:AF39" si="6">+Z9/(G9+(T9/1.27))</f>
        <v>1.5351748784647037</v>
      </c>
      <c r="AG9" s="1061">
        <f t="shared" ref="AG9:AG38" si="7">+AA9/(J9+(U9/1.27))</f>
        <v>0.82052087190917999</v>
      </c>
      <c r="AH9" s="1061">
        <f t="shared" ref="AH9:AH38" si="8">+AB9/(M9+(V9/1.27))</f>
        <v>1.122196783677043</v>
      </c>
      <c r="AI9" s="1062">
        <v>6.9444444444444434E-2</v>
      </c>
      <c r="AJ9" s="1062">
        <v>5.6944444444444443E-2</v>
      </c>
      <c r="AK9" s="805">
        <v>124</v>
      </c>
      <c r="AL9" s="1157">
        <f>+'[5]fuel 55 gar'!$F$251</f>
        <v>1973</v>
      </c>
      <c r="AM9" s="806">
        <f>+AN9+AO9</f>
        <v>29030.559055118109</v>
      </c>
      <c r="AN9" s="806">
        <f t="shared" ref="AN9:AN34" si="9">+AP9+G9</f>
        <v>12254.629921259842</v>
      </c>
      <c r="AO9" s="806">
        <f t="shared" ref="AO9:AO34" si="10">+AQ9+J9</f>
        <v>16775.929133858266</v>
      </c>
      <c r="AP9" s="804">
        <f t="shared" ref="AP9:AQ34" si="11">+T9/1.27</f>
        <v>770.62992125984249</v>
      </c>
      <c r="AQ9" s="804">
        <f t="shared" si="11"/>
        <v>627.92913385826773</v>
      </c>
      <c r="AR9" s="804">
        <f>+AQ9+AP9</f>
        <v>1398.5590551181103</v>
      </c>
      <c r="AS9" s="807" t="e">
        <f>+AR9-#REF!</f>
        <v>#REF!</v>
      </c>
      <c r="AT9" s="1158">
        <f t="shared" ref="AT9:AT34" si="12">+AR9+M9</f>
        <v>29030.559055118109</v>
      </c>
    </row>
    <row r="10" spans="1:46" s="804" customFormat="1" ht="39" customHeight="1" x14ac:dyDescent="0.55000000000000004">
      <c r="B10" s="844">
        <f>+B9+1</f>
        <v>45384</v>
      </c>
      <c r="C10" s="899">
        <v>39676</v>
      </c>
      <c r="D10" s="899">
        <v>33654</v>
      </c>
      <c r="E10" s="899">
        <f>+E9+D10</f>
        <v>67308</v>
      </c>
      <c r="F10" s="845" t="s">
        <v>205</v>
      </c>
      <c r="G10" s="809">
        <v>14212</v>
      </c>
      <c r="H10" s="846">
        <v>4</v>
      </c>
      <c r="I10" s="1037" t="s">
        <v>112</v>
      </c>
      <c r="J10" s="809">
        <v>13288</v>
      </c>
      <c r="K10" s="846">
        <v>5</v>
      </c>
      <c r="L10" s="1037" t="s">
        <v>112</v>
      </c>
      <c r="M10" s="812">
        <f t="shared" si="0"/>
        <v>27500</v>
      </c>
      <c r="N10" s="810">
        <f t="shared" si="1"/>
        <v>0.81713912164972957</v>
      </c>
      <c r="O10" s="810">
        <f t="shared" ref="O10:O39" si="13">IFERROR(+M10/D10,"")</f>
        <v>0.81713912164972957</v>
      </c>
      <c r="P10" s="1038">
        <f>M10-C10</f>
        <v>-12176</v>
      </c>
      <c r="Q10" s="1042">
        <f>-X9+R10</f>
        <v>2429.83</v>
      </c>
      <c r="R10" s="899">
        <v>2103</v>
      </c>
      <c r="S10" s="899">
        <f>+S9+R10</f>
        <v>4206</v>
      </c>
      <c r="T10" s="1039">
        <v>265.95</v>
      </c>
      <c r="U10" s="811">
        <v>753.23</v>
      </c>
      <c r="V10" s="811">
        <f>+U10+T10</f>
        <v>1019.1800000000001</v>
      </c>
      <c r="W10" s="810">
        <f t="shared" si="2"/>
        <v>0.48463147883975277</v>
      </c>
      <c r="X10" s="1040">
        <f>V10-Q10</f>
        <v>-1410.6499999999999</v>
      </c>
      <c r="Y10" s="1040">
        <f>+Y9+V10</f>
        <v>37116.58</v>
      </c>
      <c r="Z10" s="813">
        <v>17281</v>
      </c>
      <c r="AA10" s="813">
        <v>14878</v>
      </c>
      <c r="AB10" s="1041">
        <f t="shared" ref="AB10:AB38" si="14">Z10+AA10</f>
        <v>32159</v>
      </c>
      <c r="AC10" s="1042">
        <f t="shared" si="4"/>
        <v>16.002853067047077</v>
      </c>
      <c r="AD10" s="1042">
        <f t="shared" si="5"/>
        <v>26.98247610824388</v>
      </c>
      <c r="AE10" s="810"/>
      <c r="AF10" s="1043">
        <f t="shared" si="6"/>
        <v>1.1982878692495136</v>
      </c>
      <c r="AG10" s="1043">
        <f t="shared" si="7"/>
        <v>1.0718175006055366</v>
      </c>
      <c r="AH10" s="1043">
        <f t="shared" si="8"/>
        <v>1.1362598896399918</v>
      </c>
      <c r="AI10" s="814">
        <v>0</v>
      </c>
      <c r="AJ10" s="814">
        <v>0</v>
      </c>
      <c r="AK10" s="805">
        <v>517</v>
      </c>
      <c r="AL10" s="1157">
        <f>+'[5]fuel 55 gar'!$I$251</f>
        <v>890</v>
      </c>
      <c r="AM10" s="806">
        <f t="shared" ref="AM10:AM34" si="15">+AN10+AO10</f>
        <v>28302.503937007874</v>
      </c>
      <c r="AN10" s="806">
        <f t="shared" si="9"/>
        <v>14421.409448818898</v>
      </c>
      <c r="AO10" s="806">
        <f t="shared" si="10"/>
        <v>13881.094488188977</v>
      </c>
      <c r="AP10" s="804">
        <f t="shared" si="11"/>
        <v>209.40944881889763</v>
      </c>
      <c r="AQ10" s="804">
        <f t="shared" si="11"/>
        <v>593.09448818897636</v>
      </c>
      <c r="AR10" s="804">
        <f t="shared" ref="AR10:AR34" si="16">+AQ10+AP10</f>
        <v>802.50393700787401</v>
      </c>
      <c r="AS10" s="807" t="e">
        <f>+AR10-#REF!</f>
        <v>#REF!</v>
      </c>
      <c r="AT10" s="1158">
        <f t="shared" si="12"/>
        <v>28302.503937007874</v>
      </c>
    </row>
    <row r="11" spans="1:46" s="808" customFormat="1" ht="39" customHeight="1" x14ac:dyDescent="0.55000000000000004">
      <c r="B11" s="844">
        <f>+B10+1</f>
        <v>45385</v>
      </c>
      <c r="C11" s="899">
        <f>D11-P10</f>
        <v>45830</v>
      </c>
      <c r="D11" s="899">
        <v>33654</v>
      </c>
      <c r="E11" s="899">
        <f>+E10+D11</f>
        <v>100962</v>
      </c>
      <c r="F11" s="845" t="s">
        <v>205</v>
      </c>
      <c r="G11" s="809">
        <v>12342</v>
      </c>
      <c r="H11" s="846">
        <v>5</v>
      </c>
      <c r="I11" s="1037" t="s">
        <v>112</v>
      </c>
      <c r="J11" s="809">
        <v>14036</v>
      </c>
      <c r="K11" s="1063">
        <v>6</v>
      </c>
      <c r="L11" s="1037" t="s">
        <v>112</v>
      </c>
      <c r="M11" s="812">
        <f t="shared" si="0"/>
        <v>26378</v>
      </c>
      <c r="N11" s="1064">
        <f t="shared" si="1"/>
        <v>0.78379984548642068</v>
      </c>
      <c r="O11" s="810">
        <f t="shared" si="13"/>
        <v>0.78379984548642068</v>
      </c>
      <c r="P11" s="1038">
        <f>M11-C11</f>
        <v>-19452</v>
      </c>
      <c r="Q11" s="1065">
        <f>R11-X10</f>
        <v>3513.6499999999996</v>
      </c>
      <c r="R11" s="899">
        <v>2103</v>
      </c>
      <c r="S11" s="899">
        <f>+S10+R11</f>
        <v>6309</v>
      </c>
      <c r="T11" s="811">
        <v>756.33</v>
      </c>
      <c r="U11" s="811">
        <v>488.47</v>
      </c>
      <c r="V11" s="811">
        <f t="shared" ref="V11:V26" si="17">+U11+T11</f>
        <v>1244.8000000000002</v>
      </c>
      <c r="W11" s="1064">
        <f t="shared" si="2"/>
        <v>0.59191631003328582</v>
      </c>
      <c r="X11" s="1066">
        <f>V11-Q11</f>
        <v>-2268.8499999999995</v>
      </c>
      <c r="Y11" s="1040">
        <f>+Y10+V11</f>
        <v>38361.380000000005</v>
      </c>
      <c r="Z11" s="813">
        <v>21069</v>
      </c>
      <c r="AA11" s="813">
        <v>16107</v>
      </c>
      <c r="AB11" s="1041">
        <f t="shared" si="14"/>
        <v>37176</v>
      </c>
      <c r="AC11" s="1067">
        <f t="shared" si="4"/>
        <v>16.002853067047077</v>
      </c>
      <c r="AD11" s="1067">
        <f t="shared" si="5"/>
        <v>21.190552699228789</v>
      </c>
      <c r="AE11" s="1064"/>
      <c r="AF11" s="1068">
        <f t="shared" si="6"/>
        <v>1.6285172789667128</v>
      </c>
      <c r="AG11" s="1068">
        <f t="shared" si="7"/>
        <v>1.1169421088238136</v>
      </c>
      <c r="AH11" s="1068">
        <f t="shared" si="8"/>
        <v>1.3588634405204107</v>
      </c>
      <c r="AI11" s="814">
        <v>0</v>
      </c>
      <c r="AJ11" s="814">
        <v>0</v>
      </c>
      <c r="AK11" s="815">
        <v>1531</v>
      </c>
      <c r="AL11" s="1162">
        <f>+AB10-AL10</f>
        <v>31269</v>
      </c>
      <c r="AM11" s="816">
        <f t="shared" si="15"/>
        <v>27358.157480314963</v>
      </c>
      <c r="AN11" s="816">
        <f t="shared" si="9"/>
        <v>12937.535433070867</v>
      </c>
      <c r="AO11" s="816">
        <f t="shared" si="10"/>
        <v>14420.622047244095</v>
      </c>
      <c r="AP11" s="808">
        <f t="shared" si="11"/>
        <v>595.53543307086613</v>
      </c>
      <c r="AQ11" s="808">
        <f t="shared" si="11"/>
        <v>384.62204724409452</v>
      </c>
      <c r="AR11" s="808">
        <f t="shared" si="16"/>
        <v>980.15748031496059</v>
      </c>
      <c r="AS11" s="817" t="e">
        <f>+AR11-#REF!</f>
        <v>#REF!</v>
      </c>
      <c r="AT11" s="818">
        <f t="shared" si="12"/>
        <v>27358.15748031496</v>
      </c>
    </row>
    <row r="12" spans="1:46" s="808" customFormat="1" ht="39" customHeight="1" x14ac:dyDescent="0.55000000000000004">
      <c r="B12" s="844">
        <f>+B11+1</f>
        <v>45386</v>
      </c>
      <c r="C12" s="899">
        <f>D12-P11</f>
        <v>53106</v>
      </c>
      <c r="D12" s="899">
        <v>33654</v>
      </c>
      <c r="E12" s="899">
        <f t="shared" ref="E12:E26" si="18">+E11+D12</f>
        <v>134616</v>
      </c>
      <c r="F12" s="845" t="s">
        <v>205</v>
      </c>
      <c r="G12" s="809">
        <v>12452</v>
      </c>
      <c r="H12" s="846">
        <v>5</v>
      </c>
      <c r="I12" s="1037" t="s">
        <v>112</v>
      </c>
      <c r="J12" s="809">
        <v>12606</v>
      </c>
      <c r="K12" s="1063">
        <v>6</v>
      </c>
      <c r="L12" s="1037" t="s">
        <v>112</v>
      </c>
      <c r="M12" s="812">
        <f t="shared" si="0"/>
        <v>25058</v>
      </c>
      <c r="N12" s="1064">
        <f t="shared" si="1"/>
        <v>0.74457716764723358</v>
      </c>
      <c r="O12" s="810">
        <f t="shared" si="13"/>
        <v>0.74457716764723358</v>
      </c>
      <c r="P12" s="1038">
        <f>M12-C12</f>
        <v>-28048</v>
      </c>
      <c r="Q12" s="1065">
        <f t="shared" ref="Q12:Q26" si="19">R12-X11</f>
        <v>4371.8499999999995</v>
      </c>
      <c r="R12" s="899">
        <v>2103</v>
      </c>
      <c r="S12" s="899">
        <f t="shared" ref="S12:S38" si="20">+S11+R12</f>
        <v>8412</v>
      </c>
      <c r="T12" s="811">
        <v>595.27</v>
      </c>
      <c r="U12" s="811">
        <v>1556.29</v>
      </c>
      <c r="V12" s="811">
        <f t="shared" si="17"/>
        <v>2151.56</v>
      </c>
      <c r="W12" s="1064">
        <f t="shared" si="2"/>
        <v>1.0230908226343318</v>
      </c>
      <c r="X12" s="1066">
        <f t="shared" ref="X12:X38" si="21">V12-R12</f>
        <v>48.559999999999945</v>
      </c>
      <c r="Y12" s="1066">
        <f>Y11+V12</f>
        <v>40512.94</v>
      </c>
      <c r="Z12" s="813">
        <v>18030.5</v>
      </c>
      <c r="AA12" s="813">
        <v>16506.5</v>
      </c>
      <c r="AB12" s="1041">
        <f t="shared" si="14"/>
        <v>34537</v>
      </c>
      <c r="AC12" s="1067">
        <f t="shared" si="4"/>
        <v>16.002853067047077</v>
      </c>
      <c r="AD12" s="1067">
        <f t="shared" si="5"/>
        <v>11.646433285616018</v>
      </c>
      <c r="AE12" s="1064"/>
      <c r="AF12" s="1068">
        <f t="shared" si="6"/>
        <v>1.3954721435575292</v>
      </c>
      <c r="AG12" s="1068">
        <f t="shared" si="7"/>
        <v>1.1934055793295082</v>
      </c>
      <c r="AH12" s="1068">
        <f t="shared" si="8"/>
        <v>1.2909994401802254</v>
      </c>
      <c r="AI12" s="814">
        <v>0</v>
      </c>
      <c r="AJ12" s="814">
        <v>0</v>
      </c>
      <c r="AK12" s="815">
        <v>257</v>
      </c>
      <c r="AL12" s="865">
        <f>+AL11/(M10+(V10)*1.27)</f>
        <v>1.0859418830742769</v>
      </c>
      <c r="AM12" s="816">
        <f t="shared" si="15"/>
        <v>26752.141732283464</v>
      </c>
      <c r="AN12" s="816">
        <f t="shared" si="9"/>
        <v>12920.71653543307</v>
      </c>
      <c r="AO12" s="816">
        <f t="shared" si="10"/>
        <v>13831.425196850394</v>
      </c>
      <c r="AP12" s="808">
        <f t="shared" si="11"/>
        <v>468.71653543307082</v>
      </c>
      <c r="AQ12" s="808">
        <f t="shared" si="11"/>
        <v>1225.4251968503936</v>
      </c>
      <c r="AR12" s="808">
        <f t="shared" si="16"/>
        <v>1694.1417322834645</v>
      </c>
      <c r="AS12" s="817" t="e">
        <f>+AR12-#REF!</f>
        <v>#REF!</v>
      </c>
      <c r="AT12" s="818">
        <f t="shared" si="12"/>
        <v>26752.141732283464</v>
      </c>
    </row>
    <row r="13" spans="1:46" s="808" customFormat="1" ht="39" customHeight="1" x14ac:dyDescent="0.55000000000000004">
      <c r="B13" s="844">
        <f t="shared" ref="B13:B38" si="22">+B12+1</f>
        <v>45387</v>
      </c>
      <c r="C13" s="899">
        <f t="shared" ref="C13:C19" si="23">-P12+D13</f>
        <v>61702</v>
      </c>
      <c r="D13" s="899">
        <v>33654</v>
      </c>
      <c r="E13" s="899">
        <f t="shared" si="18"/>
        <v>168270</v>
      </c>
      <c r="F13" s="845" t="s">
        <v>205</v>
      </c>
      <c r="G13" s="809">
        <v>10516</v>
      </c>
      <c r="H13" s="846">
        <v>5</v>
      </c>
      <c r="I13" s="1037" t="s">
        <v>112</v>
      </c>
      <c r="J13" s="809">
        <v>13486</v>
      </c>
      <c r="K13" s="1063">
        <v>6</v>
      </c>
      <c r="L13" s="1037" t="s">
        <v>112</v>
      </c>
      <c r="M13" s="812">
        <f t="shared" si="0"/>
        <v>24002</v>
      </c>
      <c r="N13" s="1064">
        <f t="shared" si="1"/>
        <v>0.71319902537588398</v>
      </c>
      <c r="O13" s="810">
        <f t="shared" si="13"/>
        <v>0.71319902537588398</v>
      </c>
      <c r="P13" s="1038">
        <f t="shared" ref="P13:P38" si="24">M13-D13</f>
        <v>-9652</v>
      </c>
      <c r="Q13" s="1065">
        <f t="shared" si="19"/>
        <v>2054.44</v>
      </c>
      <c r="R13" s="899">
        <v>2103</v>
      </c>
      <c r="S13" s="899">
        <f t="shared" si="20"/>
        <v>10515</v>
      </c>
      <c r="T13" s="811">
        <v>1301.71</v>
      </c>
      <c r="U13" s="811">
        <f>287.58+1194.8</f>
        <v>1482.3799999999999</v>
      </c>
      <c r="V13" s="811">
        <f>U13+T13</f>
        <v>2784.09</v>
      </c>
      <c r="W13" s="1064">
        <f t="shared" si="2"/>
        <v>1.3238659058487876</v>
      </c>
      <c r="X13" s="1066">
        <f t="shared" si="21"/>
        <v>681.09000000000015</v>
      </c>
      <c r="Y13" s="1066">
        <f>Y12+V13</f>
        <v>43297.03</v>
      </c>
      <c r="Z13" s="813">
        <v>16120</v>
      </c>
      <c r="AA13" s="813">
        <v>13772</v>
      </c>
      <c r="AB13" s="1041">
        <f t="shared" si="14"/>
        <v>29892</v>
      </c>
      <c r="AC13" s="1067">
        <f t="shared" si="4"/>
        <v>16.002853067047077</v>
      </c>
      <c r="AD13" s="1067">
        <f t="shared" si="5"/>
        <v>8.6211293456748876</v>
      </c>
      <c r="AE13" s="1064"/>
      <c r="AF13" s="1068">
        <f t="shared" si="6"/>
        <v>1.396763191451474</v>
      </c>
      <c r="AG13" s="1068">
        <f t="shared" si="7"/>
        <v>0.93986114693491529</v>
      </c>
      <c r="AH13" s="1068">
        <f t="shared" si="8"/>
        <v>1.1411687928714149</v>
      </c>
      <c r="AI13" s="814">
        <v>0</v>
      </c>
      <c r="AJ13" s="814">
        <v>0</v>
      </c>
      <c r="AK13" s="815">
        <v>877</v>
      </c>
      <c r="AL13" s="865"/>
      <c r="AM13" s="816">
        <f t="shared" si="15"/>
        <v>26194.196850393702</v>
      </c>
      <c r="AN13" s="816">
        <f t="shared" si="9"/>
        <v>11540.968503937009</v>
      </c>
      <c r="AO13" s="816">
        <f t="shared" si="10"/>
        <v>14653.228346456694</v>
      </c>
      <c r="AP13" s="808">
        <f t="shared" si="11"/>
        <v>1024.9685039370079</v>
      </c>
      <c r="AQ13" s="808">
        <f t="shared" si="11"/>
        <v>1167.2283464566929</v>
      </c>
      <c r="AR13" s="808">
        <f t="shared" si="16"/>
        <v>2192.1968503937005</v>
      </c>
      <c r="AS13" s="817" t="e">
        <f>+AR13-#REF!</f>
        <v>#REF!</v>
      </c>
      <c r="AT13" s="818">
        <f t="shared" si="12"/>
        <v>26194.196850393702</v>
      </c>
    </row>
    <row r="14" spans="1:46" s="808" customFormat="1" ht="39" customHeight="1" x14ac:dyDescent="0.55000000000000004">
      <c r="A14" s="808" t="s">
        <v>114</v>
      </c>
      <c r="B14" s="844">
        <f t="shared" si="22"/>
        <v>45388</v>
      </c>
      <c r="C14" s="899">
        <f t="shared" si="23"/>
        <v>43306</v>
      </c>
      <c r="D14" s="899">
        <v>33654</v>
      </c>
      <c r="E14" s="899">
        <f t="shared" si="18"/>
        <v>201924</v>
      </c>
      <c r="F14" s="845" t="s">
        <v>205</v>
      </c>
      <c r="G14" s="809">
        <v>5236</v>
      </c>
      <c r="H14" s="846">
        <v>6</v>
      </c>
      <c r="I14" s="1037" t="s">
        <v>112</v>
      </c>
      <c r="J14" s="809">
        <v>2420</v>
      </c>
      <c r="K14" s="1063">
        <v>3</v>
      </c>
      <c r="L14" s="1037" t="s">
        <v>112</v>
      </c>
      <c r="M14" s="812">
        <f t="shared" si="0"/>
        <v>7656</v>
      </c>
      <c r="N14" s="1064">
        <f t="shared" si="1"/>
        <v>0.22749153146728471</v>
      </c>
      <c r="O14" s="810">
        <f t="shared" si="13"/>
        <v>0.22749153146728471</v>
      </c>
      <c r="P14" s="1038">
        <f t="shared" si="24"/>
        <v>-25998</v>
      </c>
      <c r="Q14" s="1065">
        <f t="shared" si="19"/>
        <v>1421.9099999999999</v>
      </c>
      <c r="R14" s="899">
        <v>2103</v>
      </c>
      <c r="S14" s="899">
        <f t="shared" si="20"/>
        <v>12618</v>
      </c>
      <c r="T14" s="811">
        <v>639.23</v>
      </c>
      <c r="U14" s="811">
        <v>164.18</v>
      </c>
      <c r="V14" s="811">
        <f t="shared" si="17"/>
        <v>803.41000000000008</v>
      </c>
      <c r="W14" s="1064">
        <f t="shared" si="2"/>
        <v>0.38203043271516884</v>
      </c>
      <c r="X14" s="1066">
        <f t="shared" si="21"/>
        <v>-1299.5899999999999</v>
      </c>
      <c r="Y14" s="1066">
        <f>+Y13+V14</f>
        <v>44100.44</v>
      </c>
      <c r="Z14" s="813">
        <v>12595.5</v>
      </c>
      <c r="AA14" s="813">
        <v>5532</v>
      </c>
      <c r="AB14" s="1041">
        <f t="shared" si="14"/>
        <v>18127.5</v>
      </c>
      <c r="AC14" s="1067">
        <f t="shared" si="4"/>
        <v>16.002853067047077</v>
      </c>
      <c r="AD14" s="1067">
        <f t="shared" si="5"/>
        <v>9.5293810134302532</v>
      </c>
      <c r="AE14" s="1064"/>
      <c r="AF14" s="1068">
        <f t="shared" si="6"/>
        <v>2.1945938715452842</v>
      </c>
      <c r="AG14" s="1068">
        <f t="shared" si="7"/>
        <v>2.1700282309626324</v>
      </c>
      <c r="AH14" s="1068">
        <f t="shared" si="8"/>
        <v>2.1870383687691954</v>
      </c>
      <c r="AI14" s="814">
        <v>0.27777777777777779</v>
      </c>
      <c r="AJ14" s="814">
        <v>0.25</v>
      </c>
      <c r="AK14" s="815">
        <v>883</v>
      </c>
      <c r="AL14" s="865"/>
      <c r="AM14" s="816">
        <f t="shared" si="15"/>
        <v>8288.606299212599</v>
      </c>
      <c r="AN14" s="816">
        <f t="shared" si="9"/>
        <v>5739.3307086614177</v>
      </c>
      <c r="AO14" s="816">
        <f t="shared" si="10"/>
        <v>2549.2755905511813</v>
      </c>
      <c r="AP14" s="808">
        <f t="shared" si="11"/>
        <v>503.3307086614173</v>
      </c>
      <c r="AQ14" s="808">
        <f t="shared" si="11"/>
        <v>129.2755905511811</v>
      </c>
      <c r="AR14" s="808">
        <f t="shared" si="16"/>
        <v>632.6062992125984</v>
      </c>
      <c r="AS14" s="817" t="e">
        <f>+AR14-#REF!</f>
        <v>#REF!</v>
      </c>
      <c r="AT14" s="818">
        <f t="shared" si="12"/>
        <v>8288.606299212599</v>
      </c>
    </row>
    <row r="15" spans="1:46" s="808" customFormat="1" ht="39" customHeight="1" x14ac:dyDescent="0.55000000000000004">
      <c r="B15" s="844">
        <f t="shared" si="22"/>
        <v>45389</v>
      </c>
      <c r="C15" s="899">
        <f t="shared" si="23"/>
        <v>42824</v>
      </c>
      <c r="D15" s="899">
        <v>16826</v>
      </c>
      <c r="E15" s="899">
        <f t="shared" si="18"/>
        <v>218750</v>
      </c>
      <c r="F15" s="845" t="s">
        <v>205</v>
      </c>
      <c r="G15" s="809">
        <v>748</v>
      </c>
      <c r="H15" s="846">
        <v>1</v>
      </c>
      <c r="I15" s="1037" t="s">
        <v>112</v>
      </c>
      <c r="J15" s="809">
        <v>8756</v>
      </c>
      <c r="K15" s="1063">
        <v>6</v>
      </c>
      <c r="L15" s="1037" t="s">
        <v>112</v>
      </c>
      <c r="M15" s="812">
        <f t="shared" si="0"/>
        <v>9504</v>
      </c>
      <c r="N15" s="1064">
        <f t="shared" si="1"/>
        <v>0.56484012837275643</v>
      </c>
      <c r="O15" s="810">
        <f t="shared" si="13"/>
        <v>0.56484012837275643</v>
      </c>
      <c r="P15" s="1038">
        <f t="shared" si="24"/>
        <v>-7322</v>
      </c>
      <c r="Q15" s="1065">
        <f t="shared" si="19"/>
        <v>2351.59</v>
      </c>
      <c r="R15" s="899">
        <v>1052</v>
      </c>
      <c r="S15" s="899">
        <f t="shared" si="20"/>
        <v>13670</v>
      </c>
      <c r="T15" s="811">
        <v>147.44999999999999</v>
      </c>
      <c r="U15" s="811">
        <v>913.36</v>
      </c>
      <c r="V15" s="811">
        <f>+U15+T15</f>
        <v>1060.81</v>
      </c>
      <c r="W15" s="1064">
        <f t="shared" si="2"/>
        <v>1.0083745247148288</v>
      </c>
      <c r="X15" s="1066">
        <f t="shared" si="21"/>
        <v>8.8099999999999454</v>
      </c>
      <c r="Y15" s="1066">
        <f>+Y14+V15</f>
        <v>45161.25</v>
      </c>
      <c r="Z15" s="813">
        <v>4332</v>
      </c>
      <c r="AA15" s="813">
        <v>9337</v>
      </c>
      <c r="AB15" s="1041">
        <f t="shared" si="14"/>
        <v>13669</v>
      </c>
      <c r="AC15" s="1067">
        <f t="shared" si="4"/>
        <v>15.994296577946768</v>
      </c>
      <c r="AD15" s="1067">
        <f t="shared" si="5"/>
        <v>8.9591915611655253</v>
      </c>
      <c r="AE15" s="1064"/>
      <c r="AF15" s="1068">
        <f t="shared" si="6"/>
        <v>5.0132949399039557</v>
      </c>
      <c r="AG15" s="1068">
        <f t="shared" si="7"/>
        <v>0.9854165212390763</v>
      </c>
      <c r="AH15" s="1068">
        <f t="shared" si="8"/>
        <v>1.3220451926716317</v>
      </c>
      <c r="AI15" s="814">
        <v>0.19444444444444445</v>
      </c>
      <c r="AJ15" s="814">
        <v>0.18055555555555555</v>
      </c>
      <c r="AK15" s="815">
        <v>593</v>
      </c>
      <c r="AL15" s="865"/>
      <c r="AM15" s="816">
        <f t="shared" si="15"/>
        <v>10339.28346456693</v>
      </c>
      <c r="AN15" s="816">
        <f t="shared" si="9"/>
        <v>864.10236220472439</v>
      </c>
      <c r="AO15" s="816">
        <f t="shared" si="10"/>
        <v>9475.1811023622049</v>
      </c>
      <c r="AP15" s="808">
        <f t="shared" si="11"/>
        <v>116.1023622047244</v>
      </c>
      <c r="AQ15" s="808">
        <f t="shared" si="11"/>
        <v>719.18110236220468</v>
      </c>
      <c r="AR15" s="808">
        <f t="shared" si="16"/>
        <v>835.28346456692907</v>
      </c>
      <c r="AS15" s="817" t="e">
        <f>+AR15-#REF!</f>
        <v>#REF!</v>
      </c>
      <c r="AT15" s="818">
        <f t="shared" si="12"/>
        <v>10339.283464566928</v>
      </c>
    </row>
    <row r="16" spans="1:46" s="808" customFormat="1" ht="39" customHeight="1" x14ac:dyDescent="0.55000000000000004">
      <c r="B16" s="844">
        <f t="shared" si="22"/>
        <v>45390</v>
      </c>
      <c r="C16" s="899">
        <f t="shared" si="23"/>
        <v>40976</v>
      </c>
      <c r="D16" s="899">
        <v>33654</v>
      </c>
      <c r="E16" s="899">
        <f t="shared" si="18"/>
        <v>252404</v>
      </c>
      <c r="F16" s="845" t="s">
        <v>205</v>
      </c>
      <c r="G16" s="809">
        <v>4488</v>
      </c>
      <c r="H16" s="846">
        <v>4</v>
      </c>
      <c r="I16" s="1120" t="s">
        <v>112</v>
      </c>
      <c r="J16" s="809">
        <v>5170</v>
      </c>
      <c r="K16" s="1063">
        <v>4</v>
      </c>
      <c r="L16" s="1120" t="s">
        <v>112</v>
      </c>
      <c r="M16" s="812">
        <f t="shared" si="0"/>
        <v>9658</v>
      </c>
      <c r="N16" s="1064">
        <f t="shared" si="1"/>
        <v>0.28697925952338504</v>
      </c>
      <c r="O16" s="810">
        <f t="shared" si="13"/>
        <v>0.28697925952338504</v>
      </c>
      <c r="P16" s="1121">
        <f t="shared" si="24"/>
        <v>-23996</v>
      </c>
      <c r="Q16" s="1065">
        <f t="shared" si="19"/>
        <v>2094.19</v>
      </c>
      <c r="R16" s="899">
        <v>2103</v>
      </c>
      <c r="S16" s="899">
        <f t="shared" si="20"/>
        <v>15773</v>
      </c>
      <c r="T16" s="1039">
        <v>82.96</v>
      </c>
      <c r="U16" s="1039">
        <v>465.98</v>
      </c>
      <c r="V16" s="811">
        <f>+U16+T16</f>
        <v>548.94000000000005</v>
      </c>
      <c r="W16" s="1064">
        <f t="shared" si="2"/>
        <v>0.26102710413694724</v>
      </c>
      <c r="X16" s="1066">
        <f t="shared" si="21"/>
        <v>-1554.06</v>
      </c>
      <c r="Y16" s="1066">
        <f>+Y15+V16</f>
        <v>45710.19</v>
      </c>
      <c r="Z16" s="813">
        <v>12192.5</v>
      </c>
      <c r="AA16" s="813">
        <v>8306.5</v>
      </c>
      <c r="AB16" s="1041">
        <f t="shared" si="14"/>
        <v>20499</v>
      </c>
      <c r="AC16" s="1067">
        <f t="shared" si="4"/>
        <v>16.002853067047077</v>
      </c>
      <c r="AD16" s="1067">
        <f t="shared" si="5"/>
        <v>17.593908259554777</v>
      </c>
      <c r="AE16" s="1064"/>
      <c r="AF16" s="1068">
        <f t="shared" si="6"/>
        <v>2.6777148124066183</v>
      </c>
      <c r="AG16" s="1068">
        <f t="shared" si="7"/>
        <v>1.5002040706041628</v>
      </c>
      <c r="AH16" s="1068">
        <f t="shared" si="8"/>
        <v>2.0315678991150716</v>
      </c>
      <c r="AI16" s="814">
        <v>0</v>
      </c>
      <c r="AJ16" s="814">
        <v>0</v>
      </c>
      <c r="AK16" s="815">
        <v>848</v>
      </c>
      <c r="AL16" s="865"/>
      <c r="AM16" s="816">
        <f t="shared" si="15"/>
        <v>10090.236220472441</v>
      </c>
      <c r="AN16" s="816">
        <f t="shared" si="9"/>
        <v>4553.322834645669</v>
      </c>
      <c r="AO16" s="816">
        <f t="shared" si="10"/>
        <v>5536.9133858267714</v>
      </c>
      <c r="AP16" s="808">
        <f t="shared" si="11"/>
        <v>65.322834645669289</v>
      </c>
      <c r="AQ16" s="808">
        <f t="shared" si="11"/>
        <v>366.91338582677167</v>
      </c>
      <c r="AR16" s="808">
        <f t="shared" si="16"/>
        <v>432.23622047244095</v>
      </c>
      <c r="AS16" s="817" t="e">
        <f>+AR16-#REF!</f>
        <v>#REF!</v>
      </c>
      <c r="AT16" s="818">
        <f t="shared" si="12"/>
        <v>10090.236220472441</v>
      </c>
    </row>
    <row r="17" spans="1:50" s="808" customFormat="1" ht="39" customHeight="1" x14ac:dyDescent="0.55000000000000004">
      <c r="B17" s="844">
        <f t="shared" si="22"/>
        <v>45391</v>
      </c>
      <c r="C17" s="899">
        <f t="shared" si="23"/>
        <v>57650</v>
      </c>
      <c r="D17" s="899">
        <v>33654</v>
      </c>
      <c r="E17" s="899">
        <f t="shared" si="18"/>
        <v>286058</v>
      </c>
      <c r="F17" s="845" t="s">
        <v>205</v>
      </c>
      <c r="G17" s="809">
        <v>8866</v>
      </c>
      <c r="H17" s="846">
        <v>2</v>
      </c>
      <c r="I17" s="1120" t="s">
        <v>112</v>
      </c>
      <c r="J17" s="809">
        <v>5852</v>
      </c>
      <c r="K17" s="1063">
        <v>5</v>
      </c>
      <c r="L17" s="1120" t="s">
        <v>112</v>
      </c>
      <c r="M17" s="812">
        <f>+J17+G17</f>
        <v>14718</v>
      </c>
      <c r="N17" s="1064">
        <f>IFERROR(+M17/D17,"")</f>
        <v>0.43733285790693527</v>
      </c>
      <c r="O17" s="810">
        <f t="shared" si="13"/>
        <v>0.43733285790693527</v>
      </c>
      <c r="P17" s="1121">
        <f>M17-D17</f>
        <v>-18936</v>
      </c>
      <c r="Q17" s="1065">
        <f t="shared" si="19"/>
        <v>3657.06</v>
      </c>
      <c r="R17" s="899">
        <v>2103</v>
      </c>
      <c r="S17" s="899">
        <f t="shared" si="20"/>
        <v>17876</v>
      </c>
      <c r="T17" s="1039">
        <v>718.24</v>
      </c>
      <c r="U17" s="1039">
        <v>600.88</v>
      </c>
      <c r="V17" s="811">
        <f>+U17+T17</f>
        <v>1319.12</v>
      </c>
      <c r="W17" s="1064">
        <f t="shared" si="2"/>
        <v>0.62725630052306225</v>
      </c>
      <c r="X17" s="1066">
        <f t="shared" si="21"/>
        <v>-783.88000000000011</v>
      </c>
      <c r="Y17" s="1066">
        <f t="shared" ref="Y17:Y26" si="25">+Y16+V17</f>
        <v>47029.310000000005</v>
      </c>
      <c r="Z17" s="813">
        <v>11174.5</v>
      </c>
      <c r="AA17" s="813">
        <v>11180</v>
      </c>
      <c r="AB17" s="1041">
        <f t="shared" si="14"/>
        <v>22354.5</v>
      </c>
      <c r="AC17" s="1067">
        <f t="shared" si="4"/>
        <v>16.002853067047077</v>
      </c>
      <c r="AD17" s="1067">
        <f t="shared" si="5"/>
        <v>11.157438292194797</v>
      </c>
      <c r="AE17" s="1064"/>
      <c r="AF17" s="1068">
        <f t="shared" si="6"/>
        <v>1.1848007941185801</v>
      </c>
      <c r="AG17" s="1068">
        <f t="shared" si="7"/>
        <v>1.7675515254726799</v>
      </c>
      <c r="AH17" s="1068">
        <f t="shared" si="8"/>
        <v>1.4187318662054531</v>
      </c>
      <c r="AI17" s="814">
        <v>0</v>
      </c>
      <c r="AJ17" s="814">
        <v>0</v>
      </c>
      <c r="AK17" s="815">
        <v>849</v>
      </c>
      <c r="AL17" s="865"/>
      <c r="AM17" s="816">
        <f>+AN17+AO17</f>
        <v>15756.677165354331</v>
      </c>
      <c r="AN17" s="816">
        <f t="shared" si="9"/>
        <v>9431.5433070866147</v>
      </c>
      <c r="AO17" s="816">
        <f t="shared" si="10"/>
        <v>6325.1338582677163</v>
      </c>
      <c r="AP17" s="808">
        <f t="shared" si="11"/>
        <v>565.54330708661416</v>
      </c>
      <c r="AQ17" s="808">
        <f t="shared" si="11"/>
        <v>473.1338582677165</v>
      </c>
      <c r="AR17" s="808">
        <f t="shared" si="16"/>
        <v>1038.6771653543306</v>
      </c>
      <c r="AS17" s="817" t="e">
        <f>+AR17-#REF!</f>
        <v>#REF!</v>
      </c>
      <c r="AT17" s="818">
        <f t="shared" si="12"/>
        <v>15756.677165354331</v>
      </c>
    </row>
    <row r="18" spans="1:50" s="808" customFormat="1" ht="39" customHeight="1" x14ac:dyDescent="0.55000000000000004">
      <c r="B18" s="844">
        <f t="shared" si="22"/>
        <v>45392</v>
      </c>
      <c r="C18" s="899">
        <f t="shared" si="23"/>
        <v>18936</v>
      </c>
      <c r="D18" s="899">
        <v>0</v>
      </c>
      <c r="E18" s="899">
        <f t="shared" si="18"/>
        <v>286058</v>
      </c>
      <c r="F18" s="845" t="s">
        <v>205</v>
      </c>
      <c r="G18" s="809">
        <v>0</v>
      </c>
      <c r="H18" s="846">
        <v>0</v>
      </c>
      <c r="I18" s="1120" t="s">
        <v>112</v>
      </c>
      <c r="J18" s="809">
        <v>2112</v>
      </c>
      <c r="K18" s="1063">
        <v>1</v>
      </c>
      <c r="L18" s="1120" t="s">
        <v>112</v>
      </c>
      <c r="M18" s="812">
        <f t="shared" si="0"/>
        <v>2112</v>
      </c>
      <c r="N18" s="1064" t="str">
        <f t="shared" si="1"/>
        <v/>
      </c>
      <c r="O18" s="810" t="str">
        <f t="shared" si="13"/>
        <v/>
      </c>
      <c r="P18" s="1121">
        <f t="shared" si="24"/>
        <v>2112</v>
      </c>
      <c r="Q18" s="1065">
        <f t="shared" si="19"/>
        <v>2886.88</v>
      </c>
      <c r="R18" s="899">
        <v>2103</v>
      </c>
      <c r="S18" s="899">
        <f t="shared" si="20"/>
        <v>19979</v>
      </c>
      <c r="T18" s="1039">
        <v>0</v>
      </c>
      <c r="U18" s="1039">
        <v>114</v>
      </c>
      <c r="V18" s="811">
        <f t="shared" si="17"/>
        <v>114</v>
      </c>
      <c r="W18" s="1064">
        <f t="shared" si="2"/>
        <v>5.4208273894436519E-2</v>
      </c>
      <c r="X18" s="1066">
        <f t="shared" si="21"/>
        <v>-1989</v>
      </c>
      <c r="Y18" s="1066">
        <f t="shared" si="25"/>
        <v>47143.310000000005</v>
      </c>
      <c r="Z18" s="813">
        <v>0</v>
      </c>
      <c r="AA18" s="813">
        <v>2655</v>
      </c>
      <c r="AB18" s="1041">
        <f t="shared" si="14"/>
        <v>2655</v>
      </c>
      <c r="AC18" s="1067">
        <f t="shared" si="4"/>
        <v>0</v>
      </c>
      <c r="AD18" s="1067">
        <f t="shared" si="5"/>
        <v>18.526315789473685</v>
      </c>
      <c r="AE18" s="1064"/>
      <c r="AF18" s="1068" t="e">
        <f t="shared" si="6"/>
        <v>#DIV/0!</v>
      </c>
      <c r="AG18" s="1068">
        <f t="shared" si="7"/>
        <v>1.2058514290618831</v>
      </c>
      <c r="AH18" s="1068">
        <f t="shared" si="8"/>
        <v>1.2058514290618831</v>
      </c>
      <c r="AI18" s="814">
        <v>0</v>
      </c>
      <c r="AJ18" s="814">
        <v>0</v>
      </c>
      <c r="AK18" s="815">
        <v>447</v>
      </c>
      <c r="AL18" s="865"/>
      <c r="AM18" s="816">
        <f t="shared" si="15"/>
        <v>2201.7637795275591</v>
      </c>
      <c r="AN18" s="816">
        <f t="shared" si="9"/>
        <v>0</v>
      </c>
      <c r="AO18" s="816">
        <f t="shared" si="10"/>
        <v>2201.7637795275591</v>
      </c>
      <c r="AP18" s="808">
        <f t="shared" si="11"/>
        <v>0</v>
      </c>
      <c r="AQ18" s="808">
        <f t="shared" si="11"/>
        <v>89.763779527559052</v>
      </c>
      <c r="AR18" s="808">
        <f t="shared" si="16"/>
        <v>89.763779527559052</v>
      </c>
      <c r="AS18" s="817" t="e">
        <f>+AR18-#REF!</f>
        <v>#REF!</v>
      </c>
      <c r="AT18" s="818">
        <f t="shared" si="12"/>
        <v>2201.7637795275591</v>
      </c>
    </row>
    <row r="19" spans="1:50" s="808" customFormat="1" ht="39" customHeight="1" x14ac:dyDescent="0.55000000000000004">
      <c r="B19" s="844">
        <f t="shared" si="22"/>
        <v>45393</v>
      </c>
      <c r="C19" s="899">
        <f t="shared" si="23"/>
        <v>-2112</v>
      </c>
      <c r="D19" s="899">
        <v>0</v>
      </c>
      <c r="E19" s="899">
        <f t="shared" si="18"/>
        <v>286058</v>
      </c>
      <c r="F19" s="845" t="s">
        <v>205</v>
      </c>
      <c r="G19" s="809">
        <v>3014</v>
      </c>
      <c r="H19" s="846">
        <v>1</v>
      </c>
      <c r="I19" s="1120" t="s">
        <v>112</v>
      </c>
      <c r="J19" s="809">
        <v>5038</v>
      </c>
      <c r="K19" s="1063">
        <v>3</v>
      </c>
      <c r="L19" s="1120" t="s">
        <v>112</v>
      </c>
      <c r="M19" s="812">
        <f t="shared" si="0"/>
        <v>8052</v>
      </c>
      <c r="N19" s="1064" t="str">
        <f t="shared" si="1"/>
        <v/>
      </c>
      <c r="O19" s="810" t="str">
        <f t="shared" si="13"/>
        <v/>
      </c>
      <c r="P19" s="1121">
        <f t="shared" si="24"/>
        <v>8052</v>
      </c>
      <c r="Q19" s="1065">
        <f t="shared" si="19"/>
        <v>4092</v>
      </c>
      <c r="R19" s="899">
        <v>2103</v>
      </c>
      <c r="S19" s="899">
        <f t="shared" si="20"/>
        <v>22082</v>
      </c>
      <c r="T19" s="1039">
        <v>666</v>
      </c>
      <c r="U19" s="1039">
        <v>683.72</v>
      </c>
      <c r="V19" s="811">
        <f>U19+T19</f>
        <v>1349.72</v>
      </c>
      <c r="W19" s="1064">
        <f t="shared" si="2"/>
        <v>0.64180694246314784</v>
      </c>
      <c r="X19" s="1066">
        <f t="shared" si="21"/>
        <v>-753.28</v>
      </c>
      <c r="Y19" s="1066">
        <f t="shared" si="25"/>
        <v>48493.030000000006</v>
      </c>
      <c r="Z19" s="813">
        <v>3660</v>
      </c>
      <c r="AA19" s="813">
        <v>6152.5</v>
      </c>
      <c r="AB19" s="1041">
        <f t="shared" si="14"/>
        <v>9812.5</v>
      </c>
      <c r="AC19" s="1067">
        <f t="shared" si="4"/>
        <v>0</v>
      </c>
      <c r="AD19" s="1067">
        <f t="shared" si="5"/>
        <v>5.9656817710339922</v>
      </c>
      <c r="AE19" s="1064"/>
      <c r="AF19" s="1068">
        <f t="shared" si="6"/>
        <v>1.0343630529309402</v>
      </c>
      <c r="AG19" s="1068">
        <f t="shared" si="7"/>
        <v>1.1033178574353499</v>
      </c>
      <c r="AH19" s="1068">
        <f t="shared" si="8"/>
        <v>1.0765491855394376</v>
      </c>
      <c r="AI19" s="814">
        <v>0</v>
      </c>
      <c r="AJ19" s="814">
        <v>0</v>
      </c>
      <c r="AK19" s="815">
        <v>1012</v>
      </c>
      <c r="AL19" s="865"/>
      <c r="AM19" s="816">
        <f t="shared" si="15"/>
        <v>9114.7716535433065</v>
      </c>
      <c r="AN19" s="816">
        <f t="shared" si="9"/>
        <v>3538.4094488188975</v>
      </c>
      <c r="AO19" s="816">
        <f t="shared" si="10"/>
        <v>5576.3622047244098</v>
      </c>
      <c r="AP19" s="808">
        <f t="shared" si="11"/>
        <v>524.40944881889766</v>
      </c>
      <c r="AQ19" s="808">
        <f t="shared" si="11"/>
        <v>538.36220472440948</v>
      </c>
      <c r="AR19" s="808">
        <f t="shared" si="16"/>
        <v>1062.7716535433071</v>
      </c>
      <c r="AS19" s="817" t="e">
        <f>+AR19-#REF!</f>
        <v>#REF!</v>
      </c>
      <c r="AT19" s="818">
        <f t="shared" si="12"/>
        <v>9114.7716535433065</v>
      </c>
      <c r="AV19" s="808">
        <v>20.100000000000001</v>
      </c>
    </row>
    <row r="20" spans="1:50" s="808" customFormat="1" ht="39" customHeight="1" x14ac:dyDescent="0.55000000000000004">
      <c r="B20" s="844">
        <f t="shared" si="22"/>
        <v>45394</v>
      </c>
      <c r="C20" s="899">
        <f>P19+D20</f>
        <v>41706</v>
      </c>
      <c r="D20" s="899">
        <v>33654</v>
      </c>
      <c r="E20" s="899">
        <f t="shared" si="18"/>
        <v>319712</v>
      </c>
      <c r="F20" s="845" t="s">
        <v>205</v>
      </c>
      <c r="G20" s="809">
        <v>12848</v>
      </c>
      <c r="H20" s="846">
        <v>6</v>
      </c>
      <c r="I20" s="1120" t="s">
        <v>112</v>
      </c>
      <c r="J20" s="809">
        <v>10780</v>
      </c>
      <c r="K20" s="1063">
        <v>4</v>
      </c>
      <c r="L20" s="1120" t="s">
        <v>112</v>
      </c>
      <c r="M20" s="812">
        <f t="shared" si="0"/>
        <v>23628</v>
      </c>
      <c r="N20" s="1064">
        <f t="shared" si="1"/>
        <v>0.70208593332144764</v>
      </c>
      <c r="O20" s="810">
        <f t="shared" si="13"/>
        <v>0.70208593332144764</v>
      </c>
      <c r="P20" s="1121">
        <f t="shared" si="24"/>
        <v>-10026</v>
      </c>
      <c r="Q20" s="1065">
        <f t="shared" si="19"/>
        <v>2856.2799999999997</v>
      </c>
      <c r="R20" s="899">
        <v>2103</v>
      </c>
      <c r="S20" s="899">
        <f t="shared" si="20"/>
        <v>24185</v>
      </c>
      <c r="T20" s="1039">
        <v>348.84</v>
      </c>
      <c r="U20" s="1039">
        <v>423.19</v>
      </c>
      <c r="V20" s="811">
        <f t="shared" si="17"/>
        <v>772.03</v>
      </c>
      <c r="W20" s="1064">
        <f t="shared" si="2"/>
        <v>0.36710889205896335</v>
      </c>
      <c r="X20" s="1066">
        <f t="shared" si="21"/>
        <v>-1330.97</v>
      </c>
      <c r="Y20" s="1066">
        <f t="shared" si="25"/>
        <v>49265.060000000005</v>
      </c>
      <c r="Z20" s="813">
        <v>17134</v>
      </c>
      <c r="AA20" s="813">
        <v>10633.5</v>
      </c>
      <c r="AB20" s="1041">
        <f t="shared" si="14"/>
        <v>27767.5</v>
      </c>
      <c r="AC20" s="1067">
        <f t="shared" si="4"/>
        <v>16.002853067047077</v>
      </c>
      <c r="AD20" s="1067">
        <f t="shared" si="5"/>
        <v>30.605028302008989</v>
      </c>
      <c r="AE20" s="1064"/>
      <c r="AF20" s="1068">
        <f t="shared" si="6"/>
        <v>1.3056786952921551</v>
      </c>
      <c r="AG20" s="1068">
        <f t="shared" si="7"/>
        <v>0.95683335234547195</v>
      </c>
      <c r="AH20" s="1068">
        <f t="shared" si="8"/>
        <v>1.1457178279502749</v>
      </c>
      <c r="AI20" s="814">
        <v>0</v>
      </c>
      <c r="AJ20" s="814">
        <v>0</v>
      </c>
      <c r="AK20" s="815">
        <v>446</v>
      </c>
      <c r="AL20" s="865"/>
      <c r="AM20" s="816">
        <f t="shared" si="15"/>
        <v>24235.897637795279</v>
      </c>
      <c r="AN20" s="816">
        <f t="shared" si="9"/>
        <v>13122.677165354331</v>
      </c>
      <c r="AO20" s="816">
        <f t="shared" si="10"/>
        <v>11113.220472440946</v>
      </c>
      <c r="AP20" s="808">
        <f t="shared" si="11"/>
        <v>274.67716535433067</v>
      </c>
      <c r="AQ20" s="808">
        <f t="shared" si="11"/>
        <v>333.22047244094489</v>
      </c>
      <c r="AR20" s="808">
        <f t="shared" si="16"/>
        <v>607.89763779527561</v>
      </c>
      <c r="AS20" s="817" t="e">
        <f>+AR20-#REF!</f>
        <v>#REF!</v>
      </c>
      <c r="AT20" s="818">
        <f t="shared" si="12"/>
        <v>24235.897637795275</v>
      </c>
      <c r="AV20" s="808">
        <v>19.760000000000002</v>
      </c>
    </row>
    <row r="21" spans="1:50" s="808" customFormat="1" ht="39" customHeight="1" x14ac:dyDescent="0.55000000000000004">
      <c r="A21" s="808" t="s">
        <v>114</v>
      </c>
      <c r="B21" s="844">
        <f t="shared" si="22"/>
        <v>45395</v>
      </c>
      <c r="C21" s="899">
        <f t="shared" ref="C21:C26" si="26">-P20+D21</f>
        <v>43680</v>
      </c>
      <c r="D21" s="899">
        <v>33654</v>
      </c>
      <c r="E21" s="899">
        <f t="shared" si="18"/>
        <v>353366</v>
      </c>
      <c r="F21" s="845" t="s">
        <v>205</v>
      </c>
      <c r="G21" s="809">
        <v>13310</v>
      </c>
      <c r="H21" s="846">
        <v>6</v>
      </c>
      <c r="I21" s="1120" t="s">
        <v>112</v>
      </c>
      <c r="J21" s="809">
        <v>12914</v>
      </c>
      <c r="K21" s="1063">
        <v>6</v>
      </c>
      <c r="L21" s="1120" t="s">
        <v>112</v>
      </c>
      <c r="M21" s="812">
        <f t="shared" si="0"/>
        <v>26224</v>
      </c>
      <c r="N21" s="1064">
        <f t="shared" si="1"/>
        <v>0.77922386640518215</v>
      </c>
      <c r="O21" s="810">
        <f t="shared" si="13"/>
        <v>0.77922386640518215</v>
      </c>
      <c r="P21" s="1121">
        <f>M21-D21</f>
        <v>-7430</v>
      </c>
      <c r="Q21" s="1065">
        <f t="shared" si="19"/>
        <v>3433.9700000000003</v>
      </c>
      <c r="R21" s="899">
        <v>2103</v>
      </c>
      <c r="S21" s="899">
        <f t="shared" si="20"/>
        <v>26288</v>
      </c>
      <c r="T21" s="1039">
        <v>801.78</v>
      </c>
      <c r="U21" s="1039">
        <v>658.54</v>
      </c>
      <c r="V21" s="811">
        <f>U21+T21</f>
        <v>1460.32</v>
      </c>
      <c r="W21" s="1064">
        <f t="shared" si="2"/>
        <v>0.69439847836424151</v>
      </c>
      <c r="X21" s="1066">
        <f t="shared" si="21"/>
        <v>-642.68000000000006</v>
      </c>
      <c r="Y21" s="1066">
        <f t="shared" si="25"/>
        <v>50725.380000000005</v>
      </c>
      <c r="Z21" s="813">
        <v>17705</v>
      </c>
      <c r="AA21" s="813">
        <v>15890</v>
      </c>
      <c r="AB21" s="1041">
        <f t="shared" si="14"/>
        <v>33595</v>
      </c>
      <c r="AC21" s="1067">
        <f t="shared" si="4"/>
        <v>16.002853067047077</v>
      </c>
      <c r="AD21" s="1067">
        <f t="shared" si="5"/>
        <v>17.957707899638436</v>
      </c>
      <c r="AE21" s="1064"/>
      <c r="AF21" s="1068">
        <f t="shared" si="6"/>
        <v>1.2699655699817232</v>
      </c>
      <c r="AG21" s="1068">
        <f t="shared" si="7"/>
        <v>1.1829486755626835</v>
      </c>
      <c r="AH21" s="1068">
        <f t="shared" si="8"/>
        <v>1.2272657975883652</v>
      </c>
      <c r="AI21" s="814">
        <v>0</v>
      </c>
      <c r="AJ21" s="814">
        <v>0</v>
      </c>
      <c r="AK21" s="815">
        <v>20</v>
      </c>
      <c r="AL21" s="865">
        <f>49+43</f>
        <v>92</v>
      </c>
      <c r="AM21" s="816">
        <f t="shared" si="15"/>
        <v>27373.858267716536</v>
      </c>
      <c r="AN21" s="816">
        <f t="shared" si="9"/>
        <v>13941.322834645669</v>
      </c>
      <c r="AO21" s="816">
        <f t="shared" si="10"/>
        <v>13432.535433070867</v>
      </c>
      <c r="AP21" s="808">
        <f t="shared" si="11"/>
        <v>631.32283464566922</v>
      </c>
      <c r="AQ21" s="808">
        <f t="shared" si="11"/>
        <v>518.53543307086613</v>
      </c>
      <c r="AR21" s="808">
        <f t="shared" si="16"/>
        <v>1149.8582677165355</v>
      </c>
      <c r="AS21" s="817" t="e">
        <f>+AR21-#REF!</f>
        <v>#REF!</v>
      </c>
      <c r="AT21" s="818">
        <f t="shared" si="12"/>
        <v>27373.858267716536</v>
      </c>
      <c r="AV21" s="808">
        <v>20.059999999999999</v>
      </c>
    </row>
    <row r="22" spans="1:50" s="808" customFormat="1" ht="39" customHeight="1" x14ac:dyDescent="0.55000000000000004">
      <c r="B22" s="844">
        <f t="shared" si="22"/>
        <v>45396</v>
      </c>
      <c r="C22" s="899">
        <f t="shared" si="26"/>
        <v>24256</v>
      </c>
      <c r="D22" s="899">
        <v>16826</v>
      </c>
      <c r="E22" s="899">
        <f t="shared" si="18"/>
        <v>370192</v>
      </c>
      <c r="F22" s="845" t="s">
        <v>205</v>
      </c>
      <c r="G22" s="809">
        <v>12254</v>
      </c>
      <c r="H22" s="846">
        <v>6</v>
      </c>
      <c r="I22" s="1120" t="s">
        <v>112</v>
      </c>
      <c r="J22" s="809">
        <v>12452</v>
      </c>
      <c r="K22" s="1063">
        <v>6</v>
      </c>
      <c r="L22" s="1120" t="s">
        <v>112</v>
      </c>
      <c r="M22" s="812">
        <f>+J22+G22</f>
        <v>24706</v>
      </c>
      <c r="N22" s="1064">
        <f t="shared" si="1"/>
        <v>1.4683228337097349</v>
      </c>
      <c r="O22" s="810">
        <f t="shared" si="13"/>
        <v>1.4683228337097349</v>
      </c>
      <c r="P22" s="1121">
        <f t="shared" si="24"/>
        <v>7880</v>
      </c>
      <c r="Q22" s="1065">
        <f t="shared" si="19"/>
        <v>1694.18</v>
      </c>
      <c r="R22" s="899">
        <v>1051.5</v>
      </c>
      <c r="S22" s="899">
        <f t="shared" si="20"/>
        <v>27339.5</v>
      </c>
      <c r="T22" s="1039">
        <v>541.22</v>
      </c>
      <c r="U22" s="1039">
        <v>443.81</v>
      </c>
      <c r="V22" s="811">
        <f>U22+T22</f>
        <v>985.03</v>
      </c>
      <c r="W22" s="1064">
        <f t="shared" si="2"/>
        <v>0.93678554446029483</v>
      </c>
      <c r="X22" s="1066">
        <f t="shared" si="21"/>
        <v>-66.470000000000027</v>
      </c>
      <c r="Y22" s="1066">
        <f t="shared" si="25"/>
        <v>51710.41</v>
      </c>
      <c r="Z22" s="813">
        <v>16364</v>
      </c>
      <c r="AA22" s="813">
        <v>13050</v>
      </c>
      <c r="AB22" s="1041">
        <f t="shared" si="14"/>
        <v>29414</v>
      </c>
      <c r="AC22" s="1067">
        <f t="shared" si="4"/>
        <v>16.001902044698049</v>
      </c>
      <c r="AD22" s="1067">
        <f t="shared" si="5"/>
        <v>25.081469599910662</v>
      </c>
      <c r="AE22" s="1064"/>
      <c r="AF22" s="1068">
        <f t="shared" si="6"/>
        <v>1.2905202498789106</v>
      </c>
      <c r="AG22" s="1068">
        <f t="shared" si="7"/>
        <v>1.0194152363319873</v>
      </c>
      <c r="AH22" s="1068">
        <f t="shared" si="8"/>
        <v>1.1543224773767715</v>
      </c>
      <c r="AI22" s="814">
        <v>2.0833333333333332E-2</v>
      </c>
      <c r="AJ22" s="814">
        <v>4.1666666666666664E-2</v>
      </c>
      <c r="AK22" s="815">
        <v>0</v>
      </c>
      <c r="AL22" s="865">
        <f>+AL21/60</f>
        <v>1.5333333333333334</v>
      </c>
      <c r="AM22" s="816">
        <f t="shared" si="15"/>
        <v>25481.614173228347</v>
      </c>
      <c r="AN22" s="816">
        <f t="shared" si="9"/>
        <v>12680.157480314962</v>
      </c>
      <c r="AO22" s="816">
        <f t="shared" si="10"/>
        <v>12801.456692913385</v>
      </c>
      <c r="AP22" s="808">
        <f t="shared" si="11"/>
        <v>426.15748031496065</v>
      </c>
      <c r="AQ22" s="808">
        <f t="shared" si="11"/>
        <v>349.45669291338584</v>
      </c>
      <c r="AR22" s="808">
        <f t="shared" si="16"/>
        <v>775.61417322834654</v>
      </c>
      <c r="AS22" s="817" t="e">
        <f>+AR22-#REF!</f>
        <v>#REF!</v>
      </c>
      <c r="AT22" s="818">
        <f t="shared" si="12"/>
        <v>25481.614173228347</v>
      </c>
      <c r="AV22" s="808">
        <v>20.97</v>
      </c>
    </row>
    <row r="23" spans="1:50" s="808" customFormat="1" ht="39" customHeight="1" x14ac:dyDescent="0.55000000000000004">
      <c r="B23" s="844">
        <f t="shared" si="22"/>
        <v>45397</v>
      </c>
      <c r="C23" s="899">
        <f t="shared" si="26"/>
        <v>25774</v>
      </c>
      <c r="D23" s="899">
        <v>33654</v>
      </c>
      <c r="E23" s="899">
        <f t="shared" si="18"/>
        <v>403846</v>
      </c>
      <c r="F23" s="845" t="s">
        <v>205</v>
      </c>
      <c r="G23" s="809">
        <v>16258</v>
      </c>
      <c r="H23" s="846">
        <v>6</v>
      </c>
      <c r="I23" s="1120" t="s">
        <v>112</v>
      </c>
      <c r="J23" s="809">
        <v>15620</v>
      </c>
      <c r="K23" s="1063">
        <v>6</v>
      </c>
      <c r="L23" s="1120" t="s">
        <v>112</v>
      </c>
      <c r="M23" s="812">
        <f>+J23+G23</f>
        <v>31878</v>
      </c>
      <c r="N23" s="1064">
        <f t="shared" si="1"/>
        <v>0.94722766981636652</v>
      </c>
      <c r="O23" s="810">
        <f t="shared" si="13"/>
        <v>0.94722766981636652</v>
      </c>
      <c r="P23" s="1121">
        <f t="shared" si="24"/>
        <v>-1776</v>
      </c>
      <c r="Q23" s="1065">
        <f t="shared" si="19"/>
        <v>2169.4700000000003</v>
      </c>
      <c r="R23" s="899">
        <v>2103</v>
      </c>
      <c r="S23" s="899">
        <f t="shared" si="20"/>
        <v>29442.5</v>
      </c>
      <c r="T23" s="1039">
        <v>811.45</v>
      </c>
      <c r="U23" s="1039">
        <v>673.77</v>
      </c>
      <c r="V23" s="811">
        <f t="shared" si="17"/>
        <v>1485.22</v>
      </c>
      <c r="W23" s="1064">
        <f t="shared" si="2"/>
        <v>0.7062387066096053</v>
      </c>
      <c r="X23" s="1066">
        <f t="shared" si="21"/>
        <v>-617.78</v>
      </c>
      <c r="Y23" s="1066">
        <f t="shared" si="25"/>
        <v>53195.630000000005</v>
      </c>
      <c r="Z23" s="813">
        <v>17320.5</v>
      </c>
      <c r="AA23" s="813">
        <v>15097.5</v>
      </c>
      <c r="AB23" s="1041">
        <f t="shared" si="14"/>
        <v>32418</v>
      </c>
      <c r="AC23" s="1067">
        <f t="shared" si="4"/>
        <v>16.002853067047077</v>
      </c>
      <c r="AD23" s="1067">
        <f t="shared" si="5"/>
        <v>21.463486890830989</v>
      </c>
      <c r="AE23" s="1064"/>
      <c r="AF23" s="1068">
        <f t="shared" si="6"/>
        <v>1.0250674422191786</v>
      </c>
      <c r="AG23" s="1068">
        <f t="shared" si="7"/>
        <v>0.93479918502942549</v>
      </c>
      <c r="AH23" s="1068">
        <f t="shared" si="8"/>
        <v>0.98095271225257485</v>
      </c>
      <c r="AI23" s="814">
        <v>0</v>
      </c>
      <c r="AJ23" s="814">
        <v>0</v>
      </c>
      <c r="AK23" s="815">
        <v>871</v>
      </c>
      <c r="AL23" s="865">
        <f>1.34+2.05</f>
        <v>3.3899999999999997</v>
      </c>
      <c r="AM23" s="816">
        <f t="shared" si="15"/>
        <v>33047.464566929135</v>
      </c>
      <c r="AN23" s="816">
        <f t="shared" si="9"/>
        <v>16896.937007874018</v>
      </c>
      <c r="AO23" s="816">
        <f t="shared" si="10"/>
        <v>16150.527559055117</v>
      </c>
      <c r="AP23" s="808">
        <f t="shared" si="11"/>
        <v>638.93700787401576</v>
      </c>
      <c r="AQ23" s="808">
        <f t="shared" si="11"/>
        <v>530.5275590551181</v>
      </c>
      <c r="AR23" s="808">
        <f t="shared" si="16"/>
        <v>1169.464566929134</v>
      </c>
      <c r="AS23" s="817" t="e">
        <f>+AR23-#REF!</f>
        <v>#REF!</v>
      </c>
      <c r="AT23" s="818">
        <f t="shared" si="12"/>
        <v>33047.464566929135</v>
      </c>
      <c r="AV23" s="808">
        <v>19.559999999999999</v>
      </c>
    </row>
    <row r="24" spans="1:50" s="1100" customFormat="1" ht="39" customHeight="1" x14ac:dyDescent="0.55000000000000004">
      <c r="B24" s="1136">
        <f t="shared" si="22"/>
        <v>45398</v>
      </c>
      <c r="C24" s="899">
        <f t="shared" si="26"/>
        <v>35430</v>
      </c>
      <c r="D24" s="1137">
        <v>33654</v>
      </c>
      <c r="E24" s="1137">
        <f t="shared" si="18"/>
        <v>437500</v>
      </c>
      <c r="F24" s="1138" t="s">
        <v>205</v>
      </c>
      <c r="G24" s="1139">
        <v>17644</v>
      </c>
      <c r="H24" s="1140">
        <v>6</v>
      </c>
      <c r="I24" s="1120" t="s">
        <v>112</v>
      </c>
      <c r="J24" s="1141">
        <v>12672</v>
      </c>
      <c r="K24" s="1063">
        <v>6</v>
      </c>
      <c r="L24" s="1120" t="s">
        <v>112</v>
      </c>
      <c r="M24" s="1142">
        <f t="shared" si="0"/>
        <v>30316</v>
      </c>
      <c r="N24" s="1143">
        <f t="shared" si="1"/>
        <v>0.90081416770666189</v>
      </c>
      <c r="O24" s="1144">
        <f t="shared" si="13"/>
        <v>0.90081416770666189</v>
      </c>
      <c r="P24" s="1145">
        <f t="shared" si="24"/>
        <v>-3338</v>
      </c>
      <c r="Q24" s="1065">
        <f t="shared" si="19"/>
        <v>2720.7799999999997</v>
      </c>
      <c r="R24" s="1137">
        <v>2103</v>
      </c>
      <c r="S24" s="1137">
        <f t="shared" si="20"/>
        <v>31545.5</v>
      </c>
      <c r="T24" s="1146">
        <v>1053.83</v>
      </c>
      <c r="U24" s="1146">
        <v>402.15</v>
      </c>
      <c r="V24" s="1146">
        <f t="shared" si="17"/>
        <v>1455.98</v>
      </c>
      <c r="W24" s="1143">
        <f t="shared" si="2"/>
        <v>0.69233475986685689</v>
      </c>
      <c r="X24" s="1147">
        <f t="shared" si="21"/>
        <v>-647.02</v>
      </c>
      <c r="Y24" s="1066">
        <f t="shared" si="25"/>
        <v>54651.610000000008</v>
      </c>
      <c r="Z24" s="1148">
        <v>19868.5</v>
      </c>
      <c r="AA24" s="1148">
        <v>11537</v>
      </c>
      <c r="AB24" s="1149">
        <f t="shared" si="14"/>
        <v>31405.5</v>
      </c>
      <c r="AC24" s="1150">
        <f t="shared" si="4"/>
        <v>16.002853067047077</v>
      </c>
      <c r="AD24" s="1150">
        <f t="shared" si="5"/>
        <v>20.82171458399154</v>
      </c>
      <c r="AE24" s="1143"/>
      <c r="AF24" s="1151">
        <f t="shared" si="6"/>
        <v>1.0754968414493233</v>
      </c>
      <c r="AG24" s="1151">
        <f t="shared" si="7"/>
        <v>0.88823679541016731</v>
      </c>
      <c r="AH24" s="1151">
        <f t="shared" si="8"/>
        <v>0.9981901930310606</v>
      </c>
      <c r="AI24" s="1152">
        <v>0</v>
      </c>
      <c r="AJ24" s="1152">
        <v>0</v>
      </c>
      <c r="AK24" s="1097">
        <f>+'[2]Daily All PIT'!$AF$23</f>
        <v>366</v>
      </c>
      <c r="AL24" s="1098"/>
      <c r="AM24" s="1099">
        <f t="shared" si="15"/>
        <v>31462.440944881888</v>
      </c>
      <c r="AN24" s="1099">
        <f t="shared" si="9"/>
        <v>18473.787401574802</v>
      </c>
      <c r="AO24" s="1099">
        <f t="shared" si="10"/>
        <v>12988.653543307086</v>
      </c>
      <c r="AP24" s="1100">
        <f t="shared" si="11"/>
        <v>829.78740157480308</v>
      </c>
      <c r="AQ24" s="1100">
        <f t="shared" si="11"/>
        <v>316.65354330708658</v>
      </c>
      <c r="AR24" s="1100">
        <f t="shared" si="16"/>
        <v>1146.4409448818897</v>
      </c>
      <c r="AS24" s="1101" t="e">
        <f>+AR24-#REF!</f>
        <v>#REF!</v>
      </c>
      <c r="AT24" s="1102">
        <f t="shared" si="12"/>
        <v>31462.440944881891</v>
      </c>
      <c r="AV24" s="1100">
        <v>22.16</v>
      </c>
      <c r="AX24" s="1153"/>
    </row>
    <row r="25" spans="1:50" s="1100" customFormat="1" ht="39" customHeight="1" x14ac:dyDescent="0.55000000000000004">
      <c r="B25" s="1136">
        <f t="shared" si="22"/>
        <v>45399</v>
      </c>
      <c r="C25" s="899">
        <f t="shared" si="26"/>
        <v>36992</v>
      </c>
      <c r="D25" s="1137">
        <v>33654</v>
      </c>
      <c r="E25" s="1137">
        <f t="shared" si="18"/>
        <v>471154</v>
      </c>
      <c r="F25" s="1138" t="s">
        <v>205</v>
      </c>
      <c r="G25" s="1139">
        <v>3960</v>
      </c>
      <c r="H25" s="1140">
        <v>2</v>
      </c>
      <c r="I25" s="1141" t="s">
        <v>112</v>
      </c>
      <c r="J25" s="1141">
        <v>16060</v>
      </c>
      <c r="K25" s="1155">
        <v>5</v>
      </c>
      <c r="L25" s="1141" t="s">
        <v>112</v>
      </c>
      <c r="M25" s="1142">
        <f t="shared" si="0"/>
        <v>20020</v>
      </c>
      <c r="N25" s="1143">
        <f t="shared" si="1"/>
        <v>0.5948772805610032</v>
      </c>
      <c r="O25" s="1144">
        <f t="shared" si="13"/>
        <v>0.5948772805610032</v>
      </c>
      <c r="P25" s="1145">
        <f t="shared" si="24"/>
        <v>-13634</v>
      </c>
      <c r="Q25" s="1065">
        <f t="shared" si="19"/>
        <v>2750.02</v>
      </c>
      <c r="R25" s="1137">
        <v>2103</v>
      </c>
      <c r="S25" s="1137">
        <f t="shared" si="20"/>
        <v>33648.5</v>
      </c>
      <c r="T25" s="1146">
        <v>427.78</v>
      </c>
      <c r="U25" s="1146">
        <v>589.80999999999995</v>
      </c>
      <c r="V25" s="1146">
        <f t="shared" si="17"/>
        <v>1017.5899999999999</v>
      </c>
      <c r="W25" s="1143">
        <f t="shared" si="2"/>
        <v>0.48387541607227769</v>
      </c>
      <c r="X25" s="1147">
        <f t="shared" si="21"/>
        <v>-1085.4100000000001</v>
      </c>
      <c r="Y25" s="1066">
        <f t="shared" si="25"/>
        <v>55669.200000000004</v>
      </c>
      <c r="Z25" s="1148">
        <v>7216.5</v>
      </c>
      <c r="AA25" s="1148">
        <v>13375</v>
      </c>
      <c r="AB25" s="1149">
        <f t="shared" si="14"/>
        <v>20591.5</v>
      </c>
      <c r="AC25" s="1150">
        <f t="shared" si="4"/>
        <v>16.002853067047077</v>
      </c>
      <c r="AD25" s="1150">
        <f t="shared" si="5"/>
        <v>19.673935474994842</v>
      </c>
      <c r="AE25" s="1143"/>
      <c r="AF25" s="1151">
        <f t="shared" si="6"/>
        <v>1.67949213667633</v>
      </c>
      <c r="AG25" s="1151">
        <f t="shared" si="7"/>
        <v>0.80940826769833818</v>
      </c>
      <c r="AH25" s="1151">
        <f t="shared" si="8"/>
        <v>0.98896550654823834</v>
      </c>
      <c r="AI25" s="1152">
        <v>0</v>
      </c>
      <c r="AJ25" s="1152">
        <v>0</v>
      </c>
      <c r="AK25" s="1097">
        <v>900</v>
      </c>
      <c r="AL25" s="1098"/>
      <c r="AM25" s="1099">
        <f t="shared" si="15"/>
        <v>20821.251968503937</v>
      </c>
      <c r="AN25" s="1099">
        <f t="shared" si="9"/>
        <v>4296.8346456692916</v>
      </c>
      <c r="AO25" s="1099">
        <f t="shared" si="10"/>
        <v>16524.417322834644</v>
      </c>
      <c r="AP25" s="1100">
        <f t="shared" si="11"/>
        <v>336.83464566929132</v>
      </c>
      <c r="AQ25" s="1100">
        <f t="shared" si="11"/>
        <v>464.41732283464563</v>
      </c>
      <c r="AR25" s="1100">
        <f t="shared" si="16"/>
        <v>801.25196850393695</v>
      </c>
      <c r="AS25" s="1101" t="e">
        <f>+AR25-#REF!</f>
        <v>#REF!</v>
      </c>
      <c r="AT25" s="1102">
        <f t="shared" si="12"/>
        <v>20821.251968503937</v>
      </c>
      <c r="AV25" s="1100">
        <v>21.71</v>
      </c>
      <c r="AX25" s="1153"/>
    </row>
    <row r="26" spans="1:50" s="1100" customFormat="1" ht="39" customHeight="1" x14ac:dyDescent="0.55000000000000004">
      <c r="B26" s="1136">
        <f t="shared" si="22"/>
        <v>45400</v>
      </c>
      <c r="C26" s="899">
        <f t="shared" si="26"/>
        <v>47288</v>
      </c>
      <c r="D26" s="1137">
        <v>33654</v>
      </c>
      <c r="E26" s="1137">
        <f t="shared" si="18"/>
        <v>504808</v>
      </c>
      <c r="F26" s="1138" t="s">
        <v>205</v>
      </c>
      <c r="G26" s="1139">
        <v>16478</v>
      </c>
      <c r="H26" s="1140">
        <v>5</v>
      </c>
      <c r="I26" s="1141" t="s">
        <v>112</v>
      </c>
      <c r="J26" s="1141">
        <v>17028</v>
      </c>
      <c r="K26" s="1155">
        <v>5</v>
      </c>
      <c r="L26" s="1141" t="s">
        <v>112</v>
      </c>
      <c r="M26" s="1142">
        <f t="shared" si="0"/>
        <v>33506</v>
      </c>
      <c r="N26" s="1143">
        <f t="shared" si="1"/>
        <v>0.99560230581803055</v>
      </c>
      <c r="O26" s="1144">
        <f t="shared" si="13"/>
        <v>0.99560230581803055</v>
      </c>
      <c r="P26" s="1145">
        <f t="shared" si="24"/>
        <v>-148</v>
      </c>
      <c r="Q26" s="1065">
        <f t="shared" si="19"/>
        <v>3188.41</v>
      </c>
      <c r="R26" s="1137">
        <v>2103</v>
      </c>
      <c r="S26" s="1137">
        <f t="shared" si="20"/>
        <v>35751.5</v>
      </c>
      <c r="T26" s="1146">
        <v>974.03</v>
      </c>
      <c r="U26" s="1146">
        <v>703</v>
      </c>
      <c r="V26" s="1146">
        <f t="shared" si="17"/>
        <v>1677.03</v>
      </c>
      <c r="W26" s="1143">
        <f t="shared" si="2"/>
        <v>0.79744650499286729</v>
      </c>
      <c r="X26" s="1147">
        <f t="shared" si="21"/>
        <v>-425.97</v>
      </c>
      <c r="Y26" s="1066">
        <f t="shared" si="25"/>
        <v>57346.23</v>
      </c>
      <c r="Z26" s="1148">
        <v>17201</v>
      </c>
      <c r="AA26" s="1148">
        <v>14244.5</v>
      </c>
      <c r="AB26" s="1149">
        <f t="shared" si="14"/>
        <v>31445.5</v>
      </c>
      <c r="AC26" s="1150">
        <f t="shared" si="4"/>
        <v>16.002853067047077</v>
      </c>
      <c r="AD26" s="1150">
        <f t="shared" si="5"/>
        <v>19.979368287985309</v>
      </c>
      <c r="AE26" s="1143"/>
      <c r="AF26" s="1151">
        <f t="shared" si="6"/>
        <v>0.99745126840718878</v>
      </c>
      <c r="AG26" s="1151">
        <f t="shared" si="7"/>
        <v>0.81019622402877756</v>
      </c>
      <c r="AH26" s="1151">
        <f t="shared" si="8"/>
        <v>0.90291885646845493</v>
      </c>
      <c r="AI26" s="1152">
        <v>0</v>
      </c>
      <c r="AJ26" s="1152">
        <v>0</v>
      </c>
      <c r="AK26" s="1097">
        <v>275</v>
      </c>
      <c r="AL26" s="1098"/>
      <c r="AM26" s="1099">
        <f t="shared" si="15"/>
        <v>34826.496062992126</v>
      </c>
      <c r="AN26" s="1099">
        <f t="shared" si="9"/>
        <v>17244.952755905513</v>
      </c>
      <c r="AO26" s="1099">
        <f t="shared" si="10"/>
        <v>17581.543307086613</v>
      </c>
      <c r="AP26" s="1100">
        <f t="shared" si="11"/>
        <v>766.95275590551182</v>
      </c>
      <c r="AQ26" s="1100">
        <f t="shared" si="11"/>
        <v>553.54330708661416</v>
      </c>
      <c r="AR26" s="1100">
        <f t="shared" si="16"/>
        <v>1320.4960629921261</v>
      </c>
      <c r="AS26" s="1101" t="e">
        <f>+AR26-#REF!</f>
        <v>#REF!</v>
      </c>
      <c r="AT26" s="1102">
        <f t="shared" si="12"/>
        <v>34826.496062992126</v>
      </c>
      <c r="AV26" s="1100">
        <v>22.24</v>
      </c>
      <c r="AX26" s="1153"/>
    </row>
    <row r="27" spans="1:50" s="808" customFormat="1" ht="39" customHeight="1" x14ac:dyDescent="0.55000000000000004">
      <c r="A27" s="808">
        <v>0</v>
      </c>
      <c r="B27" s="844">
        <f t="shared" si="22"/>
        <v>45401</v>
      </c>
      <c r="C27" s="899"/>
      <c r="D27" s="899"/>
      <c r="E27" s="899"/>
      <c r="F27" s="845"/>
      <c r="G27" s="809"/>
      <c r="H27" s="846"/>
      <c r="I27" s="1120"/>
      <c r="J27" s="1120"/>
      <c r="K27" s="1063"/>
      <c r="L27" s="1120"/>
      <c r="M27" s="812">
        <v>30000</v>
      </c>
      <c r="N27" s="1064" t="str">
        <f t="shared" si="1"/>
        <v/>
      </c>
      <c r="O27" s="810" t="str">
        <f t="shared" si="13"/>
        <v/>
      </c>
      <c r="P27" s="1121">
        <f t="shared" si="24"/>
        <v>30000</v>
      </c>
      <c r="Q27" s="1126"/>
      <c r="R27" s="1126">
        <v>2103</v>
      </c>
      <c r="S27" s="1126">
        <f t="shared" si="20"/>
        <v>37854.5</v>
      </c>
      <c r="T27" s="811"/>
      <c r="U27" s="811"/>
      <c r="V27" s="811">
        <v>2500</v>
      </c>
      <c r="W27" s="1127">
        <f t="shared" si="2"/>
        <v>1.1887779362815025</v>
      </c>
      <c r="X27" s="1128">
        <f t="shared" si="21"/>
        <v>397</v>
      </c>
      <c r="Y27" s="1066"/>
      <c r="Z27" s="813"/>
      <c r="AA27" s="813"/>
      <c r="AB27" s="1041">
        <f t="shared" si="14"/>
        <v>0</v>
      </c>
      <c r="AC27" s="1067">
        <f t="shared" si="4"/>
        <v>0</v>
      </c>
      <c r="AD27" s="1067">
        <f t="shared" si="5"/>
        <v>12</v>
      </c>
      <c r="AE27" s="1064"/>
      <c r="AF27" s="1129" t="e">
        <f t="shared" si="6"/>
        <v>#DIV/0!</v>
      </c>
      <c r="AG27" s="1129" t="e">
        <f t="shared" si="7"/>
        <v>#DIV/0!</v>
      </c>
      <c r="AH27" s="1129">
        <f t="shared" si="8"/>
        <v>0</v>
      </c>
      <c r="AI27" s="1130"/>
      <c r="AJ27" s="1130"/>
      <c r="AK27" s="815"/>
      <c r="AL27" s="1162"/>
      <c r="AM27" s="816">
        <f t="shared" si="15"/>
        <v>0</v>
      </c>
      <c r="AN27" s="816">
        <f t="shared" si="9"/>
        <v>0</v>
      </c>
      <c r="AO27" s="816">
        <f t="shared" si="10"/>
        <v>0</v>
      </c>
      <c r="AP27" s="808">
        <f t="shared" si="11"/>
        <v>0</v>
      </c>
      <c r="AQ27" s="808">
        <f t="shared" si="11"/>
        <v>0</v>
      </c>
      <c r="AR27" s="808">
        <f t="shared" si="16"/>
        <v>0</v>
      </c>
      <c r="AS27" s="817" t="e">
        <f>+AR27-#REF!</f>
        <v>#REF!</v>
      </c>
      <c r="AT27" s="818">
        <f t="shared" si="12"/>
        <v>30000</v>
      </c>
      <c r="AV27" s="808">
        <v>21.9</v>
      </c>
      <c r="AX27" s="1195"/>
    </row>
    <row r="28" spans="1:50" s="808" customFormat="1" ht="39" customHeight="1" x14ac:dyDescent="0.55000000000000004">
      <c r="B28" s="844">
        <f t="shared" si="22"/>
        <v>45402</v>
      </c>
      <c r="C28" s="899"/>
      <c r="D28" s="899"/>
      <c r="E28" s="899"/>
      <c r="F28" s="845"/>
      <c r="G28" s="809"/>
      <c r="H28" s="846"/>
      <c r="I28" s="1120"/>
      <c r="J28" s="1120"/>
      <c r="K28" s="1063"/>
      <c r="L28" s="1120"/>
      <c r="M28" s="812">
        <v>30000</v>
      </c>
      <c r="N28" s="1064" t="str">
        <f t="shared" si="1"/>
        <v/>
      </c>
      <c r="O28" s="810" t="str">
        <f t="shared" si="13"/>
        <v/>
      </c>
      <c r="P28" s="1121">
        <f>M28-D28</f>
        <v>30000</v>
      </c>
      <c r="Q28" s="1126"/>
      <c r="R28" s="1126">
        <v>2103</v>
      </c>
      <c r="S28" s="1126">
        <f t="shared" si="20"/>
        <v>39957.5</v>
      </c>
      <c r="T28" s="811"/>
      <c r="U28" s="811"/>
      <c r="V28" s="811">
        <v>2500</v>
      </c>
      <c r="W28" s="1127">
        <f t="shared" si="2"/>
        <v>1.1887779362815025</v>
      </c>
      <c r="X28" s="1128">
        <f t="shared" si="21"/>
        <v>397</v>
      </c>
      <c r="Y28" s="1066"/>
      <c r="Z28" s="813"/>
      <c r="AA28" s="813"/>
      <c r="AB28" s="1041">
        <f t="shared" si="14"/>
        <v>0</v>
      </c>
      <c r="AC28" s="1067">
        <f t="shared" si="4"/>
        <v>0</v>
      </c>
      <c r="AD28" s="1067">
        <f t="shared" si="5"/>
        <v>12</v>
      </c>
      <c r="AE28" s="1064"/>
      <c r="AF28" s="1129" t="e">
        <f t="shared" si="6"/>
        <v>#DIV/0!</v>
      </c>
      <c r="AG28" s="1129" t="e">
        <f t="shared" si="7"/>
        <v>#DIV/0!</v>
      </c>
      <c r="AH28" s="1129">
        <f t="shared" si="8"/>
        <v>0</v>
      </c>
      <c r="AI28" s="1130"/>
      <c r="AJ28" s="1130"/>
      <c r="AK28" s="815"/>
      <c r="AL28" s="1162"/>
      <c r="AM28" s="816">
        <f t="shared" si="15"/>
        <v>0</v>
      </c>
      <c r="AN28" s="816">
        <f t="shared" si="9"/>
        <v>0</v>
      </c>
      <c r="AO28" s="816">
        <f t="shared" si="10"/>
        <v>0</v>
      </c>
      <c r="AP28" s="808">
        <f t="shared" si="11"/>
        <v>0</v>
      </c>
      <c r="AQ28" s="808">
        <f t="shared" si="11"/>
        <v>0</v>
      </c>
      <c r="AR28" s="808">
        <f t="shared" si="16"/>
        <v>0</v>
      </c>
      <c r="AS28" s="817" t="e">
        <f>+AR28-#REF!</f>
        <v>#REF!</v>
      </c>
      <c r="AT28" s="818">
        <f t="shared" si="12"/>
        <v>30000</v>
      </c>
      <c r="AV28" s="808">
        <f>34.75-13.11</f>
        <v>21.64</v>
      </c>
      <c r="AX28" s="1195"/>
    </row>
    <row r="29" spans="1:50" s="808" customFormat="1" ht="39" customHeight="1" x14ac:dyDescent="0.55000000000000004">
      <c r="B29" s="1211">
        <f t="shared" si="22"/>
        <v>45403</v>
      </c>
      <c r="C29" s="899"/>
      <c r="D29" s="899"/>
      <c r="E29" s="899"/>
      <c r="F29" s="845"/>
      <c r="G29" s="809"/>
      <c r="H29" s="846"/>
      <c r="I29" s="1120"/>
      <c r="J29" s="1120"/>
      <c r="K29" s="1063"/>
      <c r="L29" s="1120"/>
      <c r="M29" s="812">
        <v>15000</v>
      </c>
      <c r="N29" s="1064" t="str">
        <f t="shared" si="1"/>
        <v/>
      </c>
      <c r="O29" s="810" t="str">
        <f t="shared" si="13"/>
        <v/>
      </c>
      <c r="P29" s="1121">
        <f t="shared" si="24"/>
        <v>15000</v>
      </c>
      <c r="Q29" s="1126"/>
      <c r="R29" s="1126">
        <v>1051.5</v>
      </c>
      <c r="S29" s="1126">
        <f t="shared" si="20"/>
        <v>41009</v>
      </c>
      <c r="T29" s="811"/>
      <c r="U29" s="811"/>
      <c r="V29" s="811">
        <v>1200</v>
      </c>
      <c r="W29" s="1127">
        <f t="shared" si="2"/>
        <v>1.1412268188302426</v>
      </c>
      <c r="X29" s="1128">
        <f t="shared" si="21"/>
        <v>148.5</v>
      </c>
      <c r="Y29" s="1066"/>
      <c r="Z29" s="813"/>
      <c r="AA29" s="813"/>
      <c r="AB29" s="1041">
        <f t="shared" si="14"/>
        <v>0</v>
      </c>
      <c r="AC29" s="1067">
        <f t="shared" si="4"/>
        <v>0</v>
      </c>
      <c r="AD29" s="1067">
        <f t="shared" si="5"/>
        <v>12.5</v>
      </c>
      <c r="AE29" s="1064"/>
      <c r="AF29" s="1129" t="e">
        <f t="shared" si="6"/>
        <v>#DIV/0!</v>
      </c>
      <c r="AG29" s="1129" t="e">
        <f t="shared" si="7"/>
        <v>#DIV/0!</v>
      </c>
      <c r="AH29" s="1129">
        <f t="shared" si="8"/>
        <v>0</v>
      </c>
      <c r="AI29" s="1130"/>
      <c r="AJ29" s="1130"/>
      <c r="AK29" s="815"/>
      <c r="AL29" s="1162"/>
      <c r="AM29" s="816">
        <f t="shared" si="15"/>
        <v>0</v>
      </c>
      <c r="AN29" s="816">
        <f t="shared" si="9"/>
        <v>0</v>
      </c>
      <c r="AO29" s="816">
        <f t="shared" si="10"/>
        <v>0</v>
      </c>
      <c r="AP29" s="808">
        <f t="shared" si="11"/>
        <v>0</v>
      </c>
      <c r="AQ29" s="808">
        <f t="shared" si="11"/>
        <v>0</v>
      </c>
      <c r="AR29" s="808">
        <f t="shared" si="16"/>
        <v>0</v>
      </c>
      <c r="AS29" s="817" t="e">
        <f>+AR29-#REF!</f>
        <v>#REF!</v>
      </c>
      <c r="AT29" s="818">
        <f t="shared" si="12"/>
        <v>15000</v>
      </c>
      <c r="AV29" s="808">
        <v>21</v>
      </c>
      <c r="AX29" s="1195"/>
    </row>
    <row r="30" spans="1:50" s="808" customFormat="1" ht="39" customHeight="1" x14ac:dyDescent="0.55000000000000004">
      <c r="B30" s="844">
        <f t="shared" si="22"/>
        <v>45404</v>
      </c>
      <c r="C30" s="899"/>
      <c r="D30" s="899"/>
      <c r="E30" s="899"/>
      <c r="F30" s="845"/>
      <c r="G30" s="809"/>
      <c r="H30" s="846"/>
      <c r="I30" s="1120"/>
      <c r="J30" s="1120"/>
      <c r="K30" s="1063"/>
      <c r="L30" s="1120"/>
      <c r="M30" s="812">
        <v>30000</v>
      </c>
      <c r="N30" s="1064" t="str">
        <f t="shared" si="1"/>
        <v/>
      </c>
      <c r="O30" s="810" t="str">
        <f t="shared" si="13"/>
        <v/>
      </c>
      <c r="P30" s="1121">
        <f t="shared" si="24"/>
        <v>30000</v>
      </c>
      <c r="Q30" s="1126"/>
      <c r="R30" s="1126">
        <v>2103</v>
      </c>
      <c r="S30" s="1126">
        <f t="shared" si="20"/>
        <v>43112</v>
      </c>
      <c r="T30" s="811"/>
      <c r="U30" s="811"/>
      <c r="V30" s="811">
        <v>2500</v>
      </c>
      <c r="W30" s="1127">
        <f t="shared" si="2"/>
        <v>1.1887779362815025</v>
      </c>
      <c r="X30" s="1128">
        <f t="shared" si="21"/>
        <v>397</v>
      </c>
      <c r="Y30" s="1066"/>
      <c r="Z30" s="813"/>
      <c r="AA30" s="813"/>
      <c r="AB30" s="1041">
        <f t="shared" si="14"/>
        <v>0</v>
      </c>
      <c r="AC30" s="1067">
        <f t="shared" si="4"/>
        <v>0</v>
      </c>
      <c r="AD30" s="1067">
        <f t="shared" si="5"/>
        <v>12</v>
      </c>
      <c r="AE30" s="1064"/>
      <c r="AF30" s="1129" t="e">
        <f t="shared" si="6"/>
        <v>#DIV/0!</v>
      </c>
      <c r="AG30" s="1129" t="e">
        <f t="shared" si="7"/>
        <v>#DIV/0!</v>
      </c>
      <c r="AH30" s="1129">
        <f t="shared" si="8"/>
        <v>0</v>
      </c>
      <c r="AI30" s="1130"/>
      <c r="AJ30" s="1130"/>
      <c r="AK30" s="815"/>
      <c r="AL30" s="1162"/>
      <c r="AM30" s="816">
        <f t="shared" si="15"/>
        <v>0</v>
      </c>
      <c r="AN30" s="816">
        <f t="shared" si="9"/>
        <v>0</v>
      </c>
      <c r="AO30" s="816">
        <f t="shared" si="10"/>
        <v>0</v>
      </c>
      <c r="AP30" s="808">
        <f t="shared" si="11"/>
        <v>0</v>
      </c>
      <c r="AQ30" s="808">
        <f t="shared" si="11"/>
        <v>0</v>
      </c>
      <c r="AR30" s="808">
        <f t="shared" si="16"/>
        <v>0</v>
      </c>
      <c r="AS30" s="817" t="e">
        <f>+AR30-#REF!</f>
        <v>#REF!</v>
      </c>
      <c r="AT30" s="818">
        <f t="shared" si="12"/>
        <v>30000</v>
      </c>
      <c r="AV30" s="808">
        <v>19.649999999999999</v>
      </c>
      <c r="AX30" s="1195"/>
    </row>
    <row r="31" spans="1:50" s="808" customFormat="1" ht="39" customHeight="1" x14ac:dyDescent="0.55000000000000004">
      <c r="B31" s="844">
        <f t="shared" si="22"/>
        <v>45405</v>
      </c>
      <c r="C31" s="899"/>
      <c r="D31" s="899"/>
      <c r="E31" s="899"/>
      <c r="F31" s="845"/>
      <c r="G31" s="809"/>
      <c r="H31" s="846"/>
      <c r="I31" s="1120"/>
      <c r="J31" s="1120"/>
      <c r="K31" s="1063"/>
      <c r="L31" s="1120"/>
      <c r="M31" s="812">
        <v>30000</v>
      </c>
      <c r="N31" s="1064" t="str">
        <f t="shared" si="1"/>
        <v/>
      </c>
      <c r="O31" s="810" t="str">
        <f t="shared" si="13"/>
        <v/>
      </c>
      <c r="P31" s="1121">
        <f t="shared" si="24"/>
        <v>30000</v>
      </c>
      <c r="Q31" s="1126"/>
      <c r="R31" s="1126">
        <v>2103</v>
      </c>
      <c r="S31" s="1126">
        <f t="shared" si="20"/>
        <v>45215</v>
      </c>
      <c r="T31" s="811"/>
      <c r="U31" s="811"/>
      <c r="V31" s="811">
        <v>2500</v>
      </c>
      <c r="W31" s="1127">
        <f t="shared" si="2"/>
        <v>1.1887779362815025</v>
      </c>
      <c r="X31" s="1128">
        <f t="shared" si="21"/>
        <v>397</v>
      </c>
      <c r="Y31" s="1066"/>
      <c r="Z31" s="813"/>
      <c r="AA31" s="813"/>
      <c r="AB31" s="1041">
        <f t="shared" si="14"/>
        <v>0</v>
      </c>
      <c r="AC31" s="1067">
        <f t="shared" si="4"/>
        <v>0</v>
      </c>
      <c r="AD31" s="1067">
        <f t="shared" si="5"/>
        <v>12</v>
      </c>
      <c r="AE31" s="1064"/>
      <c r="AF31" s="1129" t="e">
        <f t="shared" si="6"/>
        <v>#DIV/0!</v>
      </c>
      <c r="AG31" s="1129" t="e">
        <f t="shared" si="7"/>
        <v>#DIV/0!</v>
      </c>
      <c r="AH31" s="1129">
        <f t="shared" si="8"/>
        <v>0</v>
      </c>
      <c r="AI31" s="1130"/>
      <c r="AJ31" s="1130"/>
      <c r="AK31" s="815"/>
      <c r="AL31" s="1162"/>
      <c r="AM31" s="816">
        <f t="shared" si="15"/>
        <v>0</v>
      </c>
      <c r="AN31" s="816">
        <f t="shared" si="9"/>
        <v>0</v>
      </c>
      <c r="AO31" s="816">
        <f t="shared" si="10"/>
        <v>0</v>
      </c>
      <c r="AP31" s="808">
        <f t="shared" si="11"/>
        <v>0</v>
      </c>
      <c r="AQ31" s="808">
        <f t="shared" si="11"/>
        <v>0</v>
      </c>
      <c r="AR31" s="808">
        <f t="shared" si="16"/>
        <v>0</v>
      </c>
      <c r="AS31" s="817" t="e">
        <f>+AR31-#REF!</f>
        <v>#REF!</v>
      </c>
      <c r="AT31" s="818">
        <f t="shared" si="12"/>
        <v>30000</v>
      </c>
      <c r="AV31" s="808">
        <v>20.07</v>
      </c>
      <c r="AX31" s="1195"/>
    </row>
    <row r="32" spans="1:50" s="808" customFormat="1" ht="39" customHeight="1" x14ac:dyDescent="0.55000000000000004">
      <c r="B32" s="844">
        <f t="shared" si="22"/>
        <v>45406</v>
      </c>
      <c r="C32" s="899"/>
      <c r="D32" s="899"/>
      <c r="E32" s="899"/>
      <c r="F32" s="845"/>
      <c r="G32" s="809"/>
      <c r="H32" s="846"/>
      <c r="I32" s="1120"/>
      <c r="J32" s="1120"/>
      <c r="K32" s="1063"/>
      <c r="L32" s="1120"/>
      <c r="M32" s="812">
        <v>30000</v>
      </c>
      <c r="N32" s="1064" t="str">
        <f t="shared" si="1"/>
        <v/>
      </c>
      <c r="O32" s="810" t="str">
        <f t="shared" si="13"/>
        <v/>
      </c>
      <c r="P32" s="1121">
        <f t="shared" si="24"/>
        <v>30000</v>
      </c>
      <c r="Q32" s="1126"/>
      <c r="R32" s="1126">
        <v>2103</v>
      </c>
      <c r="S32" s="1126">
        <f t="shared" si="20"/>
        <v>47318</v>
      </c>
      <c r="T32" s="811"/>
      <c r="U32" s="811"/>
      <c r="V32" s="811">
        <v>2500</v>
      </c>
      <c r="W32" s="1127">
        <f t="shared" si="2"/>
        <v>1.1887779362815025</v>
      </c>
      <c r="X32" s="1128">
        <f t="shared" si="21"/>
        <v>397</v>
      </c>
      <c r="Y32" s="1066"/>
      <c r="Z32" s="813"/>
      <c r="AA32" s="813"/>
      <c r="AB32" s="1041">
        <f t="shared" si="14"/>
        <v>0</v>
      </c>
      <c r="AC32" s="1067">
        <f t="shared" si="4"/>
        <v>0</v>
      </c>
      <c r="AD32" s="1067">
        <f t="shared" si="5"/>
        <v>12</v>
      </c>
      <c r="AE32" s="1064"/>
      <c r="AF32" s="1129" t="e">
        <f t="shared" si="6"/>
        <v>#DIV/0!</v>
      </c>
      <c r="AG32" s="1129" t="e">
        <f t="shared" si="7"/>
        <v>#DIV/0!</v>
      </c>
      <c r="AH32" s="1129">
        <f t="shared" si="8"/>
        <v>0</v>
      </c>
      <c r="AI32" s="1130"/>
      <c r="AJ32" s="1130"/>
      <c r="AK32" s="815"/>
      <c r="AL32" s="1162"/>
      <c r="AM32" s="816">
        <f t="shared" si="15"/>
        <v>0</v>
      </c>
      <c r="AN32" s="816">
        <f t="shared" si="9"/>
        <v>0</v>
      </c>
      <c r="AO32" s="816">
        <f t="shared" si="10"/>
        <v>0</v>
      </c>
      <c r="AP32" s="808">
        <f t="shared" si="11"/>
        <v>0</v>
      </c>
      <c r="AQ32" s="808">
        <f t="shared" si="11"/>
        <v>0</v>
      </c>
      <c r="AR32" s="808">
        <f t="shared" si="16"/>
        <v>0</v>
      </c>
      <c r="AS32" s="817" t="e">
        <f>+AR32-#REF!</f>
        <v>#REF!</v>
      </c>
      <c r="AT32" s="818">
        <f t="shared" si="12"/>
        <v>30000</v>
      </c>
      <c r="AV32" s="808">
        <v>20.65</v>
      </c>
      <c r="AX32" s="1195"/>
    </row>
    <row r="33" spans="2:50" s="808" customFormat="1" ht="39" customHeight="1" x14ac:dyDescent="0.55000000000000004">
      <c r="B33" s="844">
        <f t="shared" si="22"/>
        <v>45407</v>
      </c>
      <c r="C33" s="899"/>
      <c r="D33" s="899"/>
      <c r="E33" s="899"/>
      <c r="F33" s="845"/>
      <c r="G33" s="809"/>
      <c r="H33" s="846"/>
      <c r="I33" s="1120"/>
      <c r="J33" s="1120"/>
      <c r="K33" s="1063"/>
      <c r="L33" s="1120"/>
      <c r="M33" s="812">
        <v>30000</v>
      </c>
      <c r="N33" s="1064" t="str">
        <f t="shared" si="1"/>
        <v/>
      </c>
      <c r="O33" s="810" t="str">
        <f t="shared" si="13"/>
        <v/>
      </c>
      <c r="P33" s="1121">
        <f t="shared" si="24"/>
        <v>30000</v>
      </c>
      <c r="Q33" s="1126"/>
      <c r="R33" s="1126">
        <v>2103</v>
      </c>
      <c r="S33" s="1126">
        <f t="shared" si="20"/>
        <v>49421</v>
      </c>
      <c r="T33" s="811"/>
      <c r="U33" s="811"/>
      <c r="V33" s="811">
        <v>2500</v>
      </c>
      <c r="W33" s="1127">
        <f t="shared" si="2"/>
        <v>1.1887779362815025</v>
      </c>
      <c r="X33" s="1128">
        <f t="shared" si="21"/>
        <v>397</v>
      </c>
      <c r="Y33" s="1066"/>
      <c r="Z33" s="813"/>
      <c r="AA33" s="813"/>
      <c r="AB33" s="1041">
        <f t="shared" si="14"/>
        <v>0</v>
      </c>
      <c r="AC33" s="1067">
        <f t="shared" si="4"/>
        <v>0</v>
      </c>
      <c r="AD33" s="1067">
        <f t="shared" si="5"/>
        <v>12</v>
      </c>
      <c r="AE33" s="1064"/>
      <c r="AF33" s="1129" t="e">
        <f t="shared" si="6"/>
        <v>#DIV/0!</v>
      </c>
      <c r="AG33" s="1129" t="e">
        <f t="shared" si="7"/>
        <v>#DIV/0!</v>
      </c>
      <c r="AH33" s="1129">
        <f t="shared" si="8"/>
        <v>0</v>
      </c>
      <c r="AI33" s="1130"/>
      <c r="AJ33" s="1130"/>
      <c r="AK33" s="815"/>
      <c r="AL33" s="1162"/>
      <c r="AM33" s="816">
        <f t="shared" si="15"/>
        <v>0</v>
      </c>
      <c r="AN33" s="816">
        <f t="shared" si="9"/>
        <v>0</v>
      </c>
      <c r="AO33" s="816">
        <f t="shared" si="10"/>
        <v>0</v>
      </c>
      <c r="AP33" s="808">
        <f t="shared" si="11"/>
        <v>0</v>
      </c>
      <c r="AQ33" s="808">
        <f t="shared" si="11"/>
        <v>0</v>
      </c>
      <c r="AR33" s="808">
        <f t="shared" si="16"/>
        <v>0</v>
      </c>
      <c r="AS33" s="817"/>
      <c r="AT33" s="818">
        <f t="shared" si="12"/>
        <v>30000</v>
      </c>
      <c r="AX33" s="1195"/>
    </row>
    <row r="34" spans="2:50" s="808" customFormat="1" ht="39" customHeight="1" x14ac:dyDescent="0.55000000000000004">
      <c r="B34" s="844">
        <f t="shared" si="22"/>
        <v>45408</v>
      </c>
      <c r="C34" s="899"/>
      <c r="D34" s="899"/>
      <c r="E34" s="899"/>
      <c r="F34" s="845"/>
      <c r="G34" s="809"/>
      <c r="H34" s="846"/>
      <c r="I34" s="1120"/>
      <c r="J34" s="1120"/>
      <c r="K34" s="1063"/>
      <c r="L34" s="1120"/>
      <c r="M34" s="812">
        <v>30000</v>
      </c>
      <c r="N34" s="1064">
        <v>0</v>
      </c>
      <c r="O34" s="810" t="str">
        <f t="shared" si="13"/>
        <v/>
      </c>
      <c r="P34" s="1121">
        <f t="shared" si="24"/>
        <v>30000</v>
      </c>
      <c r="Q34" s="1126"/>
      <c r="R34" s="1126">
        <v>2103</v>
      </c>
      <c r="S34" s="1126">
        <f t="shared" si="20"/>
        <v>51524</v>
      </c>
      <c r="T34" s="811"/>
      <c r="U34" s="811"/>
      <c r="V34" s="811">
        <v>2500</v>
      </c>
      <c r="W34" s="1127">
        <f t="shared" si="2"/>
        <v>1.1887779362815025</v>
      </c>
      <c r="X34" s="1128">
        <f t="shared" si="21"/>
        <v>397</v>
      </c>
      <c r="Y34" s="1066"/>
      <c r="Z34" s="813"/>
      <c r="AA34" s="813"/>
      <c r="AB34" s="1041">
        <f t="shared" si="14"/>
        <v>0</v>
      </c>
      <c r="AC34" s="1067">
        <f t="shared" si="4"/>
        <v>0</v>
      </c>
      <c r="AD34" s="1067">
        <f>IFERROR(M34/V34,0)</f>
        <v>12</v>
      </c>
      <c r="AE34" s="1064"/>
      <c r="AF34" s="1129" t="e">
        <f t="shared" si="6"/>
        <v>#DIV/0!</v>
      </c>
      <c r="AG34" s="1129" t="e">
        <f t="shared" si="7"/>
        <v>#DIV/0!</v>
      </c>
      <c r="AH34" s="1129">
        <f t="shared" si="8"/>
        <v>0</v>
      </c>
      <c r="AI34" s="1130"/>
      <c r="AJ34" s="1130"/>
      <c r="AK34" s="815"/>
      <c r="AL34" s="1162"/>
      <c r="AM34" s="816">
        <f t="shared" si="15"/>
        <v>0</v>
      </c>
      <c r="AN34" s="816">
        <f t="shared" si="9"/>
        <v>0</v>
      </c>
      <c r="AO34" s="816">
        <f t="shared" si="10"/>
        <v>0</v>
      </c>
      <c r="AP34" s="808">
        <f t="shared" si="11"/>
        <v>0</v>
      </c>
      <c r="AQ34" s="808">
        <f t="shared" si="11"/>
        <v>0</v>
      </c>
      <c r="AR34" s="808">
        <f t="shared" si="16"/>
        <v>0</v>
      </c>
      <c r="AS34" s="817" t="e">
        <f>+AR34-#REF!</f>
        <v>#REF!</v>
      </c>
      <c r="AT34" s="818">
        <f t="shared" si="12"/>
        <v>30000</v>
      </c>
      <c r="AV34" s="808">
        <v>21.9</v>
      </c>
      <c r="AX34" s="1195"/>
    </row>
    <row r="35" spans="2:50" s="808" customFormat="1" ht="39" customHeight="1" x14ac:dyDescent="0.55000000000000004">
      <c r="B35" s="844">
        <f t="shared" si="22"/>
        <v>45409</v>
      </c>
      <c r="C35" s="899"/>
      <c r="D35" s="899"/>
      <c r="E35" s="899"/>
      <c r="F35" s="845"/>
      <c r="G35" s="809"/>
      <c r="H35" s="846"/>
      <c r="I35" s="1120"/>
      <c r="J35" s="1120"/>
      <c r="K35" s="1063"/>
      <c r="L35" s="1120"/>
      <c r="M35" s="812">
        <v>30000</v>
      </c>
      <c r="N35" s="1064">
        <v>0.4894474449522227</v>
      </c>
      <c r="O35" s="810" t="str">
        <f t="shared" si="13"/>
        <v/>
      </c>
      <c r="P35" s="1121">
        <f t="shared" si="24"/>
        <v>30000</v>
      </c>
      <c r="Q35" s="1126"/>
      <c r="R35" s="1126">
        <v>2103</v>
      </c>
      <c r="S35" s="1126">
        <f t="shared" si="20"/>
        <v>53627</v>
      </c>
      <c r="T35" s="811"/>
      <c r="U35" s="811"/>
      <c r="V35" s="811">
        <v>1200</v>
      </c>
      <c r="W35" s="1127">
        <f t="shared" si="2"/>
        <v>0.57061340941512129</v>
      </c>
      <c r="X35" s="1128">
        <f t="shared" si="21"/>
        <v>-903</v>
      </c>
      <c r="Y35" s="1066"/>
      <c r="Z35" s="813"/>
      <c r="AA35" s="813"/>
      <c r="AB35" s="1041">
        <f t="shared" si="14"/>
        <v>0</v>
      </c>
      <c r="AC35" s="1067">
        <v>16.003989361702128</v>
      </c>
      <c r="AD35" s="1067">
        <v>20.351368159203979</v>
      </c>
      <c r="AE35" s="1064"/>
      <c r="AF35" s="1129" t="e">
        <f t="shared" si="6"/>
        <v>#DIV/0!</v>
      </c>
      <c r="AG35" s="1129" t="e">
        <f t="shared" si="7"/>
        <v>#DIV/0!</v>
      </c>
      <c r="AH35" s="1129">
        <f t="shared" si="8"/>
        <v>0</v>
      </c>
      <c r="AI35" s="1130"/>
      <c r="AJ35" s="1130"/>
      <c r="AK35" s="815"/>
      <c r="AL35" s="1162"/>
      <c r="AM35" s="816">
        <v>24473.622047244098</v>
      </c>
      <c r="AN35" s="816">
        <v>7022.4251968503941</v>
      </c>
      <c r="AO35" s="816">
        <v>17451.196850393702</v>
      </c>
      <c r="AP35" s="808">
        <v>312.42519685039366</v>
      </c>
      <c r="AQ35" s="808">
        <v>599.19685039370074</v>
      </c>
      <c r="AR35" s="808">
        <v>911.62204724409435</v>
      </c>
      <c r="AS35" s="817" t="e">
        <v>#REF!</v>
      </c>
      <c r="AT35" s="818">
        <v>24473.622047244095</v>
      </c>
      <c r="AV35" s="808">
        <v>20.98</v>
      </c>
      <c r="AX35" s="1195"/>
    </row>
    <row r="36" spans="2:50" s="808" customFormat="1" ht="39" customHeight="1" x14ac:dyDescent="0.55000000000000004">
      <c r="B36" s="1211">
        <f t="shared" si="22"/>
        <v>45410</v>
      </c>
      <c r="C36" s="899"/>
      <c r="D36" s="899"/>
      <c r="E36" s="899"/>
      <c r="F36" s="845"/>
      <c r="G36" s="809"/>
      <c r="H36" s="846"/>
      <c r="I36" s="1120"/>
      <c r="J36" s="1120"/>
      <c r="K36" s="1063"/>
      <c r="L36" s="1120"/>
      <c r="M36" s="812">
        <v>15000</v>
      </c>
      <c r="N36" s="1064">
        <v>0.28562525965932695</v>
      </c>
      <c r="O36" s="810" t="str">
        <f t="shared" si="13"/>
        <v/>
      </c>
      <c r="P36" s="1121">
        <f t="shared" si="24"/>
        <v>15000</v>
      </c>
      <c r="Q36" s="1126"/>
      <c r="R36" s="1126">
        <v>1051.5</v>
      </c>
      <c r="S36" s="1126">
        <f t="shared" si="20"/>
        <v>54678.5</v>
      </c>
      <c r="T36" s="811"/>
      <c r="U36" s="811"/>
      <c r="V36" s="811">
        <v>1250</v>
      </c>
      <c r="W36" s="1127">
        <f t="shared" si="2"/>
        <v>1.1887779362815025</v>
      </c>
      <c r="X36" s="1128">
        <f t="shared" si="21"/>
        <v>198.5</v>
      </c>
      <c r="Y36" s="1066"/>
      <c r="Z36" s="813"/>
      <c r="AA36" s="813"/>
      <c r="AB36" s="1041">
        <f t="shared" si="14"/>
        <v>0</v>
      </c>
      <c r="AC36" s="1067">
        <v>16.003989361702128</v>
      </c>
      <c r="AD36" s="1067">
        <v>11.226047696415014</v>
      </c>
      <c r="AE36" s="1064"/>
      <c r="AF36" s="1129" t="e">
        <f t="shared" si="6"/>
        <v>#DIV/0!</v>
      </c>
      <c r="AG36" s="1129" t="e">
        <f t="shared" si="7"/>
        <v>#DIV/0!</v>
      </c>
      <c r="AH36" s="1129">
        <f t="shared" si="8"/>
        <v>0</v>
      </c>
      <c r="AI36" s="1130"/>
      <c r="AJ36" s="1130"/>
      <c r="AK36" s="815"/>
      <c r="AL36" s="1162"/>
      <c r="AM36" s="816">
        <v>14714.433070866142</v>
      </c>
      <c r="AN36" s="816">
        <v>5716.0787401574798</v>
      </c>
      <c r="AO36" s="816">
        <v>8998.354330708662</v>
      </c>
      <c r="AP36" s="808">
        <v>546.0787401574803</v>
      </c>
      <c r="AQ36" s="808">
        <v>418.35433070866139</v>
      </c>
      <c r="AR36" s="808">
        <v>964.43307086614163</v>
      </c>
      <c r="AS36" s="817" t="e">
        <v>#REF!</v>
      </c>
      <c r="AT36" s="818">
        <v>14714.433070866142</v>
      </c>
      <c r="AV36" s="808">
        <v>21.08</v>
      </c>
      <c r="AX36" s="1195"/>
    </row>
    <row r="37" spans="2:50" s="808" customFormat="1" ht="39" customHeight="1" x14ac:dyDescent="0.55000000000000004">
      <c r="B37" s="844">
        <f t="shared" si="22"/>
        <v>45411</v>
      </c>
      <c r="C37" s="899"/>
      <c r="D37" s="899"/>
      <c r="E37" s="899"/>
      <c r="F37" s="845"/>
      <c r="G37" s="809"/>
      <c r="H37" s="846"/>
      <c r="I37" s="1120"/>
      <c r="J37" s="1120"/>
      <c r="K37" s="1063"/>
      <c r="L37" s="1120"/>
      <c r="M37" s="812">
        <v>30000</v>
      </c>
      <c r="N37" s="1064"/>
      <c r="O37" s="810" t="str">
        <f t="shared" si="13"/>
        <v/>
      </c>
      <c r="P37" s="1121">
        <f t="shared" si="24"/>
        <v>30000</v>
      </c>
      <c r="Q37" s="1126"/>
      <c r="R37" s="1126">
        <v>2103</v>
      </c>
      <c r="S37" s="1126">
        <f t="shared" si="20"/>
        <v>56781.5</v>
      </c>
      <c r="T37" s="811"/>
      <c r="U37" s="811"/>
      <c r="V37" s="811">
        <v>2500</v>
      </c>
      <c r="W37" s="1127">
        <f t="shared" si="2"/>
        <v>1.1887779362815025</v>
      </c>
      <c r="X37" s="1128">
        <f t="shared" si="21"/>
        <v>397</v>
      </c>
      <c r="Y37" s="1066"/>
      <c r="Z37" s="813"/>
      <c r="AA37" s="813"/>
      <c r="AB37" s="1041">
        <f t="shared" si="14"/>
        <v>0</v>
      </c>
      <c r="AC37" s="1067">
        <v>16.003989361702128</v>
      </c>
      <c r="AD37" s="1067">
        <v>23.280194329435602</v>
      </c>
      <c r="AE37" s="1064"/>
      <c r="AF37" s="1129" t="e">
        <f t="shared" si="6"/>
        <v>#DIV/0!</v>
      </c>
      <c r="AG37" s="1129" t="e">
        <f t="shared" si="7"/>
        <v>#DIV/0!</v>
      </c>
      <c r="AH37" s="1129">
        <f t="shared" si="8"/>
        <v>0</v>
      </c>
      <c r="AI37" s="1130"/>
      <c r="AJ37" s="1130"/>
      <c r="AK37" s="815"/>
      <c r="AL37" s="1162"/>
      <c r="AM37" s="816">
        <v>24472.653543307089</v>
      </c>
      <c r="AN37" s="816">
        <v>12843.165354330709</v>
      </c>
      <c r="AO37" s="816">
        <v>11629.488188976378</v>
      </c>
      <c r="AP37" s="808">
        <v>369.16535433070862</v>
      </c>
      <c r="AQ37" s="808">
        <v>431.48818897637796</v>
      </c>
      <c r="AR37" s="808">
        <v>800.65354330708658</v>
      </c>
      <c r="AS37" s="817"/>
      <c r="AT37" s="818">
        <v>24472.653543307086</v>
      </c>
      <c r="AX37" s="1195"/>
    </row>
    <row r="38" spans="2:50" s="808" customFormat="1" ht="39" customHeight="1" thickBot="1" x14ac:dyDescent="0.6">
      <c r="B38" s="1196">
        <f t="shared" si="22"/>
        <v>45412</v>
      </c>
      <c r="C38" s="1197"/>
      <c r="D38" s="1197"/>
      <c r="E38" s="1197"/>
      <c r="F38" s="1198"/>
      <c r="G38" s="1199"/>
      <c r="H38" s="1200"/>
      <c r="I38" s="1201"/>
      <c r="J38" s="1201"/>
      <c r="K38" s="1202"/>
      <c r="L38" s="1201"/>
      <c r="M38" s="812">
        <v>30000</v>
      </c>
      <c r="N38" s="1203"/>
      <c r="O38" s="1204"/>
      <c r="P38" s="1205">
        <f t="shared" si="24"/>
        <v>30000</v>
      </c>
      <c r="Q38" s="1131"/>
      <c r="R38" s="1131">
        <v>2103</v>
      </c>
      <c r="S38" s="1131">
        <f t="shared" si="20"/>
        <v>58884.5</v>
      </c>
      <c r="T38" s="1206"/>
      <c r="U38" s="1206"/>
      <c r="V38" s="811">
        <v>2500</v>
      </c>
      <c r="W38" s="1132">
        <f t="shared" si="2"/>
        <v>1.1887779362815025</v>
      </c>
      <c r="X38" s="1133">
        <f t="shared" si="21"/>
        <v>397</v>
      </c>
      <c r="Y38" s="1207"/>
      <c r="Z38" s="1208"/>
      <c r="AA38" s="1208"/>
      <c r="AB38" s="1209">
        <f t="shared" si="14"/>
        <v>0</v>
      </c>
      <c r="AC38" s="1210">
        <f t="shared" si="4"/>
        <v>0</v>
      </c>
      <c r="AD38" s="1210">
        <f>+IFERROR(M38/V38,0)</f>
        <v>12</v>
      </c>
      <c r="AE38" s="1203"/>
      <c r="AF38" s="1134" t="e">
        <f t="shared" si="6"/>
        <v>#DIV/0!</v>
      </c>
      <c r="AG38" s="1134" t="e">
        <f t="shared" si="7"/>
        <v>#DIV/0!</v>
      </c>
      <c r="AH38" s="1134">
        <f t="shared" si="8"/>
        <v>0</v>
      </c>
      <c r="AI38" s="1135"/>
      <c r="AJ38" s="1135"/>
      <c r="AK38" s="815"/>
      <c r="AL38" s="1162"/>
      <c r="AM38" s="816"/>
      <c r="AN38" s="816"/>
      <c r="AO38" s="816"/>
      <c r="AS38" s="817"/>
      <c r="AT38" s="818"/>
      <c r="AX38" s="1195"/>
    </row>
    <row r="39" spans="2:50" s="808" customFormat="1" ht="57.75" customHeight="1" thickBot="1" x14ac:dyDescent="0.6">
      <c r="B39" s="866"/>
      <c r="C39" s="867"/>
      <c r="D39" s="867">
        <f>SUM(D9:D38)</f>
        <v>504808</v>
      </c>
      <c r="E39" s="867"/>
      <c r="F39" s="867"/>
      <c r="G39" s="867">
        <f>SUM(G9:G38)</f>
        <v>176110</v>
      </c>
      <c r="H39" s="868">
        <f>AVERAGE(H9:H38)</f>
        <v>4.166666666666667</v>
      </c>
      <c r="I39" s="867" t="s">
        <v>112</v>
      </c>
      <c r="J39" s="867">
        <f>SUM(J9:J38)</f>
        <v>196438</v>
      </c>
      <c r="K39" s="868">
        <f>AVERAGE(K9:K38)</f>
        <v>4.9444444444444446</v>
      </c>
      <c r="L39" s="869" t="s">
        <v>112</v>
      </c>
      <c r="M39" s="1212">
        <f>SUM(M9:M38)</f>
        <v>702548</v>
      </c>
      <c r="N39" s="870">
        <f>IFERROR(+M39/D39,"")</f>
        <v>1.3917132850509502</v>
      </c>
      <c r="O39" s="840">
        <f t="shared" si="13"/>
        <v>1.3917132850509502</v>
      </c>
      <c r="P39" s="871">
        <f>SUM(P9:P15)</f>
        <v>-108670</v>
      </c>
      <c r="Q39" s="867"/>
      <c r="R39" s="867">
        <f>SUM(R9:R38)</f>
        <v>58884.5</v>
      </c>
      <c r="S39" s="841"/>
      <c r="T39" s="841">
        <f>SUM(T9:T38)</f>
        <v>11110.770000000002</v>
      </c>
      <c r="U39" s="841">
        <f>SUM(U9:U38)</f>
        <v>11914.230000000001</v>
      </c>
      <c r="V39" s="1213">
        <f>SUM(V9:V38)</f>
        <v>49175</v>
      </c>
      <c r="W39" s="870">
        <f>IFERROR(+V39/R39,"")</f>
        <v>0.83510940909747045</v>
      </c>
      <c r="X39" s="872">
        <f>SUM(X9:X15)</f>
        <v>-4567.4599999999991</v>
      </c>
      <c r="Y39" s="872"/>
      <c r="Z39" s="867">
        <f>SUM(Z9:Z38)</f>
        <v>248077.5</v>
      </c>
      <c r="AA39" s="867">
        <f>SUM(AA9:AA38)</f>
        <v>212019</v>
      </c>
      <c r="AB39" s="867">
        <f>SUM(AB9:AB38)</f>
        <v>460096.5</v>
      </c>
      <c r="AC39" s="872">
        <f t="shared" si="4"/>
        <v>8.5728502407254883</v>
      </c>
      <c r="AD39" s="1214">
        <f>+IFERROR(M39/V39,"")</f>
        <v>14.286690391459075</v>
      </c>
      <c r="AE39" s="873"/>
      <c r="AF39" s="842">
        <f t="shared" si="6"/>
        <v>1.3419848969932207</v>
      </c>
      <c r="AG39" s="842">
        <f>+AA39/(J39+(U39/1.27))</f>
        <v>1.0301221364250857</v>
      </c>
      <c r="AH39" s="872">
        <f>+AB39/(M39+(V39/1.27))</f>
        <v>0.62068807335746334</v>
      </c>
      <c r="AI39" s="874">
        <f>SUM(AI9:AI38)</f>
        <v>0.5625</v>
      </c>
      <c r="AJ39" s="874">
        <f>SUM(AJ9:AJ38)</f>
        <v>0.52916666666666667</v>
      </c>
      <c r="AK39" s="875">
        <f>SUM(AK9:AK37)</f>
        <v>10816</v>
      </c>
      <c r="AL39" s="1162">
        <v>15</v>
      </c>
      <c r="AM39" s="834">
        <f>SUM(AM9:AM37)</f>
        <v>454338.62992125988</v>
      </c>
      <c r="AN39" s="834">
        <f>SUM(AN9:AN37)</f>
        <v>210440.30708661416</v>
      </c>
      <c r="AO39" s="834">
        <f>SUM(AO9:AO37)</f>
        <v>243898.32283464563</v>
      </c>
      <c r="AP39" s="808">
        <f>+T39/1.27</f>
        <v>8748.637795275592</v>
      </c>
      <c r="AQ39" s="808">
        <f>+U39/1.27</f>
        <v>9381.28346456693</v>
      </c>
      <c r="AR39" s="808">
        <f>+AQ39+AP39</f>
        <v>18129.921259842522</v>
      </c>
      <c r="AS39" s="817" t="e">
        <f>+AR39-#REF!</f>
        <v>#REF!</v>
      </c>
      <c r="AT39" s="818">
        <f>+AR39+M39</f>
        <v>720677.92125984258</v>
      </c>
      <c r="AV39" s="808">
        <v>19.71</v>
      </c>
    </row>
    <row r="40" spans="2:50" s="804" customFormat="1" ht="39" customHeight="1" thickTop="1" x14ac:dyDescent="0.55000000000000004">
      <c r="C40" s="1160"/>
      <c r="D40" s="1160"/>
      <c r="E40" s="1160"/>
      <c r="F40" s="1160"/>
      <c r="J40" s="1160"/>
      <c r="K40" s="1160"/>
      <c r="L40" s="1160"/>
      <c r="M40" s="1162"/>
      <c r="O40" s="819"/>
      <c r="Q40" s="1157"/>
      <c r="R40" s="1157"/>
      <c r="S40" s="1157"/>
      <c r="T40" s="1160"/>
      <c r="U40" s="1160"/>
      <c r="V40" s="865"/>
      <c r="X40" s="1156"/>
      <c r="Y40" s="1156"/>
      <c r="Z40" s="1156"/>
      <c r="AA40" s="1156"/>
      <c r="AB40" s="900" t="b">
        <f>+AB39/(M39+(V39/1.27))=AH39</f>
        <v>1</v>
      </c>
      <c r="AH40" s="1160"/>
      <c r="AK40" s="1157"/>
      <c r="AL40" s="1157"/>
      <c r="AV40" s="804">
        <v>20.07</v>
      </c>
    </row>
    <row r="41" spans="2:50" s="804" customFormat="1" ht="39" customHeight="1" x14ac:dyDescent="0.55000000000000004">
      <c r="D41" s="1590" t="s">
        <v>27</v>
      </c>
      <c r="E41" s="1590"/>
      <c r="F41" s="1590"/>
      <c r="G41" s="1606">
        <f>M39</f>
        <v>702548</v>
      </c>
      <c r="H41" s="1607"/>
      <c r="I41" s="930"/>
      <c r="J41" s="1590" t="s">
        <v>24</v>
      </c>
      <c r="K41" s="1590"/>
      <c r="L41" s="1590"/>
      <c r="M41" s="1590"/>
      <c r="N41" s="1172">
        <f>+G39</f>
        <v>176110</v>
      </c>
      <c r="O41" s="1587">
        <f>+G39</f>
        <v>176110</v>
      </c>
      <c r="P41" s="1587"/>
      <c r="Q41" s="1069"/>
      <c r="R41" s="1588" t="s">
        <v>7</v>
      </c>
      <c r="S41" s="1589"/>
      <c r="T41" s="837">
        <f>+AI39</f>
        <v>0.5625</v>
      </c>
      <c r="U41" s="877" t="s">
        <v>31</v>
      </c>
      <c r="V41" s="878" t="s">
        <v>32</v>
      </c>
      <c r="W41" s="1156"/>
      <c r="AB41" s="901" t="s">
        <v>103</v>
      </c>
      <c r="AC41" s="1157"/>
      <c r="AF41" s="902"/>
      <c r="AG41" s="902"/>
      <c r="AV41" s="804">
        <v>20.170000000000002</v>
      </c>
    </row>
    <row r="42" spans="2:50" s="804" customFormat="1" ht="39" customHeight="1" x14ac:dyDescent="0.55000000000000004">
      <c r="D42" s="1590" t="s">
        <v>28</v>
      </c>
      <c r="E42" s="1590"/>
      <c r="F42" s="1590"/>
      <c r="G42" s="1579">
        <f>V39</f>
        <v>49175</v>
      </c>
      <c r="H42" s="1592"/>
      <c r="I42" s="1161"/>
      <c r="J42" s="1590" t="s">
        <v>25</v>
      </c>
      <c r="K42" s="1590"/>
      <c r="L42" s="1590"/>
      <c r="M42" s="1590"/>
      <c r="N42" s="1172">
        <f>+J39</f>
        <v>196438</v>
      </c>
      <c r="O42" s="1587">
        <f>+J39</f>
        <v>196438</v>
      </c>
      <c r="P42" s="1587"/>
      <c r="Q42" s="1069"/>
      <c r="R42" s="1588" t="s">
        <v>8</v>
      </c>
      <c r="S42" s="1589"/>
      <c r="T42" s="837">
        <f>+AJ39</f>
        <v>0.52916666666666667</v>
      </c>
      <c r="U42" s="1169" t="s">
        <v>48</v>
      </c>
      <c r="V42" s="847">
        <f>SUM(D9:D38)</f>
        <v>504808</v>
      </c>
      <c r="W42" s="879">
        <f>IFERROR(+G41/V42,0)</f>
        <v>1.3917132850509502</v>
      </c>
      <c r="X42" s="880"/>
      <c r="Y42" s="880"/>
      <c r="Z42" s="880"/>
      <c r="AA42" s="880"/>
      <c r="AB42" s="881" t="s">
        <v>104</v>
      </c>
      <c r="AC42" s="1592" t="s">
        <v>14</v>
      </c>
      <c r="AD42" s="1593"/>
      <c r="AE42" s="1592" t="s">
        <v>17</v>
      </c>
      <c r="AF42" s="1656"/>
      <c r="AG42" s="1656"/>
      <c r="AH42" s="1593"/>
      <c r="AI42" s="1168" t="s">
        <v>105</v>
      </c>
      <c r="AJ42" s="1168" t="s">
        <v>106</v>
      </c>
      <c r="AM42" s="1185" t="s">
        <v>109</v>
      </c>
      <c r="AN42" s="1185" t="s">
        <v>110</v>
      </c>
      <c r="AV42" s="804">
        <v>19.059999999999999</v>
      </c>
    </row>
    <row r="43" spans="2:50" s="804" customFormat="1" ht="39" customHeight="1" x14ac:dyDescent="0.55000000000000004">
      <c r="D43" s="1590" t="s">
        <v>46</v>
      </c>
      <c r="E43" s="1590"/>
      <c r="F43" s="1590"/>
      <c r="G43" s="1579">
        <f>AH26</f>
        <v>0.90291885646845493</v>
      </c>
      <c r="H43" s="1592"/>
      <c r="I43" s="1161"/>
      <c r="J43" s="1590" t="s">
        <v>26</v>
      </c>
      <c r="K43" s="1590"/>
      <c r="L43" s="1590"/>
      <c r="M43" s="1590"/>
      <c r="N43" s="1172">
        <f>+T39</f>
        <v>11110.770000000002</v>
      </c>
      <c r="O43" s="1587">
        <f>+T39</f>
        <v>11110.770000000002</v>
      </c>
      <c r="P43" s="1587"/>
      <c r="Q43" s="926"/>
      <c r="R43" s="926"/>
      <c r="S43" s="927"/>
      <c r="T43" s="950"/>
      <c r="U43" s="1163" t="s">
        <v>49</v>
      </c>
      <c r="V43" s="847">
        <f>SUM((R9:R38))</f>
        <v>58884.5</v>
      </c>
      <c r="W43" s="879">
        <f>IFERROR(+G42/V43,0)</f>
        <v>0.83510940909747045</v>
      </c>
      <c r="X43" s="902"/>
      <c r="Y43" s="902"/>
      <c r="Z43" s="902"/>
      <c r="AA43" s="902"/>
      <c r="AB43" s="881" t="s">
        <v>107</v>
      </c>
      <c r="AC43" s="1594">
        <f>SUM(D9:D38)</f>
        <v>504808</v>
      </c>
      <c r="AD43" s="1595"/>
      <c r="AE43" s="1592">
        <f>+G41</f>
        <v>702548</v>
      </c>
      <c r="AF43" s="1656"/>
      <c r="AG43" s="1656"/>
      <c r="AH43" s="1593"/>
      <c r="AI43" s="903">
        <f>+IFERROR(AE43/AC43,0)</f>
        <v>1.3917132850509502</v>
      </c>
      <c r="AJ43" s="1171">
        <f>+IFERROR(AE43-AC43,0)</f>
        <v>197740</v>
      </c>
      <c r="AM43" s="950">
        <v>27.5</v>
      </c>
      <c r="AN43" s="882">
        <f>AM43-11</f>
        <v>16.5</v>
      </c>
      <c r="AP43" s="804">
        <f>285340+270534</f>
        <v>555874</v>
      </c>
      <c r="AV43" s="804">
        <v>19.28</v>
      </c>
    </row>
    <row r="44" spans="2:50" s="804" customFormat="1" ht="39" customHeight="1" x14ac:dyDescent="0.55000000000000004">
      <c r="D44" s="1590" t="s">
        <v>47</v>
      </c>
      <c r="E44" s="1590"/>
      <c r="F44" s="1590"/>
      <c r="G44" s="1579">
        <f>AH39</f>
        <v>0.62068807335746334</v>
      </c>
      <c r="H44" s="1592"/>
      <c r="I44" s="1161"/>
      <c r="J44" s="1590" t="s">
        <v>23</v>
      </c>
      <c r="K44" s="1590"/>
      <c r="L44" s="1590"/>
      <c r="M44" s="1590"/>
      <c r="N44" s="1172">
        <f>+U39</f>
        <v>11914.230000000001</v>
      </c>
      <c r="O44" s="1587">
        <f>+U39</f>
        <v>11914.230000000001</v>
      </c>
      <c r="P44" s="1587"/>
      <c r="Q44" s="926"/>
      <c r="R44" s="926"/>
      <c r="S44" s="927"/>
      <c r="T44" s="950"/>
      <c r="U44" s="1163" t="s">
        <v>5</v>
      </c>
      <c r="V44" s="820">
        <f>+AC39</f>
        <v>8.5728502407254883</v>
      </c>
      <c r="W44" s="879">
        <f>IFERROR(+G46/V44,0)</f>
        <v>1.6665041369310152</v>
      </c>
      <c r="X44" s="902"/>
      <c r="Y44" s="902"/>
      <c r="Z44" s="902"/>
      <c r="AA44" s="902"/>
      <c r="AB44" s="881" t="s">
        <v>108</v>
      </c>
      <c r="AC44" s="1594">
        <f>SUM(R9:R38)</f>
        <v>58884.5</v>
      </c>
      <c r="AD44" s="1595"/>
      <c r="AE44" s="1592">
        <f>+G42</f>
        <v>49175</v>
      </c>
      <c r="AF44" s="1656"/>
      <c r="AG44" s="1656"/>
      <c r="AH44" s="1593"/>
      <c r="AI44" s="903">
        <f>+IFERROR(AE44/AC44,0)</f>
        <v>0.83510940909747045</v>
      </c>
      <c r="AJ44" s="1171">
        <f>+IFERROR(AE44-AC44,0)</f>
        <v>-9709.5</v>
      </c>
      <c r="AM44" s="863" t="s">
        <v>111</v>
      </c>
      <c r="AP44" s="804">
        <f>8671.4+17238.09</f>
        <v>25909.489999999998</v>
      </c>
      <c r="AV44" s="804">
        <v>20.190000000000001</v>
      </c>
    </row>
    <row r="45" spans="2:50" s="804" customFormat="1" ht="39" customHeight="1" x14ac:dyDescent="0.55000000000000004">
      <c r="D45" s="1590" t="s">
        <v>30</v>
      </c>
      <c r="E45" s="1590"/>
      <c r="F45" s="1590"/>
      <c r="G45" s="1579">
        <f>+AD26</f>
        <v>19.979368287985309</v>
      </c>
      <c r="H45" s="1592"/>
      <c r="I45" s="1161"/>
      <c r="J45" s="1603"/>
      <c r="K45" s="1604"/>
      <c r="L45" s="1604"/>
      <c r="M45" s="1605"/>
      <c r="N45" s="1172"/>
      <c r="O45" s="1591"/>
      <c r="P45" s="1591"/>
      <c r="Q45" s="926"/>
      <c r="R45" s="926"/>
      <c r="S45" s="927"/>
      <c r="T45" s="950"/>
      <c r="U45" s="1163" t="s">
        <v>6</v>
      </c>
      <c r="V45" s="838">
        <v>1</v>
      </c>
      <c r="W45" s="879">
        <f>IFERROR(+G44/V45,0)</f>
        <v>0.62068807335746334</v>
      </c>
      <c r="AB45" s="881" t="s">
        <v>5</v>
      </c>
      <c r="AC45" s="1594">
        <f>+IFERROR(AC43/AC44,0)</f>
        <v>8.5728502407254883</v>
      </c>
      <c r="AD45" s="1595"/>
      <c r="AE45" s="1594">
        <f>+IFERROR(AE43/AE44,0)</f>
        <v>14.286690391459075</v>
      </c>
      <c r="AF45" s="1664"/>
      <c r="AG45" s="1664"/>
      <c r="AH45" s="1595"/>
      <c r="AI45" s="904"/>
      <c r="AJ45" s="1168">
        <f>+IFERROR(AE45-AC45,0)</f>
        <v>5.7138401507335868</v>
      </c>
      <c r="AM45" s="950" t="s">
        <v>107</v>
      </c>
      <c r="AN45" s="1168">
        <f>IFERROR((D39-AE43)/AN43,"")</f>
        <v>-11984.242424242424</v>
      </c>
      <c r="AP45" s="804">
        <f>+AP43/AP44</f>
        <v>21.45445549101893</v>
      </c>
      <c r="AV45" s="804">
        <v>20.61</v>
      </c>
    </row>
    <row r="46" spans="2:50" s="804" customFormat="1" ht="42.75" customHeight="1" x14ac:dyDescent="0.55000000000000004">
      <c r="D46" s="1657" t="s">
        <v>29</v>
      </c>
      <c r="E46" s="1657"/>
      <c r="F46" s="1657"/>
      <c r="G46" s="1579">
        <f>+AD39</f>
        <v>14.286690391459075</v>
      </c>
      <c r="H46" s="1592"/>
      <c r="I46" s="1161"/>
      <c r="J46" s="1594"/>
      <c r="K46" s="1664"/>
      <c r="L46" s="1664"/>
      <c r="M46" s="1595"/>
      <c r="N46" s="1172"/>
      <c r="O46" s="1591"/>
      <c r="P46" s="1591"/>
      <c r="Q46" s="928"/>
      <c r="R46" s="928"/>
      <c r="S46" s="929"/>
      <c r="T46" s="950"/>
      <c r="U46" s="1160"/>
      <c r="V46" s="865"/>
      <c r="AB46" s="905" t="s">
        <v>6</v>
      </c>
      <c r="AC46" s="1665">
        <v>1</v>
      </c>
      <c r="AD46" s="1666"/>
      <c r="AE46" s="1165"/>
      <c r="AF46" s="1657">
        <f>G44</f>
        <v>0.62068807335746334</v>
      </c>
      <c r="AG46" s="1657"/>
      <c r="AH46" s="1657"/>
      <c r="AI46" s="950"/>
      <c r="AJ46" s="1168">
        <f>+IFERROR(AF46-AC46,0)</f>
        <v>-0.37931192664253666</v>
      </c>
      <c r="AM46" s="950" t="s">
        <v>108</v>
      </c>
      <c r="AN46" s="1168">
        <f>IFERROR((R39-AE44)/AN43,"")</f>
        <v>588.4545454545455</v>
      </c>
      <c r="AP46" s="804">
        <f>285340/8671.4</f>
        <v>32.905874483935698</v>
      </c>
      <c r="AV46" s="804">
        <v>18.77</v>
      </c>
    </row>
    <row r="47" spans="2:50" s="804" customFormat="1" ht="27" x14ac:dyDescent="0.55000000000000004">
      <c r="C47" s="1160"/>
      <c r="D47" s="1160"/>
      <c r="E47" s="1160"/>
      <c r="F47" s="1160"/>
      <c r="H47" s="902"/>
      <c r="I47" s="902"/>
      <c r="J47" s="1160"/>
      <c r="K47" s="1160"/>
      <c r="L47" s="1160"/>
      <c r="M47" s="1162"/>
      <c r="N47" s="1160"/>
      <c r="O47" s="1160"/>
      <c r="P47" s="1160"/>
      <c r="Q47" s="1157"/>
      <c r="R47" s="1157"/>
      <c r="S47" s="1157"/>
      <c r="U47" s="1160"/>
      <c r="V47" s="865"/>
      <c r="W47" s="1757"/>
      <c r="X47" s="1757"/>
      <c r="Y47" s="1156"/>
      <c r="Z47" s="1156"/>
      <c r="AA47" s="1156"/>
      <c r="AB47" s="808"/>
      <c r="AH47" s="1160"/>
      <c r="AK47" s="1157"/>
      <c r="AL47" s="1157"/>
      <c r="AV47" s="804">
        <v>21.13</v>
      </c>
    </row>
    <row r="48" spans="2:50" s="1157" customFormat="1" ht="27" x14ac:dyDescent="0.55000000000000004">
      <c r="G48" s="1160"/>
      <c r="H48" s="804"/>
      <c r="I48" s="804"/>
      <c r="J48" s="804"/>
      <c r="K48" s="1160"/>
      <c r="L48" s="1160"/>
      <c r="M48" s="865"/>
      <c r="N48" s="804"/>
      <c r="O48" s="804"/>
      <c r="P48" s="804"/>
      <c r="Q48" s="1160"/>
      <c r="R48" s="1160"/>
      <c r="S48" s="1160"/>
      <c r="T48" s="1160"/>
      <c r="U48" s="1160"/>
      <c r="V48" s="865"/>
      <c r="W48" s="804"/>
      <c r="X48" s="1156"/>
      <c r="Y48" s="1156"/>
      <c r="Z48" s="1156"/>
      <c r="AA48" s="1156"/>
      <c r="AB48" s="901" t="s">
        <v>222</v>
      </c>
      <c r="AD48" s="804"/>
      <c r="AE48" s="804"/>
      <c r="AF48" s="902"/>
      <c r="AG48" s="902"/>
      <c r="AH48" s="804"/>
      <c r="AI48" s="804"/>
      <c r="AJ48" s="804"/>
      <c r="AV48" s="1157">
        <v>20.100000000000001</v>
      </c>
    </row>
    <row r="49" spans="3:48" s="804" customFormat="1" ht="27" x14ac:dyDescent="0.55000000000000004">
      <c r="F49" s="1164"/>
      <c r="G49" s="1157"/>
      <c r="K49" s="1160"/>
      <c r="L49" s="1160"/>
      <c r="M49" s="865"/>
      <c r="Q49" s="1157"/>
      <c r="R49" s="1157"/>
      <c r="S49" s="1157"/>
      <c r="T49" s="1160"/>
      <c r="U49" s="1160"/>
      <c r="V49" s="865"/>
      <c r="X49" s="1156"/>
      <c r="Y49" s="1667"/>
      <c r="Z49" s="1667"/>
      <c r="AA49" s="1156"/>
      <c r="AB49" s="881" t="s">
        <v>104</v>
      </c>
      <c r="AC49" s="1592" t="s">
        <v>14</v>
      </c>
      <c r="AD49" s="1593"/>
      <c r="AE49" s="1592" t="s">
        <v>17</v>
      </c>
      <c r="AF49" s="1656"/>
      <c r="AG49" s="1656"/>
      <c r="AH49" s="1593"/>
      <c r="AI49" s="1168" t="s">
        <v>105</v>
      </c>
      <c r="AJ49" s="1168" t="s">
        <v>106</v>
      </c>
      <c r="AK49" s="1157"/>
      <c r="AL49" s="1157"/>
      <c r="AV49" s="804">
        <v>18.760000000000002</v>
      </c>
    </row>
    <row r="50" spans="3:48" s="1157" customFormat="1" ht="27" x14ac:dyDescent="0.55000000000000004">
      <c r="G50" s="906"/>
      <c r="H50" s="907"/>
      <c r="I50" s="907"/>
      <c r="J50" s="907"/>
      <c r="K50" s="907"/>
      <c r="L50" s="1598"/>
      <c r="M50" s="1598"/>
      <c r="N50" s="1598"/>
      <c r="O50" s="1598"/>
      <c r="P50" s="1598"/>
      <c r="U50" s="908"/>
      <c r="V50" s="865"/>
      <c r="W50" s="804"/>
      <c r="X50" s="1156"/>
      <c r="Y50" s="1156"/>
      <c r="Z50" s="1156"/>
      <c r="AA50" s="1156"/>
      <c r="AB50" s="881" t="s">
        <v>107</v>
      </c>
      <c r="AC50" s="1594">
        <f>SUM(D9:D26)</f>
        <v>504808</v>
      </c>
      <c r="AD50" s="1595"/>
      <c r="AE50" s="1592">
        <f>SUM(M9:M26)</f>
        <v>372548</v>
      </c>
      <c r="AF50" s="1656"/>
      <c r="AG50" s="1656"/>
      <c r="AH50" s="1593"/>
      <c r="AI50" s="903">
        <f>+IFERROR(AE50/AC50,0)</f>
        <v>0.73799939779084323</v>
      </c>
      <c r="AJ50" s="1171">
        <f>+IFERROR(AE50-AC50,0)</f>
        <v>-132260</v>
      </c>
      <c r="AV50" s="1157">
        <v>17.260000000000002</v>
      </c>
    </row>
    <row r="51" spans="3:48" s="1157" customFormat="1" ht="27" x14ac:dyDescent="0.55000000000000004">
      <c r="D51" s="1157" t="s">
        <v>194</v>
      </c>
      <c r="G51" s="910"/>
      <c r="H51" s="804"/>
      <c r="I51" s="804"/>
      <c r="J51" s="804"/>
      <c r="K51" s="804"/>
      <c r="L51" s="1660" t="s">
        <v>195</v>
      </c>
      <c r="M51" s="1660"/>
      <c r="N51" s="1660"/>
      <c r="O51" s="1660"/>
      <c r="P51" s="1660"/>
      <c r="T51" s="908"/>
      <c r="U51" s="1160"/>
      <c r="V51" s="908" t="s">
        <v>208</v>
      </c>
      <c r="W51" s="804"/>
      <c r="X51" s="1156"/>
      <c r="Y51" s="1156"/>
      <c r="Z51" s="1156"/>
      <c r="AA51" s="1156"/>
      <c r="AB51" s="881" t="s">
        <v>108</v>
      </c>
      <c r="AC51" s="1594">
        <f>SUM(R9:R26)</f>
        <v>35751.5</v>
      </c>
      <c r="AD51" s="1595"/>
      <c r="AE51" s="1592">
        <f>SUM(V9:V38)</f>
        <v>49175</v>
      </c>
      <c r="AF51" s="1656"/>
      <c r="AG51" s="1656"/>
      <c r="AH51" s="1593"/>
      <c r="AI51" s="903">
        <f>+IFERROR(AE51/AC51,0)</f>
        <v>1.3754667636322953</v>
      </c>
      <c r="AJ51" s="1171">
        <f>+IFERROR(AE51-AC51,0)</f>
        <v>13423.5</v>
      </c>
    </row>
    <row r="52" spans="3:48" s="1157" customFormat="1" ht="27" x14ac:dyDescent="0.55000000000000004">
      <c r="G52" s="910"/>
      <c r="H52" s="1659"/>
      <c r="I52" s="1659"/>
      <c r="J52" s="804"/>
      <c r="K52" s="804"/>
      <c r="L52" s="911"/>
      <c r="M52" s="808"/>
      <c r="N52" s="808"/>
      <c r="O52" s="808"/>
      <c r="P52" s="808"/>
      <c r="U52" s="1160"/>
      <c r="W52" s="804"/>
      <c r="X52" s="1156"/>
      <c r="Y52" s="1156"/>
      <c r="Z52" s="1156"/>
      <c r="AA52" s="1156"/>
      <c r="AB52" s="881" t="s">
        <v>5</v>
      </c>
      <c r="AC52" s="1594">
        <f>+IFERROR(AC50/AC51,0)</f>
        <v>14.119911052683104</v>
      </c>
      <c r="AD52" s="1595"/>
      <c r="AE52" s="1594">
        <f>+IFERROR(AE50/AE51,0)</f>
        <v>7.5759633960345703</v>
      </c>
      <c r="AF52" s="1664"/>
      <c r="AG52" s="1664"/>
      <c r="AH52" s="1595"/>
      <c r="AI52" s="904"/>
      <c r="AJ52" s="1168">
        <f>+IFERROR(AE52-AC52,0)</f>
        <v>-6.543947656648534</v>
      </c>
    </row>
    <row r="53" spans="3:48" s="1157" customFormat="1" ht="27" x14ac:dyDescent="0.55000000000000004">
      <c r="G53" s="910"/>
      <c r="H53" s="804"/>
      <c r="I53" s="804"/>
      <c r="J53" s="804"/>
      <c r="K53" s="804"/>
      <c r="L53" s="911"/>
      <c r="M53" s="808"/>
      <c r="N53" s="808"/>
      <c r="O53" s="808"/>
      <c r="P53" s="808"/>
      <c r="U53" s="1160"/>
      <c r="W53" s="804"/>
      <c r="X53" s="1156"/>
      <c r="Y53" s="1156"/>
      <c r="Z53" s="1156"/>
      <c r="AA53" s="1156"/>
      <c r="AB53" s="905" t="s">
        <v>6</v>
      </c>
      <c r="AC53" s="1665">
        <v>1</v>
      </c>
      <c r="AD53" s="1666"/>
      <c r="AE53" s="1165"/>
      <c r="AF53" s="1657">
        <f>+G44</f>
        <v>0.62068807335746334</v>
      </c>
      <c r="AG53" s="1657"/>
      <c r="AH53" s="1657"/>
      <c r="AI53" s="950"/>
      <c r="AJ53" s="1168">
        <f>+IFERROR(AF53-AC53,0)</f>
        <v>-0.37931192664253666</v>
      </c>
    </row>
    <row r="54" spans="3:48" s="1157" customFormat="1" ht="27" x14ac:dyDescent="0.55000000000000004">
      <c r="G54" s="804"/>
      <c r="H54" s="804"/>
      <c r="I54" s="804"/>
      <c r="J54" s="804"/>
      <c r="K54" s="804"/>
      <c r="L54" s="911"/>
      <c r="M54" s="808"/>
      <c r="N54" s="808"/>
      <c r="O54" s="808"/>
      <c r="P54" s="808"/>
      <c r="U54" s="1160"/>
      <c r="W54" s="804"/>
      <c r="X54" s="1156"/>
      <c r="Y54" s="1156"/>
      <c r="Z54" s="1156"/>
      <c r="AA54" s="1156"/>
      <c r="AB54" s="909"/>
      <c r="AC54" s="804"/>
      <c r="AD54" s="804"/>
      <c r="AE54" s="804"/>
      <c r="AF54" s="804"/>
      <c r="AG54" s="804"/>
      <c r="AH54" s="1160"/>
      <c r="AI54" s="804"/>
      <c r="AJ54" s="804"/>
    </row>
    <row r="55" spans="3:48" s="1157" customFormat="1" ht="27" x14ac:dyDescent="0.85">
      <c r="G55" s="1160"/>
      <c r="H55" s="804"/>
      <c r="I55" s="804"/>
      <c r="J55" s="1160"/>
      <c r="K55" s="1160"/>
      <c r="L55" s="911"/>
      <c r="M55" s="1162"/>
      <c r="N55" s="808"/>
      <c r="O55" s="808"/>
      <c r="P55" s="808"/>
      <c r="T55" s="1160"/>
      <c r="U55" s="1160"/>
      <c r="V55" s="1160"/>
      <c r="W55" s="804"/>
      <c r="X55" s="1156"/>
      <c r="Y55" s="1156"/>
      <c r="Z55" s="1156"/>
      <c r="AA55" s="1156"/>
      <c r="AB55" s="1754" t="s">
        <v>219</v>
      </c>
      <c r="AC55" s="1754"/>
      <c r="AD55" s="1754"/>
      <c r="AE55" s="804"/>
      <c r="AF55" s="804"/>
      <c r="AG55" s="804"/>
      <c r="AH55" s="1160"/>
      <c r="AI55" s="804"/>
      <c r="AJ55" s="804"/>
      <c r="AV55" s="1157">
        <v>20.16</v>
      </c>
    </row>
    <row r="56" spans="3:48" s="804" customFormat="1" ht="32.4" x14ac:dyDescent="0.85">
      <c r="C56" s="1160"/>
      <c r="D56" s="1160" t="s">
        <v>206</v>
      </c>
      <c r="E56" s="1160"/>
      <c r="F56" s="1159"/>
      <c r="G56" s="1159"/>
      <c r="I56" s="1577"/>
      <c r="J56" s="1577"/>
      <c r="K56" s="1577"/>
      <c r="L56" s="1758" t="s">
        <v>210</v>
      </c>
      <c r="M56" s="1758"/>
      <c r="N56" s="1758"/>
      <c r="O56" s="1758"/>
      <c r="P56" s="1758"/>
      <c r="T56" s="912"/>
      <c r="U56" s="1160"/>
      <c r="V56" s="1157" t="s">
        <v>193</v>
      </c>
      <c r="X56" s="1156"/>
      <c r="Y56" s="1156"/>
      <c r="Z56" s="1156"/>
      <c r="AA56" s="1156"/>
      <c r="AB56" s="1596">
        <f>AJ43/10</f>
        <v>19774</v>
      </c>
      <c r="AC56" s="1596"/>
      <c r="AD56" s="1596"/>
      <c r="AH56" s="1160"/>
      <c r="AK56" s="1157"/>
      <c r="AL56" s="1157"/>
      <c r="AV56" s="804">
        <v>20.09</v>
      </c>
    </row>
    <row r="57" spans="3:48" s="804" customFormat="1" ht="23.25" customHeight="1" x14ac:dyDescent="0.55000000000000004">
      <c r="C57" s="1157"/>
      <c r="D57" s="1157" t="s">
        <v>191</v>
      </c>
      <c r="E57" s="1157"/>
      <c r="F57" s="1157"/>
      <c r="G57" s="1160"/>
      <c r="I57" s="1160"/>
      <c r="J57" s="1160"/>
      <c r="K57" s="1160"/>
      <c r="L57" s="1660" t="s">
        <v>209</v>
      </c>
      <c r="M57" s="1660"/>
      <c r="N57" s="1660"/>
      <c r="O57" s="1660"/>
      <c r="P57" s="1660"/>
      <c r="T57" s="908"/>
      <c r="U57" s="1160"/>
      <c r="V57" s="1157" t="s">
        <v>190</v>
      </c>
      <c r="X57" s="1156"/>
      <c r="Y57" s="1156"/>
      <c r="Z57" s="1156"/>
      <c r="AA57" s="1156"/>
      <c r="AB57" s="808"/>
      <c r="AH57" s="1160"/>
      <c r="AK57" s="1157"/>
      <c r="AL57" s="1157"/>
      <c r="AV57" s="804">
        <v>19.66</v>
      </c>
    </row>
    <row r="58" spans="3:48" s="804" customFormat="1" ht="27" x14ac:dyDescent="0.55000000000000004">
      <c r="C58" s="1160"/>
      <c r="D58" s="1160"/>
      <c r="E58" s="1160"/>
      <c r="F58" s="1160"/>
      <c r="J58" s="1160"/>
      <c r="K58" s="1160"/>
      <c r="L58" s="1160"/>
      <c r="M58" s="1162"/>
      <c r="Q58" s="1157"/>
      <c r="R58" s="1157"/>
      <c r="S58" s="1157"/>
      <c r="T58" s="1160"/>
      <c r="U58" s="1160"/>
      <c r="V58" s="865"/>
      <c r="X58" s="1156"/>
      <c r="Y58" s="1156"/>
      <c r="Z58" s="913"/>
      <c r="AA58" s="913"/>
      <c r="AB58" s="808"/>
      <c r="AH58" s="1160"/>
      <c r="AK58" s="1157"/>
      <c r="AL58" s="1157"/>
      <c r="AV58" s="804">
        <v>18.27</v>
      </c>
    </row>
    <row r="59" spans="3:48" s="804" customFormat="1" ht="27" x14ac:dyDescent="0.55000000000000004">
      <c r="C59" s="1160"/>
      <c r="D59" s="1160"/>
      <c r="E59" s="1160"/>
      <c r="F59" s="1160"/>
      <c r="J59" s="1160"/>
      <c r="K59" s="1160"/>
      <c r="L59" s="1160"/>
      <c r="M59" s="1162"/>
      <c r="Q59" s="1157"/>
      <c r="R59" s="1157"/>
      <c r="S59" s="1157"/>
      <c r="T59" s="1160"/>
      <c r="U59" s="1160"/>
      <c r="V59" s="865"/>
      <c r="X59" s="1156"/>
      <c r="Y59" s="1156"/>
      <c r="Z59" s="914"/>
      <c r="AA59" s="914"/>
      <c r="AB59" s="808"/>
      <c r="AH59" s="1160"/>
      <c r="AK59" s="1157"/>
      <c r="AL59" s="1157"/>
      <c r="AV59" s="804">
        <v>19.07</v>
      </c>
    </row>
    <row r="60" spans="3:48" s="804" customFormat="1" ht="27" x14ac:dyDescent="0.55000000000000004">
      <c r="C60" s="1160"/>
      <c r="D60" s="1160"/>
      <c r="E60" s="1160"/>
      <c r="F60" s="1160"/>
      <c r="J60" s="1160"/>
      <c r="K60" s="1160"/>
      <c r="L60" s="1160"/>
      <c r="M60" s="1162"/>
      <c r="Q60" s="1157"/>
      <c r="R60" s="1157"/>
      <c r="S60" s="1157"/>
      <c r="T60" s="1160"/>
      <c r="U60" s="1160"/>
      <c r="V60" s="865"/>
      <c r="X60" s="1156"/>
      <c r="Y60" s="1156"/>
      <c r="Z60" s="914"/>
      <c r="AA60" s="914"/>
      <c r="AB60" s="808"/>
      <c r="AH60" s="1160"/>
      <c r="AK60" s="1157"/>
      <c r="AL60" s="1157"/>
      <c r="AV60" s="804">
        <v>20.13</v>
      </c>
    </row>
    <row r="61" spans="3:48" s="804" customFormat="1" ht="27" x14ac:dyDescent="0.55000000000000004">
      <c r="M61" s="808"/>
      <c r="V61" s="808"/>
      <c r="Y61" s="1156"/>
      <c r="Z61" s="914"/>
      <c r="AA61" s="914"/>
      <c r="AB61" s="808"/>
      <c r="AV61" s="804" t="e">
        <f>927.8-#REF!</f>
        <v>#REF!</v>
      </c>
    </row>
    <row r="62" spans="3:48" s="804" customFormat="1" ht="27" x14ac:dyDescent="0.55000000000000004">
      <c r="C62" s="1160"/>
      <c r="D62" s="1160"/>
      <c r="E62" s="1160"/>
      <c r="F62" s="1160"/>
      <c r="J62" s="1160"/>
      <c r="K62" s="1160"/>
      <c r="L62" s="1160"/>
      <c r="M62" s="1162"/>
      <c r="Q62" s="1157"/>
      <c r="R62" s="1157"/>
      <c r="S62" s="1157"/>
      <c r="T62" s="1160"/>
      <c r="U62" s="1160"/>
      <c r="V62" s="865"/>
      <c r="X62" s="1156"/>
      <c r="Y62" s="1156"/>
      <c r="Z62" s="914"/>
      <c r="AA62" s="914"/>
      <c r="AB62" s="808"/>
      <c r="AH62" s="1160"/>
      <c r="AK62" s="1157"/>
      <c r="AL62" s="1157"/>
    </row>
    <row r="63" spans="3:48" s="804" customFormat="1" ht="27" x14ac:dyDescent="0.55000000000000004">
      <c r="C63" s="1160"/>
      <c r="D63" s="1160"/>
      <c r="E63" s="1160"/>
      <c r="F63" s="1160"/>
      <c r="J63" s="1160"/>
      <c r="K63" s="1160"/>
      <c r="L63" s="1160"/>
      <c r="M63" s="1162"/>
      <c r="Q63" s="1157"/>
      <c r="R63" s="1157"/>
      <c r="S63" s="1157"/>
      <c r="T63" s="1160"/>
      <c r="U63" s="1160"/>
      <c r="V63" s="865"/>
      <c r="X63" s="1156"/>
      <c r="Y63" s="1156"/>
      <c r="Z63" s="914"/>
      <c r="AA63" s="914"/>
      <c r="AB63" s="808"/>
      <c r="AH63" s="1160"/>
      <c r="AK63" s="1157"/>
      <c r="AL63" s="1157"/>
    </row>
    <row r="64" spans="3:48" s="804" customFormat="1" ht="27" x14ac:dyDescent="0.55000000000000004">
      <c r="C64" s="1160"/>
      <c r="D64" s="1160"/>
      <c r="E64" s="1070" t="s">
        <v>221</v>
      </c>
      <c r="F64" s="1160"/>
      <c r="G64" s="804">
        <v>875000</v>
      </c>
      <c r="H64" s="1658">
        <f>+M9</f>
        <v>27632</v>
      </c>
      <c r="I64" s="1658"/>
      <c r="J64" s="1157">
        <f>+G64-H64</f>
        <v>847368</v>
      </c>
      <c r="K64" s="1160"/>
      <c r="L64" s="1160"/>
      <c r="M64" s="915"/>
      <c r="Q64" s="1157"/>
      <c r="R64" s="1157"/>
      <c r="S64" s="1157"/>
      <c r="T64" s="1160"/>
      <c r="U64" s="1160"/>
      <c r="V64" s="865"/>
      <c r="X64" s="1156"/>
      <c r="Y64" s="1156"/>
      <c r="Z64" s="914"/>
      <c r="AA64" s="914"/>
      <c r="AB64" s="808"/>
      <c r="AH64" s="1160"/>
      <c r="AK64" s="1157"/>
      <c r="AL64" s="1157"/>
    </row>
    <row r="65" spans="1:50" s="804" customFormat="1" ht="27" x14ac:dyDescent="0.55000000000000004">
      <c r="C65" s="1160"/>
      <c r="D65" s="1160"/>
      <c r="E65" s="1160"/>
      <c r="F65" s="1160"/>
      <c r="H65" s="1658">
        <f>+M10</f>
        <v>27500</v>
      </c>
      <c r="I65" s="1658"/>
      <c r="J65" s="1157">
        <f>+J64-H65</f>
        <v>819868</v>
      </c>
      <c r="K65" s="1660">
        <f>+J65/26</f>
        <v>31533.384615384617</v>
      </c>
      <c r="L65" s="1660"/>
      <c r="M65" s="1162"/>
      <c r="Q65" s="1157"/>
      <c r="R65" s="1157"/>
      <c r="S65" s="1157"/>
      <c r="T65" s="1160"/>
      <c r="U65" s="1160"/>
      <c r="V65" s="865"/>
      <c r="X65" s="1156"/>
      <c r="Y65" s="1156"/>
      <c r="Z65" s="914"/>
      <c r="AA65" s="914"/>
      <c r="AB65" s="808"/>
      <c r="AH65" s="1160"/>
      <c r="AK65" s="1157"/>
      <c r="AL65" s="1157"/>
    </row>
    <row r="66" spans="1:50" ht="27" x14ac:dyDescent="0.55000000000000004">
      <c r="H66" s="1658">
        <f>+M11</f>
        <v>26378</v>
      </c>
      <c r="I66" s="1658"/>
      <c r="J66" s="1157">
        <f>+J65-H66</f>
        <v>793490</v>
      </c>
      <c r="Z66" s="916"/>
      <c r="AA66" s="916"/>
    </row>
    <row r="67" spans="1:50" x14ac:dyDescent="0.55000000000000004">
      <c r="Z67" s="918"/>
      <c r="AA67" s="918"/>
    </row>
    <row r="68" spans="1:50" x14ac:dyDescent="0.55000000000000004">
      <c r="Z68" s="918"/>
      <c r="AA68" s="918"/>
    </row>
    <row r="69" spans="1:50" x14ac:dyDescent="0.55000000000000004">
      <c r="Z69" s="918"/>
      <c r="AA69" s="918"/>
    </row>
    <row r="70" spans="1:50" x14ac:dyDescent="0.55000000000000004">
      <c r="Z70" s="918"/>
      <c r="AA70" s="918"/>
    </row>
    <row r="71" spans="1:50" x14ac:dyDescent="0.55000000000000004">
      <c r="Z71" s="918"/>
      <c r="AA71" s="918"/>
    </row>
    <row r="72" spans="1:50" s="917" customFormat="1" x14ac:dyDescent="0.55000000000000004">
      <c r="A72" s="883"/>
      <c r="B72" s="883"/>
      <c r="C72" s="884"/>
      <c r="D72" s="884"/>
      <c r="E72" s="884"/>
      <c r="F72" s="884"/>
      <c r="G72" s="883"/>
      <c r="H72" s="883"/>
      <c r="I72" s="883"/>
      <c r="J72" s="884"/>
      <c r="K72" s="884"/>
      <c r="L72" s="884"/>
      <c r="M72" s="885"/>
      <c r="N72" s="883"/>
      <c r="O72" s="883"/>
      <c r="P72" s="883"/>
      <c r="Q72" s="886"/>
      <c r="R72" s="886"/>
      <c r="S72" s="886"/>
      <c r="T72" s="884"/>
      <c r="U72" s="884"/>
      <c r="V72" s="887"/>
      <c r="W72" s="883"/>
      <c r="X72" s="888"/>
      <c r="Y72" s="888"/>
      <c r="Z72" s="918"/>
      <c r="AA72" s="918"/>
      <c r="AC72" s="883"/>
      <c r="AD72" s="883"/>
      <c r="AE72" s="883"/>
      <c r="AF72" s="883"/>
      <c r="AG72" s="883"/>
      <c r="AH72" s="884"/>
      <c r="AI72" s="883"/>
      <c r="AJ72" s="883"/>
      <c r="AK72" s="886"/>
      <c r="AL72" s="886"/>
      <c r="AM72" s="883"/>
      <c r="AN72" s="883"/>
      <c r="AO72" s="883"/>
      <c r="AP72" s="883"/>
      <c r="AQ72" s="883"/>
      <c r="AR72" s="883"/>
      <c r="AS72" s="883"/>
      <c r="AT72" s="883"/>
      <c r="AU72" s="883"/>
      <c r="AV72" s="883"/>
      <c r="AW72" s="883"/>
      <c r="AX72" s="883"/>
    </row>
    <row r="73" spans="1:50" s="917" customFormat="1" x14ac:dyDescent="0.55000000000000004">
      <c r="A73" s="883"/>
      <c r="B73" s="883"/>
      <c r="C73" s="884"/>
      <c r="D73" s="884"/>
      <c r="E73" s="884"/>
      <c r="F73" s="884"/>
      <c r="G73" s="883"/>
      <c r="H73" s="883"/>
      <c r="I73" s="883"/>
      <c r="J73" s="884"/>
      <c r="K73" s="884"/>
      <c r="L73" s="884"/>
      <c r="M73" s="885"/>
      <c r="N73" s="883"/>
      <c r="O73" s="883"/>
      <c r="P73" s="883"/>
      <c r="Q73" s="886"/>
      <c r="R73" s="886"/>
      <c r="S73" s="886"/>
      <c r="T73" s="884"/>
      <c r="U73" s="884"/>
      <c r="V73" s="887"/>
      <c r="W73" s="883"/>
      <c r="X73" s="888"/>
      <c r="Y73" s="888"/>
      <c r="Z73" s="918"/>
      <c r="AA73" s="918"/>
      <c r="AC73" s="883"/>
      <c r="AD73" s="883"/>
      <c r="AE73" s="883"/>
      <c r="AF73" s="883"/>
      <c r="AG73" s="883"/>
      <c r="AH73" s="884"/>
      <c r="AI73" s="883"/>
      <c r="AJ73" s="883"/>
      <c r="AK73" s="886"/>
      <c r="AL73" s="886"/>
      <c r="AM73" s="883"/>
      <c r="AN73" s="883"/>
      <c r="AO73" s="883"/>
      <c r="AP73" s="883"/>
      <c r="AQ73" s="883"/>
      <c r="AR73" s="883"/>
      <c r="AS73" s="883"/>
      <c r="AT73" s="883"/>
      <c r="AU73" s="883"/>
      <c r="AV73" s="883"/>
      <c r="AW73" s="883"/>
      <c r="AX73" s="883"/>
    </row>
    <row r="74" spans="1:50" s="917" customFormat="1" x14ac:dyDescent="0.55000000000000004">
      <c r="A74" s="883"/>
      <c r="B74" s="883"/>
      <c r="C74" s="884"/>
      <c r="D74" s="884"/>
      <c r="E74" s="884"/>
      <c r="F74" s="884"/>
      <c r="G74" s="883"/>
      <c r="H74" s="883"/>
      <c r="I74" s="883"/>
      <c r="J74" s="884"/>
      <c r="K74" s="884"/>
      <c r="L74" s="884"/>
      <c r="M74" s="885"/>
      <c r="N74" s="883"/>
      <c r="O74" s="883"/>
      <c r="P74" s="883"/>
      <c r="Q74" s="886"/>
      <c r="R74" s="886"/>
      <c r="S74" s="886"/>
      <c r="T74" s="884"/>
      <c r="U74" s="884"/>
      <c r="V74" s="887"/>
      <c r="W74" s="883"/>
      <c r="X74" s="888"/>
      <c r="Y74" s="888"/>
      <c r="Z74" s="918"/>
      <c r="AA74" s="918"/>
      <c r="AC74" s="883"/>
      <c r="AD74" s="883"/>
      <c r="AE74" s="883"/>
      <c r="AF74" s="883"/>
      <c r="AG74" s="883"/>
      <c r="AH74" s="884"/>
      <c r="AI74" s="883"/>
      <c r="AJ74" s="883"/>
      <c r="AK74" s="886"/>
      <c r="AL74" s="886"/>
      <c r="AM74" s="883"/>
      <c r="AN74" s="883"/>
      <c r="AO74" s="883"/>
      <c r="AP74" s="883"/>
      <c r="AQ74" s="883"/>
      <c r="AR74" s="883"/>
      <c r="AS74" s="883"/>
      <c r="AT74" s="883"/>
      <c r="AU74" s="883"/>
      <c r="AV74" s="883"/>
      <c r="AW74" s="883"/>
      <c r="AX74" s="883"/>
    </row>
    <row r="75" spans="1:50" s="917" customFormat="1" x14ac:dyDescent="0.55000000000000004">
      <c r="A75" s="883"/>
      <c r="B75" s="883"/>
      <c r="C75" s="884"/>
      <c r="D75" s="884"/>
      <c r="E75" s="884"/>
      <c r="F75" s="884"/>
      <c r="G75" s="883"/>
      <c r="H75" s="883"/>
      <c r="I75" s="883"/>
      <c r="J75" s="884"/>
      <c r="K75" s="884"/>
      <c r="L75" s="884"/>
      <c r="M75" s="885"/>
      <c r="N75" s="883"/>
      <c r="O75" s="883"/>
      <c r="P75" s="883"/>
      <c r="Q75" s="886"/>
      <c r="R75" s="886"/>
      <c r="S75" s="886"/>
      <c r="T75" s="884"/>
      <c r="U75" s="884"/>
      <c r="V75" s="887"/>
      <c r="W75" s="883"/>
      <c r="X75" s="888"/>
      <c r="Y75" s="888"/>
      <c r="Z75" s="918"/>
      <c r="AA75" s="918"/>
      <c r="AC75" s="883"/>
      <c r="AD75" s="883"/>
      <c r="AE75" s="883"/>
      <c r="AF75" s="883"/>
      <c r="AG75" s="883"/>
      <c r="AH75" s="884"/>
      <c r="AI75" s="883"/>
      <c r="AJ75" s="883"/>
      <c r="AK75" s="886"/>
      <c r="AL75" s="886"/>
      <c r="AM75" s="883"/>
      <c r="AN75" s="883"/>
      <c r="AO75" s="883"/>
      <c r="AP75" s="883"/>
      <c r="AQ75" s="883"/>
      <c r="AR75" s="883"/>
      <c r="AS75" s="883"/>
      <c r="AT75" s="883"/>
      <c r="AU75" s="883"/>
      <c r="AV75" s="883"/>
      <c r="AW75" s="883"/>
      <c r="AX75" s="883"/>
    </row>
    <row r="76" spans="1:50" s="917" customFormat="1" x14ac:dyDescent="0.55000000000000004">
      <c r="A76" s="883"/>
      <c r="B76" s="883"/>
      <c r="C76" s="884"/>
      <c r="D76" s="884"/>
      <c r="E76" s="884"/>
      <c r="F76" s="884"/>
      <c r="G76" s="883"/>
      <c r="H76" s="883"/>
      <c r="I76" s="883"/>
      <c r="J76" s="884"/>
      <c r="K76" s="884"/>
      <c r="L76" s="884"/>
      <c r="M76" s="885"/>
      <c r="N76" s="883"/>
      <c r="O76" s="883"/>
      <c r="P76" s="883"/>
      <c r="Q76" s="886"/>
      <c r="R76" s="886"/>
      <c r="S76" s="886"/>
      <c r="T76" s="884"/>
      <c r="U76" s="884"/>
      <c r="V76" s="887"/>
      <c r="W76" s="883"/>
      <c r="X76" s="888"/>
      <c r="Y76" s="888"/>
      <c r="Z76" s="918"/>
      <c r="AA76" s="918"/>
      <c r="AC76" s="883"/>
      <c r="AD76" s="883"/>
      <c r="AE76" s="883"/>
      <c r="AF76" s="883"/>
      <c r="AG76" s="883"/>
      <c r="AH76" s="884"/>
      <c r="AI76" s="883"/>
      <c r="AJ76" s="883"/>
      <c r="AK76" s="886"/>
      <c r="AL76" s="886"/>
      <c r="AM76" s="883"/>
      <c r="AN76" s="883"/>
      <c r="AO76" s="883"/>
      <c r="AP76" s="883"/>
      <c r="AQ76" s="883"/>
      <c r="AR76" s="883"/>
      <c r="AS76" s="883"/>
      <c r="AT76" s="883"/>
      <c r="AU76" s="883"/>
      <c r="AV76" s="883"/>
      <c r="AW76" s="883"/>
      <c r="AX76" s="883"/>
    </row>
    <row r="77" spans="1:50" s="917" customFormat="1" x14ac:dyDescent="0.55000000000000004">
      <c r="A77" s="883"/>
      <c r="B77" s="883"/>
      <c r="C77" s="884"/>
      <c r="D77" s="884"/>
      <c r="E77" s="884"/>
      <c r="F77" s="884"/>
      <c r="G77" s="883"/>
      <c r="H77" s="883"/>
      <c r="I77" s="883"/>
      <c r="J77" s="884"/>
      <c r="K77" s="884"/>
      <c r="L77" s="884"/>
      <c r="M77" s="885"/>
      <c r="N77" s="883"/>
      <c r="O77" s="883"/>
      <c r="P77" s="883"/>
      <c r="Q77" s="886"/>
      <c r="R77" s="886"/>
      <c r="S77" s="886"/>
      <c r="T77" s="884"/>
      <c r="U77" s="884"/>
      <c r="V77" s="887"/>
      <c r="W77" s="883"/>
      <c r="X77" s="888"/>
      <c r="Y77" s="888"/>
      <c r="Z77" s="918"/>
      <c r="AA77" s="918"/>
      <c r="AC77" s="883"/>
      <c r="AD77" s="883"/>
      <c r="AE77" s="883"/>
      <c r="AF77" s="883"/>
      <c r="AG77" s="883"/>
      <c r="AH77" s="884"/>
      <c r="AI77" s="883"/>
      <c r="AJ77" s="883"/>
      <c r="AK77" s="886"/>
      <c r="AL77" s="886"/>
      <c r="AM77" s="883"/>
      <c r="AN77" s="883"/>
      <c r="AO77" s="883"/>
      <c r="AP77" s="883"/>
      <c r="AQ77" s="883"/>
      <c r="AR77" s="883"/>
      <c r="AS77" s="883"/>
      <c r="AT77" s="883"/>
      <c r="AU77" s="883"/>
      <c r="AV77" s="883"/>
      <c r="AW77" s="883"/>
      <c r="AX77" s="883"/>
    </row>
    <row r="78" spans="1:50" s="917" customFormat="1" x14ac:dyDescent="0.55000000000000004">
      <c r="A78" s="883"/>
      <c r="B78" s="883"/>
      <c r="C78" s="884"/>
      <c r="D78" s="884"/>
      <c r="E78" s="884"/>
      <c r="F78" s="884"/>
      <c r="G78" s="883"/>
      <c r="H78" s="883"/>
      <c r="I78" s="883"/>
      <c r="J78" s="884"/>
      <c r="K78" s="884"/>
      <c r="L78" s="884"/>
      <c r="M78" s="885"/>
      <c r="N78" s="883"/>
      <c r="O78" s="883"/>
      <c r="P78" s="883"/>
      <c r="Q78" s="886"/>
      <c r="R78" s="886"/>
      <c r="S78" s="886"/>
      <c r="T78" s="884"/>
      <c r="U78" s="884"/>
      <c r="V78" s="887"/>
      <c r="W78" s="883"/>
      <c r="X78" s="888"/>
      <c r="Y78" s="888"/>
      <c r="Z78" s="918"/>
      <c r="AA78" s="918"/>
      <c r="AC78" s="883"/>
      <c r="AD78" s="883"/>
      <c r="AE78" s="883"/>
      <c r="AF78" s="883"/>
      <c r="AG78" s="883"/>
      <c r="AH78" s="884"/>
      <c r="AI78" s="883"/>
      <c r="AJ78" s="883"/>
      <c r="AK78" s="886"/>
      <c r="AL78" s="886"/>
      <c r="AM78" s="883"/>
      <c r="AN78" s="883"/>
      <c r="AO78" s="883"/>
      <c r="AP78" s="883"/>
      <c r="AQ78" s="883"/>
      <c r="AR78" s="883"/>
      <c r="AS78" s="883"/>
      <c r="AT78" s="883"/>
      <c r="AU78" s="883"/>
      <c r="AV78" s="883"/>
      <c r="AW78" s="883"/>
      <c r="AX78" s="883"/>
    </row>
    <row r="79" spans="1:50" s="917" customFormat="1" x14ac:dyDescent="0.55000000000000004">
      <c r="A79" s="883"/>
      <c r="B79" s="883"/>
      <c r="C79" s="884"/>
      <c r="D79" s="884"/>
      <c r="E79" s="884"/>
      <c r="F79" s="884"/>
      <c r="G79" s="883"/>
      <c r="H79" s="883"/>
      <c r="I79" s="883"/>
      <c r="J79" s="884"/>
      <c r="K79" s="884"/>
      <c r="L79" s="884"/>
      <c r="M79" s="885"/>
      <c r="N79" s="883"/>
      <c r="O79" s="883"/>
      <c r="P79" s="883"/>
      <c r="Q79" s="886"/>
      <c r="R79" s="886"/>
      <c r="S79" s="886"/>
      <c r="T79" s="884"/>
      <c r="U79" s="884"/>
      <c r="V79" s="887"/>
      <c r="W79" s="883"/>
      <c r="X79" s="888"/>
      <c r="Y79" s="888"/>
      <c r="Z79" s="918"/>
      <c r="AA79" s="918"/>
      <c r="AC79" s="883"/>
      <c r="AD79" s="883"/>
      <c r="AE79" s="883"/>
      <c r="AF79" s="883"/>
      <c r="AG79" s="883"/>
      <c r="AH79" s="884"/>
      <c r="AI79" s="883"/>
      <c r="AJ79" s="883"/>
      <c r="AK79" s="886"/>
      <c r="AL79" s="886"/>
      <c r="AM79" s="883"/>
      <c r="AN79" s="883"/>
      <c r="AO79" s="883"/>
      <c r="AP79" s="883"/>
      <c r="AQ79" s="883"/>
      <c r="AR79" s="883"/>
      <c r="AS79" s="883"/>
      <c r="AT79" s="883"/>
      <c r="AU79" s="883"/>
      <c r="AV79" s="883"/>
      <c r="AW79" s="883"/>
      <c r="AX79" s="883"/>
    </row>
    <row r="80" spans="1:50" s="917" customFormat="1" x14ac:dyDescent="0.55000000000000004">
      <c r="A80" s="883"/>
      <c r="B80" s="883"/>
      <c r="C80" s="884"/>
      <c r="D80" s="884"/>
      <c r="E80" s="884"/>
      <c r="F80" s="884"/>
      <c r="G80" s="883"/>
      <c r="H80" s="883"/>
      <c r="I80" s="883"/>
      <c r="J80" s="884"/>
      <c r="K80" s="884"/>
      <c r="L80" s="884"/>
      <c r="M80" s="885"/>
      <c r="N80" s="883"/>
      <c r="O80" s="883"/>
      <c r="P80" s="883"/>
      <c r="Q80" s="886"/>
      <c r="R80" s="886"/>
      <c r="S80" s="886"/>
      <c r="T80" s="884"/>
      <c r="U80" s="884"/>
      <c r="V80" s="887"/>
      <c r="W80" s="883"/>
      <c r="X80" s="888"/>
      <c r="Y80" s="888"/>
      <c r="Z80" s="918"/>
      <c r="AA80" s="918"/>
      <c r="AC80" s="883"/>
      <c r="AD80" s="883"/>
      <c r="AE80" s="883"/>
      <c r="AF80" s="883"/>
      <c r="AG80" s="883"/>
      <c r="AH80" s="884"/>
      <c r="AI80" s="883"/>
      <c r="AJ80" s="883"/>
      <c r="AK80" s="886"/>
      <c r="AL80" s="886"/>
      <c r="AM80" s="883"/>
      <c r="AN80" s="883"/>
      <c r="AO80" s="883"/>
      <c r="AP80" s="883"/>
      <c r="AQ80" s="883"/>
      <c r="AR80" s="883"/>
      <c r="AS80" s="883"/>
      <c r="AT80" s="883"/>
      <c r="AU80" s="883"/>
      <c r="AV80" s="883"/>
      <c r="AW80" s="883"/>
      <c r="AX80" s="883"/>
    </row>
    <row r="81" spans="1:50" s="917" customFormat="1" x14ac:dyDescent="0.55000000000000004">
      <c r="A81" s="883"/>
      <c r="B81" s="883"/>
      <c r="C81" s="884"/>
      <c r="D81" s="884"/>
      <c r="E81" s="884"/>
      <c r="F81" s="884"/>
      <c r="G81" s="883"/>
      <c r="H81" s="883"/>
      <c r="I81" s="883"/>
      <c r="J81" s="884"/>
      <c r="K81" s="884"/>
      <c r="L81" s="884"/>
      <c r="M81" s="885"/>
      <c r="N81" s="883"/>
      <c r="O81" s="883"/>
      <c r="P81" s="883"/>
      <c r="Q81" s="886"/>
      <c r="R81" s="886"/>
      <c r="S81" s="886"/>
      <c r="T81" s="884"/>
      <c r="U81" s="884"/>
      <c r="V81" s="887"/>
      <c r="W81" s="883"/>
      <c r="X81" s="888"/>
      <c r="Y81" s="888"/>
      <c r="Z81" s="918"/>
      <c r="AA81" s="918"/>
      <c r="AC81" s="883"/>
      <c r="AD81" s="883"/>
      <c r="AE81" s="883"/>
      <c r="AF81" s="883"/>
      <c r="AG81" s="883"/>
      <c r="AH81" s="884"/>
      <c r="AI81" s="883"/>
      <c r="AJ81" s="883"/>
      <c r="AK81" s="886"/>
      <c r="AL81" s="886"/>
      <c r="AM81" s="883"/>
      <c r="AN81" s="883"/>
      <c r="AO81" s="883"/>
      <c r="AP81" s="883"/>
      <c r="AQ81" s="883"/>
      <c r="AR81" s="883"/>
      <c r="AS81" s="883"/>
      <c r="AT81" s="883"/>
      <c r="AU81" s="883"/>
      <c r="AV81" s="883"/>
      <c r="AW81" s="883"/>
      <c r="AX81" s="883"/>
    </row>
    <row r="82" spans="1:50" s="917" customFormat="1" x14ac:dyDescent="0.55000000000000004">
      <c r="A82" s="883"/>
      <c r="B82" s="883"/>
      <c r="C82" s="884"/>
      <c r="D82" s="884"/>
      <c r="E82" s="884"/>
      <c r="F82" s="884"/>
      <c r="G82" s="883"/>
      <c r="H82" s="883"/>
      <c r="I82" s="883"/>
      <c r="J82" s="884"/>
      <c r="K82" s="884"/>
      <c r="L82" s="884"/>
      <c r="M82" s="885"/>
      <c r="N82" s="883"/>
      <c r="O82" s="883"/>
      <c r="P82" s="883"/>
      <c r="Q82" s="886"/>
      <c r="R82" s="886"/>
      <c r="S82" s="886"/>
      <c r="T82" s="884"/>
      <c r="U82" s="884"/>
      <c r="V82" s="887"/>
      <c r="W82" s="883"/>
      <c r="X82" s="888"/>
      <c r="Y82" s="888"/>
      <c r="Z82" s="918"/>
      <c r="AA82" s="918"/>
      <c r="AC82" s="883"/>
      <c r="AD82" s="883"/>
      <c r="AE82" s="883"/>
      <c r="AF82" s="883"/>
      <c r="AG82" s="883"/>
      <c r="AH82" s="884"/>
      <c r="AI82" s="883"/>
      <c r="AJ82" s="883"/>
      <c r="AK82" s="886"/>
      <c r="AL82" s="886"/>
      <c r="AM82" s="883"/>
      <c r="AN82" s="883"/>
      <c r="AO82" s="883"/>
      <c r="AP82" s="883"/>
      <c r="AQ82" s="883"/>
      <c r="AR82" s="883"/>
      <c r="AS82" s="883"/>
      <c r="AT82" s="883"/>
      <c r="AU82" s="883"/>
      <c r="AV82" s="883"/>
      <c r="AW82" s="883"/>
      <c r="AX82" s="883"/>
    </row>
    <row r="83" spans="1:50" s="917" customFormat="1" x14ac:dyDescent="0.55000000000000004">
      <c r="A83" s="883"/>
      <c r="B83" s="883"/>
      <c r="C83" s="884"/>
      <c r="D83" s="884"/>
      <c r="E83" s="884"/>
      <c r="F83" s="884"/>
      <c r="G83" s="883"/>
      <c r="H83" s="883"/>
      <c r="I83" s="883"/>
      <c r="J83" s="884"/>
      <c r="K83" s="884"/>
      <c r="L83" s="884"/>
      <c r="M83" s="885"/>
      <c r="N83" s="883"/>
      <c r="O83" s="883"/>
      <c r="P83" s="883"/>
      <c r="Q83" s="886"/>
      <c r="R83" s="886"/>
      <c r="S83" s="886"/>
      <c r="T83" s="884"/>
      <c r="U83" s="884"/>
      <c r="V83" s="887"/>
      <c r="W83" s="883"/>
      <c r="X83" s="888"/>
      <c r="Y83" s="888"/>
      <c r="Z83" s="919">
        <v>171</v>
      </c>
      <c r="AA83" s="919">
        <v>207</v>
      </c>
      <c r="AC83" s="883"/>
      <c r="AD83" s="883"/>
      <c r="AE83" s="883"/>
      <c r="AF83" s="883"/>
      <c r="AG83" s="883"/>
      <c r="AH83" s="884"/>
      <c r="AI83" s="883"/>
      <c r="AJ83" s="883"/>
      <c r="AK83" s="886"/>
      <c r="AL83" s="886"/>
      <c r="AM83" s="883"/>
      <c r="AN83" s="883"/>
      <c r="AO83" s="883"/>
      <c r="AP83" s="883"/>
      <c r="AQ83" s="883"/>
      <c r="AR83" s="883"/>
      <c r="AS83" s="883"/>
      <c r="AT83" s="883"/>
      <c r="AU83" s="883"/>
      <c r="AV83" s="883"/>
      <c r="AW83" s="883"/>
      <c r="AX83" s="883"/>
    </row>
    <row r="84" spans="1:50" s="917" customFormat="1" x14ac:dyDescent="0.55000000000000004">
      <c r="A84" s="883"/>
      <c r="B84" s="883"/>
      <c r="C84" s="884"/>
      <c r="D84" s="884"/>
      <c r="E84" s="884"/>
      <c r="F84" s="884"/>
      <c r="G84" s="883"/>
      <c r="H84" s="883"/>
      <c r="I84" s="883"/>
      <c r="J84" s="884"/>
      <c r="K84" s="884"/>
      <c r="L84" s="884"/>
      <c r="M84" s="885"/>
      <c r="N84" s="883"/>
      <c r="O84" s="883"/>
      <c r="P84" s="883"/>
      <c r="Q84" s="886"/>
      <c r="R84" s="886"/>
      <c r="S84" s="886"/>
      <c r="T84" s="884"/>
      <c r="U84" s="884"/>
      <c r="V84" s="887"/>
      <c r="W84" s="883"/>
      <c r="X84" s="888"/>
      <c r="Y84" s="888"/>
      <c r="Z84" s="918"/>
      <c r="AA84" s="918"/>
      <c r="AC84" s="883"/>
      <c r="AD84" s="883"/>
      <c r="AE84" s="883"/>
      <c r="AF84" s="883"/>
      <c r="AG84" s="883"/>
      <c r="AH84" s="884"/>
      <c r="AI84" s="883"/>
      <c r="AJ84" s="883"/>
      <c r="AK84" s="886"/>
      <c r="AL84" s="886"/>
      <c r="AM84" s="883"/>
      <c r="AN84" s="883"/>
      <c r="AO84" s="883"/>
      <c r="AP84" s="883"/>
      <c r="AQ84" s="883"/>
      <c r="AR84" s="883"/>
      <c r="AS84" s="883"/>
      <c r="AT84" s="883"/>
      <c r="AU84" s="883"/>
      <c r="AV84" s="883"/>
      <c r="AW84" s="883"/>
      <c r="AX84" s="883"/>
    </row>
    <row r="85" spans="1:50" s="917" customFormat="1" x14ac:dyDescent="0.55000000000000004">
      <c r="A85" s="883"/>
      <c r="B85" s="883"/>
      <c r="C85" s="884"/>
      <c r="D85" s="884"/>
      <c r="E85" s="884"/>
      <c r="F85" s="884"/>
      <c r="G85" s="883"/>
      <c r="H85" s="883"/>
      <c r="I85" s="883"/>
      <c r="J85" s="884"/>
      <c r="K85" s="884"/>
      <c r="L85" s="884"/>
      <c r="M85" s="885"/>
      <c r="N85" s="883"/>
      <c r="O85" s="883"/>
      <c r="P85" s="883"/>
      <c r="Q85" s="886"/>
      <c r="R85" s="886"/>
      <c r="S85" s="886"/>
      <c r="T85" s="884"/>
      <c r="U85" s="884"/>
      <c r="V85" s="887"/>
      <c r="W85" s="883"/>
      <c r="X85" s="888"/>
      <c r="Y85" s="888"/>
      <c r="Z85" s="918"/>
      <c r="AA85" s="918"/>
      <c r="AC85" s="883"/>
      <c r="AD85" s="883"/>
      <c r="AE85" s="883"/>
      <c r="AF85" s="883"/>
      <c r="AG85" s="883"/>
      <c r="AH85" s="884"/>
      <c r="AI85" s="883"/>
      <c r="AJ85" s="883"/>
      <c r="AK85" s="886"/>
      <c r="AL85" s="886"/>
      <c r="AM85" s="883"/>
      <c r="AN85" s="883"/>
      <c r="AO85" s="883"/>
      <c r="AP85" s="883"/>
      <c r="AQ85" s="883"/>
      <c r="AR85" s="883"/>
      <c r="AS85" s="883"/>
      <c r="AT85" s="883"/>
      <c r="AU85" s="883"/>
      <c r="AV85" s="883"/>
      <c r="AW85" s="883"/>
      <c r="AX85" s="883"/>
    </row>
    <row r="86" spans="1:50" s="917" customFormat="1" x14ac:dyDescent="0.55000000000000004">
      <c r="A86" s="883"/>
      <c r="B86" s="883"/>
      <c r="C86" s="884"/>
      <c r="D86" s="884"/>
      <c r="E86" s="884"/>
      <c r="F86" s="884"/>
      <c r="G86" s="883"/>
      <c r="H86" s="883"/>
      <c r="I86" s="883"/>
      <c r="J86" s="884"/>
      <c r="K86" s="884"/>
      <c r="L86" s="884"/>
      <c r="M86" s="885"/>
      <c r="N86" s="883"/>
      <c r="O86" s="883"/>
      <c r="P86" s="883"/>
      <c r="Q86" s="886"/>
      <c r="R86" s="886"/>
      <c r="S86" s="886"/>
      <c r="T86" s="884"/>
      <c r="U86" s="884"/>
      <c r="V86" s="887"/>
      <c r="W86" s="883"/>
      <c r="X86" s="888"/>
      <c r="Y86" s="888"/>
      <c r="Z86" s="918"/>
      <c r="AA86" s="918"/>
      <c r="AC86" s="883"/>
      <c r="AD86" s="883"/>
      <c r="AE86" s="883"/>
      <c r="AF86" s="883"/>
      <c r="AG86" s="883"/>
      <c r="AH86" s="884"/>
      <c r="AI86" s="883"/>
      <c r="AJ86" s="883"/>
      <c r="AK86" s="886"/>
      <c r="AL86" s="886"/>
      <c r="AM86" s="883"/>
      <c r="AN86" s="883"/>
      <c r="AO86" s="883"/>
      <c r="AP86" s="883"/>
      <c r="AQ86" s="883"/>
      <c r="AR86" s="883"/>
      <c r="AS86" s="883"/>
      <c r="AT86" s="883"/>
      <c r="AU86" s="883"/>
      <c r="AV86" s="883"/>
      <c r="AW86" s="883"/>
      <c r="AX86" s="883"/>
    </row>
    <row r="87" spans="1:50" s="917" customFormat="1" x14ac:dyDescent="0.55000000000000004">
      <c r="A87" s="883"/>
      <c r="B87" s="883"/>
      <c r="C87" s="884"/>
      <c r="D87" s="884"/>
      <c r="E87" s="884"/>
      <c r="F87" s="884"/>
      <c r="G87" s="883"/>
      <c r="H87" s="883"/>
      <c r="I87" s="883"/>
      <c r="J87" s="884"/>
      <c r="K87" s="884"/>
      <c r="L87" s="884"/>
      <c r="M87" s="885"/>
      <c r="N87" s="883"/>
      <c r="O87" s="883"/>
      <c r="P87" s="883"/>
      <c r="Q87" s="886"/>
      <c r="R87" s="886"/>
      <c r="S87" s="886"/>
      <c r="T87" s="884"/>
      <c r="U87" s="884"/>
      <c r="V87" s="887"/>
      <c r="W87" s="883"/>
      <c r="X87" s="888"/>
      <c r="Y87" s="888"/>
      <c r="Z87" s="919">
        <v>771</v>
      </c>
      <c r="AA87" s="919">
        <v>418</v>
      </c>
      <c r="AC87" s="883"/>
      <c r="AD87" s="883"/>
      <c r="AE87" s="883"/>
      <c r="AF87" s="883"/>
      <c r="AG87" s="883"/>
      <c r="AH87" s="884"/>
      <c r="AI87" s="883"/>
      <c r="AJ87" s="883"/>
      <c r="AK87" s="886"/>
      <c r="AL87" s="886"/>
      <c r="AM87" s="883"/>
      <c r="AN87" s="883"/>
      <c r="AO87" s="883"/>
      <c r="AP87" s="883"/>
      <c r="AQ87" s="883"/>
      <c r="AR87" s="883"/>
      <c r="AS87" s="883"/>
      <c r="AT87" s="883"/>
      <c r="AU87" s="883"/>
      <c r="AV87" s="883"/>
      <c r="AW87" s="883"/>
      <c r="AX87" s="883"/>
    </row>
    <row r="88" spans="1:50" s="917" customFormat="1" x14ac:dyDescent="0.55000000000000004">
      <c r="A88" s="883"/>
      <c r="B88" s="883"/>
      <c r="C88" s="884"/>
      <c r="D88" s="884"/>
      <c r="E88" s="884"/>
      <c r="F88" s="884"/>
      <c r="G88" s="883"/>
      <c r="H88" s="883"/>
      <c r="I88" s="883"/>
      <c r="J88" s="884"/>
      <c r="K88" s="884"/>
      <c r="L88" s="884"/>
      <c r="M88" s="885"/>
      <c r="N88" s="883"/>
      <c r="O88" s="883"/>
      <c r="P88" s="883"/>
      <c r="Q88" s="886"/>
      <c r="R88" s="886"/>
      <c r="S88" s="886"/>
      <c r="T88" s="884"/>
      <c r="U88" s="884"/>
      <c r="V88" s="887"/>
      <c r="W88" s="883"/>
      <c r="X88" s="888"/>
      <c r="Y88" s="888"/>
      <c r="Z88" s="918"/>
      <c r="AA88" s="918"/>
      <c r="AC88" s="883"/>
      <c r="AD88" s="883"/>
      <c r="AE88" s="883"/>
      <c r="AF88" s="883"/>
      <c r="AG88" s="883"/>
      <c r="AH88" s="884"/>
      <c r="AI88" s="883"/>
      <c r="AJ88" s="883"/>
      <c r="AK88" s="886"/>
      <c r="AL88" s="886"/>
      <c r="AM88" s="883"/>
      <c r="AN88" s="883"/>
      <c r="AO88" s="883"/>
      <c r="AP88" s="883"/>
      <c r="AQ88" s="883"/>
      <c r="AR88" s="883"/>
      <c r="AS88" s="883"/>
      <c r="AT88" s="883"/>
      <c r="AU88" s="883"/>
      <c r="AV88" s="883"/>
      <c r="AW88" s="883"/>
      <c r="AX88" s="883"/>
    </row>
    <row r="89" spans="1:50" s="917" customFormat="1" x14ac:dyDescent="0.55000000000000004">
      <c r="A89" s="883"/>
      <c r="B89" s="883"/>
      <c r="C89" s="884"/>
      <c r="D89" s="884"/>
      <c r="E89" s="884"/>
      <c r="F89" s="884"/>
      <c r="G89" s="883"/>
      <c r="H89" s="883"/>
      <c r="I89" s="883"/>
      <c r="J89" s="884"/>
      <c r="K89" s="884"/>
      <c r="L89" s="884"/>
      <c r="M89" s="885"/>
      <c r="N89" s="883"/>
      <c r="O89" s="883"/>
      <c r="P89" s="883"/>
      <c r="Q89" s="886"/>
      <c r="R89" s="886"/>
      <c r="S89" s="886"/>
      <c r="T89" s="884"/>
      <c r="U89" s="884"/>
      <c r="V89" s="887"/>
      <c r="W89" s="883"/>
      <c r="X89" s="888"/>
      <c r="Y89" s="888"/>
      <c r="Z89" s="918"/>
      <c r="AA89" s="918"/>
      <c r="AC89" s="883"/>
      <c r="AD89" s="883"/>
      <c r="AE89" s="883"/>
      <c r="AF89" s="883"/>
      <c r="AG89" s="883"/>
      <c r="AH89" s="884"/>
      <c r="AI89" s="883"/>
      <c r="AJ89" s="883"/>
      <c r="AK89" s="886"/>
      <c r="AL89" s="886"/>
      <c r="AM89" s="883"/>
      <c r="AN89" s="883"/>
      <c r="AO89" s="883"/>
      <c r="AP89" s="883"/>
      <c r="AQ89" s="883"/>
      <c r="AR89" s="883"/>
      <c r="AS89" s="883"/>
      <c r="AT89" s="883"/>
      <c r="AU89" s="883"/>
      <c r="AV89" s="883"/>
      <c r="AW89" s="883"/>
      <c r="AX89" s="883"/>
    </row>
    <row r="90" spans="1:50" s="917" customFormat="1" x14ac:dyDescent="0.55000000000000004">
      <c r="A90" s="883"/>
      <c r="B90" s="883"/>
      <c r="C90" s="884"/>
      <c r="D90" s="884"/>
      <c r="E90" s="884"/>
      <c r="F90" s="884"/>
      <c r="G90" s="883"/>
      <c r="H90" s="883"/>
      <c r="I90" s="883"/>
      <c r="J90" s="884"/>
      <c r="K90" s="884"/>
      <c r="L90" s="884"/>
      <c r="M90" s="885"/>
      <c r="N90" s="883"/>
      <c r="O90" s="883"/>
      <c r="P90" s="883"/>
      <c r="Q90" s="886"/>
      <c r="R90" s="886"/>
      <c r="S90" s="886"/>
      <c r="T90" s="884"/>
      <c r="U90" s="884"/>
      <c r="V90" s="887"/>
      <c r="W90" s="883"/>
      <c r="X90" s="888"/>
      <c r="Y90" s="888"/>
      <c r="Z90" s="918"/>
      <c r="AA90" s="918"/>
      <c r="AC90" s="883"/>
      <c r="AD90" s="883"/>
      <c r="AE90" s="883"/>
      <c r="AF90" s="883"/>
      <c r="AG90" s="883"/>
      <c r="AH90" s="884"/>
      <c r="AI90" s="883"/>
      <c r="AJ90" s="883"/>
      <c r="AK90" s="886"/>
      <c r="AL90" s="886"/>
      <c r="AM90" s="883"/>
      <c r="AN90" s="883"/>
      <c r="AO90" s="883"/>
      <c r="AP90" s="883"/>
      <c r="AQ90" s="883"/>
      <c r="AR90" s="883"/>
      <c r="AS90" s="883"/>
      <c r="AT90" s="883"/>
      <c r="AU90" s="883"/>
      <c r="AV90" s="883"/>
      <c r="AW90" s="883"/>
      <c r="AX90" s="883"/>
    </row>
    <row r="91" spans="1:50" s="917" customFormat="1" x14ac:dyDescent="0.55000000000000004">
      <c r="A91" s="883"/>
      <c r="B91" s="883"/>
      <c r="C91" s="884"/>
      <c r="D91" s="884"/>
      <c r="E91" s="884"/>
      <c r="F91" s="884"/>
      <c r="G91" s="883"/>
      <c r="H91" s="883"/>
      <c r="I91" s="883"/>
      <c r="J91" s="884"/>
      <c r="K91" s="884"/>
      <c r="L91" s="884"/>
      <c r="M91" s="885"/>
      <c r="N91" s="883"/>
      <c r="O91" s="883"/>
      <c r="P91" s="883"/>
      <c r="Q91" s="886"/>
      <c r="R91" s="886"/>
      <c r="S91" s="886"/>
      <c r="T91" s="884"/>
      <c r="U91" s="884"/>
      <c r="V91" s="887"/>
      <c r="W91" s="883"/>
      <c r="X91" s="888"/>
      <c r="Y91" s="888"/>
      <c r="Z91" s="918"/>
      <c r="AA91" s="918"/>
      <c r="AC91" s="883"/>
      <c r="AD91" s="883"/>
      <c r="AE91" s="883"/>
      <c r="AF91" s="883"/>
      <c r="AG91" s="883"/>
      <c r="AH91" s="884"/>
      <c r="AI91" s="883"/>
      <c r="AJ91" s="883"/>
      <c r="AK91" s="886"/>
      <c r="AL91" s="886"/>
      <c r="AM91" s="883"/>
      <c r="AN91" s="883"/>
      <c r="AO91" s="883"/>
      <c r="AP91" s="883"/>
      <c r="AQ91" s="883"/>
      <c r="AR91" s="883"/>
      <c r="AS91" s="883"/>
      <c r="AT91" s="883"/>
      <c r="AU91" s="883"/>
      <c r="AV91" s="883"/>
      <c r="AW91" s="883"/>
      <c r="AX91" s="883"/>
    </row>
    <row r="92" spans="1:50" s="917" customFormat="1" x14ac:dyDescent="0.55000000000000004">
      <c r="A92" s="883"/>
      <c r="B92" s="883"/>
      <c r="C92" s="884"/>
      <c r="D92" s="884"/>
      <c r="E92" s="884"/>
      <c r="F92" s="884"/>
      <c r="G92" s="883"/>
      <c r="H92" s="883"/>
      <c r="I92" s="883"/>
      <c r="J92" s="884"/>
      <c r="K92" s="884"/>
      <c r="L92" s="884"/>
      <c r="M92" s="885"/>
      <c r="N92" s="883"/>
      <c r="O92" s="883"/>
      <c r="P92" s="883"/>
      <c r="Q92" s="886"/>
      <c r="R92" s="886"/>
      <c r="S92" s="886"/>
      <c r="T92" s="884"/>
      <c r="U92" s="884"/>
      <c r="V92" s="887"/>
      <c r="W92" s="883"/>
      <c r="X92" s="888"/>
      <c r="Y92" s="888"/>
      <c r="Z92" s="918"/>
      <c r="AA92" s="918"/>
      <c r="AC92" s="883"/>
      <c r="AD92" s="883"/>
      <c r="AE92" s="883"/>
      <c r="AF92" s="883"/>
      <c r="AG92" s="883"/>
      <c r="AH92" s="884"/>
      <c r="AI92" s="883"/>
      <c r="AJ92" s="883"/>
      <c r="AK92" s="886"/>
      <c r="AL92" s="886"/>
      <c r="AM92" s="883"/>
      <c r="AN92" s="883"/>
      <c r="AO92" s="883"/>
      <c r="AP92" s="883"/>
      <c r="AQ92" s="883"/>
      <c r="AR92" s="883"/>
      <c r="AS92" s="883"/>
      <c r="AT92" s="883"/>
      <c r="AU92" s="883"/>
      <c r="AV92" s="883"/>
      <c r="AW92" s="883"/>
      <c r="AX92" s="883"/>
    </row>
    <row r="93" spans="1:50" s="917" customFormat="1" x14ac:dyDescent="0.55000000000000004">
      <c r="A93" s="883"/>
      <c r="B93" s="883"/>
      <c r="C93" s="884"/>
      <c r="D93" s="884"/>
      <c r="E93" s="884"/>
      <c r="F93" s="884"/>
      <c r="G93" s="883"/>
      <c r="H93" s="883"/>
      <c r="I93" s="883"/>
      <c r="J93" s="884"/>
      <c r="K93" s="884"/>
      <c r="L93" s="884"/>
      <c r="M93" s="885"/>
      <c r="N93" s="883"/>
      <c r="O93" s="883"/>
      <c r="P93" s="883"/>
      <c r="Q93" s="886"/>
      <c r="R93" s="886"/>
      <c r="S93" s="886"/>
      <c r="T93" s="884"/>
      <c r="U93" s="884"/>
      <c r="V93" s="887"/>
      <c r="W93" s="883"/>
      <c r="X93" s="888"/>
      <c r="Y93" s="888"/>
      <c r="Z93" s="918"/>
      <c r="AA93" s="918"/>
      <c r="AC93" s="883"/>
      <c r="AD93" s="883"/>
      <c r="AE93" s="883"/>
      <c r="AF93" s="883"/>
      <c r="AG93" s="883"/>
      <c r="AH93" s="884"/>
      <c r="AI93" s="883"/>
      <c r="AJ93" s="883"/>
      <c r="AK93" s="886"/>
      <c r="AL93" s="886"/>
      <c r="AM93" s="883"/>
      <c r="AN93" s="883"/>
      <c r="AO93" s="883"/>
      <c r="AP93" s="883"/>
      <c r="AQ93" s="883"/>
      <c r="AR93" s="883"/>
      <c r="AS93" s="883"/>
      <c r="AT93" s="883"/>
      <c r="AU93" s="883"/>
      <c r="AV93" s="883"/>
      <c r="AW93" s="883"/>
      <c r="AX93" s="883"/>
    </row>
    <row r="94" spans="1:50" s="917" customFormat="1" x14ac:dyDescent="0.55000000000000004">
      <c r="A94" s="883"/>
      <c r="B94" s="883"/>
      <c r="C94" s="884"/>
      <c r="D94" s="884"/>
      <c r="E94" s="884"/>
      <c r="F94" s="884"/>
      <c r="G94" s="883"/>
      <c r="H94" s="883"/>
      <c r="I94" s="883"/>
      <c r="J94" s="884"/>
      <c r="K94" s="884"/>
      <c r="L94" s="884"/>
      <c r="M94" s="885"/>
      <c r="N94" s="883"/>
      <c r="O94" s="883"/>
      <c r="P94" s="883"/>
      <c r="Q94" s="886"/>
      <c r="R94" s="886"/>
      <c r="S94" s="886"/>
      <c r="T94" s="884"/>
      <c r="U94" s="884"/>
      <c r="V94" s="887"/>
      <c r="W94" s="883"/>
      <c r="X94" s="888"/>
      <c r="Y94" s="888"/>
      <c r="Z94" s="918"/>
      <c r="AA94" s="918"/>
      <c r="AC94" s="883"/>
      <c r="AD94" s="883"/>
      <c r="AE94" s="883"/>
      <c r="AF94" s="883"/>
      <c r="AG94" s="883"/>
      <c r="AH94" s="884"/>
      <c r="AI94" s="883"/>
      <c r="AJ94" s="883"/>
      <c r="AK94" s="886"/>
      <c r="AL94" s="886"/>
      <c r="AM94" s="883"/>
      <c r="AN94" s="883"/>
      <c r="AO94" s="883"/>
      <c r="AP94" s="883"/>
      <c r="AQ94" s="883"/>
      <c r="AR94" s="883"/>
      <c r="AS94" s="883"/>
      <c r="AT94" s="883"/>
      <c r="AU94" s="883"/>
      <c r="AV94" s="883"/>
      <c r="AW94" s="883"/>
      <c r="AX94" s="883"/>
    </row>
    <row r="95" spans="1:50" s="917" customFormat="1" x14ac:dyDescent="0.55000000000000004">
      <c r="A95" s="883"/>
      <c r="B95" s="883"/>
      <c r="C95" s="884"/>
      <c r="D95" s="884"/>
      <c r="E95" s="884"/>
      <c r="F95" s="884"/>
      <c r="G95" s="883"/>
      <c r="H95" s="883"/>
      <c r="I95" s="883"/>
      <c r="J95" s="884"/>
      <c r="K95" s="884"/>
      <c r="L95" s="884"/>
      <c r="M95" s="885"/>
      <c r="N95" s="883"/>
      <c r="O95" s="883"/>
      <c r="P95" s="883"/>
      <c r="Q95" s="886"/>
      <c r="R95" s="886"/>
      <c r="S95" s="886"/>
      <c r="T95" s="884"/>
      <c r="U95" s="884"/>
      <c r="V95" s="887"/>
      <c r="W95" s="883"/>
      <c r="X95" s="888"/>
      <c r="Y95" s="888"/>
      <c r="Z95" s="918"/>
      <c r="AA95" s="918"/>
      <c r="AC95" s="883"/>
      <c r="AD95" s="883"/>
      <c r="AE95" s="883"/>
      <c r="AF95" s="883"/>
      <c r="AG95" s="883"/>
      <c r="AH95" s="884"/>
      <c r="AI95" s="883"/>
      <c r="AJ95" s="883"/>
      <c r="AK95" s="886"/>
      <c r="AL95" s="886"/>
      <c r="AM95" s="883"/>
      <c r="AN95" s="883"/>
      <c r="AO95" s="883"/>
      <c r="AP95" s="883"/>
      <c r="AQ95" s="883"/>
      <c r="AR95" s="883"/>
      <c r="AS95" s="883"/>
      <c r="AT95" s="883"/>
      <c r="AU95" s="883"/>
      <c r="AV95" s="883"/>
      <c r="AW95" s="883"/>
      <c r="AX95" s="883"/>
    </row>
    <row r="96" spans="1:50" s="917" customFormat="1" x14ac:dyDescent="0.55000000000000004">
      <c r="A96" s="883"/>
      <c r="B96" s="883"/>
      <c r="C96" s="884"/>
      <c r="D96" s="884"/>
      <c r="E96" s="884"/>
      <c r="F96" s="884"/>
      <c r="G96" s="883"/>
      <c r="H96" s="883"/>
      <c r="I96" s="883"/>
      <c r="J96" s="884"/>
      <c r="K96" s="884"/>
      <c r="L96" s="884"/>
      <c r="M96" s="885"/>
      <c r="N96" s="883"/>
      <c r="O96" s="883"/>
      <c r="P96" s="883"/>
      <c r="Q96" s="886"/>
      <c r="R96" s="886"/>
      <c r="S96" s="886"/>
      <c r="T96" s="884"/>
      <c r="U96" s="884"/>
      <c r="V96" s="887"/>
      <c r="W96" s="883"/>
      <c r="X96" s="888"/>
      <c r="Y96" s="888"/>
      <c r="Z96" s="918"/>
      <c r="AA96" s="918"/>
      <c r="AC96" s="883"/>
      <c r="AD96" s="883"/>
      <c r="AE96" s="883"/>
      <c r="AF96" s="883"/>
      <c r="AG96" s="883"/>
      <c r="AH96" s="884"/>
      <c r="AI96" s="883"/>
      <c r="AJ96" s="883"/>
      <c r="AK96" s="886"/>
      <c r="AL96" s="886"/>
      <c r="AM96" s="883"/>
      <c r="AN96" s="883"/>
      <c r="AO96" s="883"/>
      <c r="AP96" s="883"/>
      <c r="AQ96" s="883"/>
      <c r="AR96" s="883"/>
      <c r="AS96" s="883"/>
      <c r="AT96" s="883"/>
      <c r="AU96" s="883"/>
      <c r="AV96" s="883"/>
      <c r="AW96" s="883"/>
      <c r="AX96" s="883"/>
    </row>
    <row r="97" spans="1:50" s="917" customFormat="1" x14ac:dyDescent="0.55000000000000004">
      <c r="A97" s="883"/>
      <c r="B97" s="883"/>
      <c r="C97" s="884"/>
      <c r="D97" s="884"/>
      <c r="E97" s="884"/>
      <c r="F97" s="884"/>
      <c r="G97" s="883"/>
      <c r="H97" s="883"/>
      <c r="I97" s="883"/>
      <c r="J97" s="884"/>
      <c r="K97" s="884"/>
      <c r="L97" s="884"/>
      <c r="M97" s="885"/>
      <c r="N97" s="883"/>
      <c r="O97" s="883"/>
      <c r="P97" s="883"/>
      <c r="Q97" s="886"/>
      <c r="R97" s="886"/>
      <c r="S97" s="886"/>
      <c r="T97" s="884"/>
      <c r="U97" s="884"/>
      <c r="V97" s="887"/>
      <c r="W97" s="883"/>
      <c r="X97" s="888"/>
      <c r="Y97" s="888"/>
      <c r="Z97" s="918"/>
      <c r="AA97" s="918"/>
      <c r="AC97" s="883"/>
      <c r="AD97" s="883"/>
      <c r="AE97" s="883"/>
      <c r="AF97" s="883"/>
      <c r="AG97" s="883"/>
      <c r="AH97" s="884"/>
      <c r="AI97" s="883"/>
      <c r="AJ97" s="883"/>
      <c r="AK97" s="886"/>
      <c r="AL97" s="886"/>
      <c r="AM97" s="883"/>
      <c r="AN97" s="883"/>
      <c r="AO97" s="883"/>
      <c r="AP97" s="883"/>
      <c r="AQ97" s="883"/>
      <c r="AR97" s="883"/>
      <c r="AS97" s="883"/>
      <c r="AT97" s="883"/>
      <c r="AU97" s="883"/>
      <c r="AV97" s="883"/>
      <c r="AW97" s="883"/>
      <c r="AX97" s="883"/>
    </row>
    <row r="98" spans="1:50" s="917" customFormat="1" x14ac:dyDescent="0.55000000000000004">
      <c r="A98" s="883"/>
      <c r="B98" s="883"/>
      <c r="C98" s="884"/>
      <c r="D98" s="884"/>
      <c r="E98" s="884"/>
      <c r="F98" s="884"/>
      <c r="G98" s="883"/>
      <c r="H98" s="883"/>
      <c r="I98" s="883"/>
      <c r="J98" s="884"/>
      <c r="K98" s="884"/>
      <c r="L98" s="884"/>
      <c r="M98" s="885"/>
      <c r="N98" s="883"/>
      <c r="O98" s="883"/>
      <c r="P98" s="883"/>
      <c r="Q98" s="886"/>
      <c r="R98" s="886"/>
      <c r="S98" s="886"/>
      <c r="T98" s="884"/>
      <c r="U98" s="884"/>
      <c r="V98" s="887"/>
      <c r="W98" s="883"/>
      <c r="X98" s="888"/>
      <c r="Y98" s="888"/>
      <c r="Z98" s="918"/>
      <c r="AA98" s="918"/>
      <c r="AC98" s="883"/>
      <c r="AD98" s="883"/>
      <c r="AE98" s="883"/>
      <c r="AF98" s="883"/>
      <c r="AG98" s="883"/>
      <c r="AH98" s="884"/>
      <c r="AI98" s="883"/>
      <c r="AJ98" s="883"/>
      <c r="AK98" s="886"/>
      <c r="AL98" s="886"/>
      <c r="AM98" s="883"/>
      <c r="AN98" s="883"/>
      <c r="AO98" s="883"/>
      <c r="AP98" s="883"/>
      <c r="AQ98" s="883"/>
      <c r="AR98" s="883"/>
      <c r="AS98" s="883"/>
      <c r="AT98" s="883"/>
      <c r="AU98" s="883"/>
      <c r="AV98" s="883"/>
      <c r="AW98" s="883"/>
      <c r="AX98" s="883"/>
    </row>
    <row r="99" spans="1:50" s="917" customFormat="1" x14ac:dyDescent="0.55000000000000004">
      <c r="A99" s="883"/>
      <c r="B99" s="883"/>
      <c r="C99" s="884"/>
      <c r="D99" s="884"/>
      <c r="E99" s="884"/>
      <c r="F99" s="884"/>
      <c r="G99" s="883"/>
      <c r="H99" s="883"/>
      <c r="I99" s="883"/>
      <c r="J99" s="884"/>
      <c r="K99" s="884"/>
      <c r="L99" s="884"/>
      <c r="M99" s="885"/>
      <c r="N99" s="883"/>
      <c r="O99" s="883"/>
      <c r="P99" s="883"/>
      <c r="Q99" s="886"/>
      <c r="R99" s="886"/>
      <c r="S99" s="886"/>
      <c r="T99" s="884"/>
      <c r="U99" s="884"/>
      <c r="V99" s="887"/>
      <c r="W99" s="883"/>
      <c r="X99" s="888"/>
      <c r="Y99" s="888"/>
      <c r="Z99" s="918"/>
      <c r="AA99" s="918"/>
      <c r="AC99" s="883"/>
      <c r="AD99" s="883"/>
      <c r="AE99" s="883"/>
      <c r="AF99" s="883"/>
      <c r="AG99" s="883"/>
      <c r="AH99" s="884"/>
      <c r="AI99" s="883"/>
      <c r="AJ99" s="883"/>
      <c r="AK99" s="886"/>
      <c r="AL99" s="886"/>
      <c r="AM99" s="883"/>
      <c r="AN99" s="883"/>
      <c r="AO99" s="883"/>
      <c r="AP99" s="883"/>
      <c r="AQ99" s="883"/>
      <c r="AR99" s="883"/>
      <c r="AS99" s="883"/>
      <c r="AT99" s="883"/>
      <c r="AU99" s="883"/>
      <c r="AV99" s="883"/>
      <c r="AW99" s="883"/>
      <c r="AX99" s="883"/>
    </row>
    <row r="100" spans="1:50" s="917" customFormat="1" x14ac:dyDescent="0.55000000000000004">
      <c r="A100" s="883"/>
      <c r="B100" s="883"/>
      <c r="C100" s="884"/>
      <c r="D100" s="884"/>
      <c r="E100" s="884"/>
      <c r="F100" s="884"/>
      <c r="G100" s="883"/>
      <c r="H100" s="883"/>
      <c r="I100" s="883"/>
      <c r="J100" s="884"/>
      <c r="K100" s="884"/>
      <c r="L100" s="884"/>
      <c r="M100" s="885"/>
      <c r="N100" s="883"/>
      <c r="O100" s="883"/>
      <c r="P100" s="883"/>
      <c r="Q100" s="886"/>
      <c r="R100" s="886"/>
      <c r="S100" s="886"/>
      <c r="T100" s="884"/>
      <c r="U100" s="884"/>
      <c r="V100" s="887"/>
      <c r="W100" s="883"/>
      <c r="X100" s="888"/>
      <c r="Y100" s="888"/>
      <c r="Z100" s="918"/>
      <c r="AA100" s="918"/>
      <c r="AC100" s="883"/>
      <c r="AD100" s="883"/>
      <c r="AE100" s="883"/>
      <c r="AF100" s="883"/>
      <c r="AG100" s="883"/>
      <c r="AH100" s="884"/>
      <c r="AI100" s="883"/>
      <c r="AJ100" s="883"/>
      <c r="AK100" s="886"/>
      <c r="AL100" s="886"/>
      <c r="AM100" s="883"/>
      <c r="AN100" s="883"/>
      <c r="AO100" s="883"/>
      <c r="AP100" s="883"/>
      <c r="AQ100" s="883"/>
      <c r="AR100" s="883"/>
      <c r="AS100" s="883"/>
      <c r="AT100" s="883"/>
      <c r="AU100" s="883"/>
      <c r="AV100" s="883"/>
      <c r="AW100" s="883"/>
      <c r="AX100" s="883"/>
    </row>
    <row r="101" spans="1:50" s="917" customFormat="1" x14ac:dyDescent="0.55000000000000004">
      <c r="A101" s="883"/>
      <c r="B101" s="883"/>
      <c r="C101" s="884"/>
      <c r="D101" s="884"/>
      <c r="E101" s="884"/>
      <c r="F101" s="884"/>
      <c r="G101" s="883"/>
      <c r="H101" s="883"/>
      <c r="I101" s="883"/>
      <c r="J101" s="884"/>
      <c r="K101" s="884"/>
      <c r="L101" s="884"/>
      <c r="M101" s="885"/>
      <c r="N101" s="883"/>
      <c r="O101" s="883"/>
      <c r="P101" s="883"/>
      <c r="Q101" s="886"/>
      <c r="R101" s="886"/>
      <c r="S101" s="886"/>
      <c r="T101" s="884"/>
      <c r="U101" s="884"/>
      <c r="V101" s="887"/>
      <c r="W101" s="883"/>
      <c r="X101" s="888"/>
      <c r="Y101" s="888"/>
      <c r="Z101" s="918"/>
      <c r="AA101" s="918"/>
      <c r="AC101" s="883"/>
      <c r="AD101" s="883"/>
      <c r="AE101" s="883"/>
      <c r="AF101" s="883"/>
      <c r="AG101" s="883"/>
      <c r="AH101" s="884"/>
      <c r="AI101" s="883"/>
      <c r="AJ101" s="883"/>
      <c r="AK101" s="886"/>
      <c r="AL101" s="886"/>
      <c r="AM101" s="883"/>
      <c r="AN101" s="883"/>
      <c r="AO101" s="883"/>
      <c r="AP101" s="883"/>
      <c r="AQ101" s="883"/>
      <c r="AR101" s="883"/>
      <c r="AS101" s="883"/>
      <c r="AT101" s="883"/>
      <c r="AU101" s="883"/>
      <c r="AV101" s="883"/>
      <c r="AW101" s="883"/>
      <c r="AX101" s="883"/>
    </row>
    <row r="102" spans="1:50" s="917" customFormat="1" x14ac:dyDescent="0.55000000000000004">
      <c r="A102" s="883"/>
      <c r="B102" s="883"/>
      <c r="C102" s="884"/>
      <c r="D102" s="884"/>
      <c r="E102" s="884"/>
      <c r="F102" s="884"/>
      <c r="G102" s="883"/>
      <c r="H102" s="883"/>
      <c r="I102" s="883"/>
      <c r="J102" s="884"/>
      <c r="K102" s="884"/>
      <c r="L102" s="884"/>
      <c r="M102" s="885"/>
      <c r="N102" s="883"/>
      <c r="O102" s="883"/>
      <c r="P102" s="883"/>
      <c r="Q102" s="886"/>
      <c r="R102" s="886"/>
      <c r="S102" s="886"/>
      <c r="T102" s="884"/>
      <c r="U102" s="884"/>
      <c r="V102" s="887"/>
      <c r="W102" s="883"/>
      <c r="X102" s="888"/>
      <c r="Y102" s="888"/>
      <c r="Z102" s="919">
        <v>278</v>
      </c>
      <c r="AA102" s="919">
        <v>190</v>
      </c>
      <c r="AC102" s="883"/>
      <c r="AD102" s="883"/>
      <c r="AE102" s="883"/>
      <c r="AF102" s="883"/>
      <c r="AG102" s="883"/>
      <c r="AH102" s="884"/>
      <c r="AI102" s="883"/>
      <c r="AJ102" s="883"/>
      <c r="AK102" s="886"/>
      <c r="AL102" s="886"/>
      <c r="AM102" s="883"/>
      <c r="AN102" s="883"/>
      <c r="AO102" s="883"/>
      <c r="AP102" s="883"/>
      <c r="AQ102" s="883"/>
      <c r="AR102" s="883"/>
      <c r="AS102" s="883"/>
      <c r="AT102" s="883"/>
      <c r="AU102" s="883"/>
      <c r="AV102" s="883"/>
      <c r="AW102" s="883"/>
      <c r="AX102" s="883"/>
    </row>
    <row r="103" spans="1:50" s="917" customFormat="1" x14ac:dyDescent="0.55000000000000004">
      <c r="A103" s="883"/>
      <c r="B103" s="883"/>
      <c r="C103" s="884"/>
      <c r="D103" s="884"/>
      <c r="E103" s="884"/>
      <c r="F103" s="884"/>
      <c r="G103" s="883"/>
      <c r="H103" s="883"/>
      <c r="I103" s="883"/>
      <c r="J103" s="884"/>
      <c r="K103" s="884"/>
      <c r="L103" s="884"/>
      <c r="M103" s="885"/>
      <c r="N103" s="883"/>
      <c r="O103" s="883"/>
      <c r="P103" s="883"/>
      <c r="Q103" s="886"/>
      <c r="R103" s="886"/>
      <c r="S103" s="886"/>
      <c r="T103" s="884"/>
      <c r="U103" s="884"/>
      <c r="V103" s="887"/>
      <c r="W103" s="883"/>
      <c r="X103" s="888"/>
      <c r="Y103" s="888"/>
      <c r="Z103" s="918"/>
      <c r="AA103" s="918"/>
      <c r="AC103" s="883"/>
      <c r="AD103" s="883"/>
      <c r="AE103" s="883"/>
      <c r="AF103" s="883"/>
      <c r="AG103" s="883"/>
      <c r="AH103" s="884"/>
      <c r="AI103" s="883"/>
      <c r="AJ103" s="883"/>
      <c r="AK103" s="886"/>
      <c r="AL103" s="886"/>
      <c r="AM103" s="883"/>
      <c r="AN103" s="883"/>
      <c r="AO103" s="883"/>
      <c r="AP103" s="883"/>
      <c r="AQ103" s="883"/>
      <c r="AR103" s="883"/>
      <c r="AS103" s="883"/>
      <c r="AT103" s="883"/>
      <c r="AU103" s="883"/>
      <c r="AV103" s="883"/>
      <c r="AW103" s="883"/>
      <c r="AX103" s="883"/>
    </row>
    <row r="104" spans="1:50" s="917" customFormat="1" x14ac:dyDescent="0.55000000000000004">
      <c r="A104" s="883"/>
      <c r="B104" s="883"/>
      <c r="C104" s="884"/>
      <c r="D104" s="884"/>
      <c r="E104" s="884"/>
      <c r="F104" s="884"/>
      <c r="G104" s="883"/>
      <c r="H104" s="883"/>
      <c r="I104" s="883"/>
      <c r="J104" s="884"/>
      <c r="K104" s="884"/>
      <c r="L104" s="884"/>
      <c r="M104" s="885"/>
      <c r="N104" s="883"/>
      <c r="O104" s="883"/>
      <c r="P104" s="883"/>
      <c r="Q104" s="886"/>
      <c r="R104" s="886"/>
      <c r="S104" s="886"/>
      <c r="T104" s="884"/>
      <c r="U104" s="884"/>
      <c r="V104" s="887"/>
      <c r="W104" s="883"/>
      <c r="X104" s="888"/>
      <c r="Y104" s="888"/>
      <c r="Z104" s="918"/>
      <c r="AA104" s="918"/>
      <c r="AC104" s="883"/>
      <c r="AD104" s="883"/>
      <c r="AE104" s="883"/>
      <c r="AF104" s="883"/>
      <c r="AG104" s="883"/>
      <c r="AH104" s="884"/>
      <c r="AI104" s="883"/>
      <c r="AJ104" s="883"/>
      <c r="AK104" s="886"/>
      <c r="AL104" s="886"/>
      <c r="AM104" s="883"/>
      <c r="AN104" s="883"/>
      <c r="AO104" s="883"/>
      <c r="AP104" s="883"/>
      <c r="AQ104" s="883"/>
      <c r="AR104" s="883"/>
      <c r="AS104" s="883"/>
      <c r="AT104" s="883"/>
      <c r="AU104" s="883"/>
      <c r="AV104" s="883"/>
      <c r="AW104" s="883"/>
      <c r="AX104" s="883"/>
    </row>
    <row r="105" spans="1:50" s="917" customFormat="1" x14ac:dyDescent="0.55000000000000004">
      <c r="A105" s="883"/>
      <c r="B105" s="883"/>
      <c r="C105" s="884"/>
      <c r="D105" s="884"/>
      <c r="E105" s="884"/>
      <c r="F105" s="884"/>
      <c r="G105" s="883"/>
      <c r="H105" s="883"/>
      <c r="I105" s="883"/>
      <c r="J105" s="884"/>
      <c r="K105" s="884"/>
      <c r="L105" s="884"/>
      <c r="M105" s="885"/>
      <c r="N105" s="883"/>
      <c r="O105" s="883"/>
      <c r="P105" s="883"/>
      <c r="Q105" s="886"/>
      <c r="R105" s="886"/>
      <c r="S105" s="886"/>
      <c r="T105" s="884"/>
      <c r="U105" s="884"/>
      <c r="V105" s="887"/>
      <c r="W105" s="883"/>
      <c r="X105" s="888"/>
      <c r="Y105" s="888"/>
      <c r="Z105" s="919">
        <v>724</v>
      </c>
      <c r="AA105" s="919">
        <v>478</v>
      </c>
      <c r="AC105" s="883"/>
      <c r="AD105" s="883"/>
      <c r="AE105" s="883"/>
      <c r="AF105" s="883"/>
      <c r="AG105" s="883"/>
      <c r="AH105" s="884"/>
      <c r="AI105" s="883"/>
      <c r="AJ105" s="883"/>
      <c r="AK105" s="886"/>
      <c r="AL105" s="886"/>
      <c r="AM105" s="883"/>
      <c r="AN105" s="883"/>
      <c r="AO105" s="883"/>
      <c r="AP105" s="883"/>
      <c r="AQ105" s="883"/>
      <c r="AR105" s="883"/>
      <c r="AS105" s="883"/>
      <c r="AT105" s="883"/>
      <c r="AU105" s="883"/>
      <c r="AV105" s="883"/>
      <c r="AW105" s="883"/>
      <c r="AX105" s="883"/>
    </row>
    <row r="106" spans="1:50" s="917" customFormat="1" x14ac:dyDescent="0.55000000000000004">
      <c r="A106" s="883"/>
      <c r="B106" s="883"/>
      <c r="C106" s="884"/>
      <c r="D106" s="884"/>
      <c r="E106" s="884"/>
      <c r="F106" s="884"/>
      <c r="G106" s="883"/>
      <c r="H106" s="883"/>
      <c r="I106" s="883"/>
      <c r="J106" s="884"/>
      <c r="K106" s="884"/>
      <c r="L106" s="884"/>
      <c r="M106" s="885"/>
      <c r="N106" s="883"/>
      <c r="O106" s="883"/>
      <c r="P106" s="883"/>
      <c r="Q106" s="886"/>
      <c r="R106" s="886"/>
      <c r="S106" s="886"/>
      <c r="T106" s="884"/>
      <c r="U106" s="884"/>
      <c r="V106" s="887"/>
      <c r="W106" s="883"/>
      <c r="X106" s="888"/>
      <c r="Y106" s="888"/>
      <c r="Z106" s="918"/>
      <c r="AA106" s="918"/>
      <c r="AC106" s="883"/>
      <c r="AD106" s="883"/>
      <c r="AE106" s="883"/>
      <c r="AF106" s="883"/>
      <c r="AG106" s="883"/>
      <c r="AH106" s="884"/>
      <c r="AI106" s="883"/>
      <c r="AJ106" s="883"/>
      <c r="AK106" s="886"/>
      <c r="AL106" s="886"/>
      <c r="AM106" s="883"/>
      <c r="AN106" s="883"/>
      <c r="AO106" s="883"/>
      <c r="AP106" s="883"/>
      <c r="AQ106" s="883"/>
      <c r="AR106" s="883"/>
      <c r="AS106" s="883"/>
      <c r="AT106" s="883"/>
      <c r="AU106" s="883"/>
      <c r="AV106" s="883"/>
      <c r="AW106" s="883"/>
      <c r="AX106" s="883"/>
    </row>
    <row r="107" spans="1:50" s="917" customFormat="1" x14ac:dyDescent="0.55000000000000004">
      <c r="A107" s="883"/>
      <c r="B107" s="883"/>
      <c r="C107" s="884"/>
      <c r="D107" s="884"/>
      <c r="E107" s="884"/>
      <c r="F107" s="884"/>
      <c r="G107" s="883"/>
      <c r="H107" s="883"/>
      <c r="I107" s="883"/>
      <c r="J107" s="884"/>
      <c r="K107" s="884"/>
      <c r="L107" s="884"/>
      <c r="M107" s="885"/>
      <c r="N107" s="883"/>
      <c r="O107" s="883"/>
      <c r="P107" s="883"/>
      <c r="Q107" s="886"/>
      <c r="R107" s="886"/>
      <c r="S107" s="886"/>
      <c r="T107" s="884"/>
      <c r="U107" s="884"/>
      <c r="V107" s="887"/>
      <c r="W107" s="883"/>
      <c r="X107" s="888"/>
      <c r="Y107" s="888"/>
      <c r="Z107" s="918"/>
      <c r="AA107" s="918"/>
      <c r="AC107" s="883"/>
      <c r="AD107" s="883"/>
      <c r="AE107" s="883"/>
      <c r="AF107" s="883"/>
      <c r="AG107" s="883"/>
      <c r="AH107" s="884"/>
      <c r="AI107" s="883"/>
      <c r="AJ107" s="883"/>
      <c r="AK107" s="886"/>
      <c r="AL107" s="886"/>
      <c r="AM107" s="883"/>
      <c r="AN107" s="883"/>
      <c r="AO107" s="883"/>
      <c r="AP107" s="883"/>
      <c r="AQ107" s="883"/>
      <c r="AR107" s="883"/>
      <c r="AS107" s="883"/>
      <c r="AT107" s="883"/>
      <c r="AU107" s="883"/>
      <c r="AV107" s="883"/>
      <c r="AW107" s="883"/>
      <c r="AX107" s="883"/>
    </row>
    <row r="108" spans="1:50" s="917" customFormat="1" x14ac:dyDescent="0.55000000000000004">
      <c r="A108" s="883"/>
      <c r="B108" s="883"/>
      <c r="C108" s="884"/>
      <c r="D108" s="884"/>
      <c r="E108" s="884"/>
      <c r="F108" s="884"/>
      <c r="G108" s="883"/>
      <c r="H108" s="883"/>
      <c r="I108" s="883"/>
      <c r="J108" s="884"/>
      <c r="K108" s="884"/>
      <c r="L108" s="884"/>
      <c r="M108" s="885"/>
      <c r="N108" s="883"/>
      <c r="O108" s="883"/>
      <c r="P108" s="883"/>
      <c r="Q108" s="886"/>
      <c r="R108" s="886"/>
      <c r="S108" s="886"/>
      <c r="T108" s="884"/>
      <c r="U108" s="884"/>
      <c r="V108" s="887"/>
      <c r="W108" s="883"/>
      <c r="X108" s="888"/>
      <c r="Y108" s="888"/>
      <c r="Z108" s="918"/>
      <c r="AA108" s="918"/>
      <c r="AC108" s="883"/>
      <c r="AD108" s="883"/>
      <c r="AE108" s="883"/>
      <c r="AF108" s="883"/>
      <c r="AG108" s="883"/>
      <c r="AH108" s="884"/>
      <c r="AI108" s="883"/>
      <c r="AJ108" s="883"/>
      <c r="AK108" s="886"/>
      <c r="AL108" s="886"/>
      <c r="AM108" s="883"/>
      <c r="AN108" s="883"/>
      <c r="AO108" s="883"/>
      <c r="AP108" s="883"/>
      <c r="AQ108" s="883"/>
      <c r="AR108" s="883"/>
      <c r="AS108" s="883"/>
      <c r="AT108" s="883"/>
      <c r="AU108" s="883"/>
      <c r="AV108" s="883"/>
      <c r="AW108" s="883"/>
      <c r="AX108" s="883"/>
    </row>
    <row r="109" spans="1:50" s="917" customFormat="1" x14ac:dyDescent="0.55000000000000004">
      <c r="A109" s="883"/>
      <c r="B109" s="883"/>
      <c r="C109" s="884"/>
      <c r="D109" s="884"/>
      <c r="E109" s="884"/>
      <c r="F109" s="884"/>
      <c r="G109" s="883"/>
      <c r="H109" s="883"/>
      <c r="I109" s="883"/>
      <c r="J109" s="884"/>
      <c r="K109" s="884"/>
      <c r="L109" s="884"/>
      <c r="M109" s="885"/>
      <c r="N109" s="883"/>
      <c r="O109" s="883"/>
      <c r="P109" s="883"/>
      <c r="Q109" s="886"/>
      <c r="R109" s="886"/>
      <c r="S109" s="886"/>
      <c r="T109" s="884"/>
      <c r="U109" s="884"/>
      <c r="V109" s="887"/>
      <c r="W109" s="883"/>
      <c r="X109" s="888"/>
      <c r="Y109" s="888"/>
      <c r="Z109" s="918"/>
      <c r="AA109" s="918"/>
      <c r="AC109" s="883"/>
      <c r="AD109" s="883"/>
      <c r="AE109" s="883"/>
      <c r="AF109" s="883"/>
      <c r="AG109" s="883"/>
      <c r="AH109" s="884"/>
      <c r="AI109" s="883"/>
      <c r="AJ109" s="883"/>
      <c r="AK109" s="886"/>
      <c r="AL109" s="886"/>
      <c r="AM109" s="883"/>
      <c r="AN109" s="883"/>
      <c r="AO109" s="883"/>
      <c r="AP109" s="883"/>
      <c r="AQ109" s="883"/>
      <c r="AR109" s="883"/>
      <c r="AS109" s="883"/>
      <c r="AT109" s="883"/>
      <c r="AU109" s="883"/>
      <c r="AV109" s="883"/>
      <c r="AW109" s="883"/>
      <c r="AX109" s="883"/>
    </row>
    <row r="110" spans="1:50" s="917" customFormat="1" x14ac:dyDescent="0.55000000000000004">
      <c r="A110" s="883"/>
      <c r="B110" s="883"/>
      <c r="C110" s="884"/>
      <c r="D110" s="884"/>
      <c r="E110" s="884"/>
      <c r="F110" s="884"/>
      <c r="G110" s="883"/>
      <c r="H110" s="883"/>
      <c r="I110" s="883"/>
      <c r="J110" s="884"/>
      <c r="K110" s="884"/>
      <c r="L110" s="884"/>
      <c r="M110" s="885"/>
      <c r="N110" s="883"/>
      <c r="O110" s="883"/>
      <c r="P110" s="883"/>
      <c r="Q110" s="886"/>
      <c r="R110" s="886"/>
      <c r="S110" s="886"/>
      <c r="T110" s="884"/>
      <c r="U110" s="884"/>
      <c r="V110" s="887"/>
      <c r="W110" s="883"/>
      <c r="X110" s="888"/>
      <c r="Y110" s="888"/>
      <c r="Z110" s="918"/>
      <c r="AA110" s="918"/>
      <c r="AC110" s="883"/>
      <c r="AD110" s="883"/>
      <c r="AE110" s="883"/>
      <c r="AF110" s="883"/>
      <c r="AG110" s="883"/>
      <c r="AH110" s="884"/>
      <c r="AI110" s="883"/>
      <c r="AJ110" s="883"/>
      <c r="AK110" s="886"/>
      <c r="AL110" s="886"/>
      <c r="AM110" s="883"/>
      <c r="AN110" s="883"/>
      <c r="AO110" s="883"/>
      <c r="AP110" s="883"/>
      <c r="AQ110" s="883"/>
      <c r="AR110" s="883"/>
      <c r="AS110" s="883"/>
      <c r="AT110" s="883"/>
      <c r="AU110" s="883"/>
      <c r="AV110" s="883"/>
      <c r="AW110" s="883"/>
      <c r="AX110" s="883"/>
    </row>
    <row r="111" spans="1:50" s="917" customFormat="1" x14ac:dyDescent="0.55000000000000004">
      <c r="A111" s="883"/>
      <c r="B111" s="883"/>
      <c r="C111" s="884"/>
      <c r="D111" s="884"/>
      <c r="E111" s="884"/>
      <c r="F111" s="884"/>
      <c r="G111" s="883"/>
      <c r="H111" s="883"/>
      <c r="I111" s="883"/>
      <c r="J111" s="884"/>
      <c r="K111" s="884"/>
      <c r="L111" s="884"/>
      <c r="M111" s="885"/>
      <c r="N111" s="883"/>
      <c r="O111" s="883"/>
      <c r="P111" s="883"/>
      <c r="Q111" s="886"/>
      <c r="R111" s="886"/>
      <c r="S111" s="886"/>
      <c r="T111" s="884"/>
      <c r="U111" s="884"/>
      <c r="V111" s="887"/>
      <c r="W111" s="883"/>
      <c r="X111" s="888"/>
      <c r="Y111" s="888"/>
      <c r="Z111" s="918"/>
      <c r="AA111" s="918"/>
      <c r="AC111" s="883"/>
      <c r="AD111" s="883"/>
      <c r="AE111" s="883"/>
      <c r="AF111" s="883"/>
      <c r="AG111" s="883"/>
      <c r="AH111" s="884"/>
      <c r="AI111" s="883"/>
      <c r="AJ111" s="883"/>
      <c r="AK111" s="886"/>
      <c r="AL111" s="886"/>
      <c r="AM111" s="883"/>
      <c r="AN111" s="883"/>
      <c r="AO111" s="883"/>
      <c r="AP111" s="883"/>
      <c r="AQ111" s="883"/>
      <c r="AR111" s="883"/>
      <c r="AS111" s="883"/>
      <c r="AT111" s="883"/>
      <c r="AU111" s="883"/>
      <c r="AV111" s="883"/>
      <c r="AW111" s="883"/>
      <c r="AX111" s="883"/>
    </row>
    <row r="112" spans="1:50" s="917" customFormat="1" x14ac:dyDescent="0.55000000000000004">
      <c r="A112" s="883"/>
      <c r="B112" s="883"/>
      <c r="C112" s="884"/>
      <c r="D112" s="884"/>
      <c r="E112" s="884"/>
      <c r="F112" s="884"/>
      <c r="G112" s="883"/>
      <c r="H112" s="883"/>
      <c r="I112" s="883"/>
      <c r="J112" s="884"/>
      <c r="K112" s="884"/>
      <c r="L112" s="884"/>
      <c r="M112" s="885"/>
      <c r="N112" s="883"/>
      <c r="O112" s="883"/>
      <c r="P112" s="883"/>
      <c r="Q112" s="886"/>
      <c r="R112" s="886"/>
      <c r="S112" s="886"/>
      <c r="T112" s="884"/>
      <c r="U112" s="884"/>
      <c r="V112" s="887"/>
      <c r="W112" s="883"/>
      <c r="X112" s="888"/>
      <c r="Y112" s="888"/>
      <c r="Z112" s="918"/>
      <c r="AA112" s="918"/>
      <c r="AC112" s="883"/>
      <c r="AD112" s="883"/>
      <c r="AE112" s="883"/>
      <c r="AF112" s="883"/>
      <c r="AG112" s="883"/>
      <c r="AH112" s="884"/>
      <c r="AI112" s="883"/>
      <c r="AJ112" s="883"/>
      <c r="AK112" s="886"/>
      <c r="AL112" s="886"/>
      <c r="AM112" s="883"/>
      <c r="AN112" s="883"/>
      <c r="AO112" s="883"/>
      <c r="AP112" s="883"/>
      <c r="AQ112" s="883"/>
      <c r="AR112" s="883"/>
      <c r="AS112" s="883"/>
      <c r="AT112" s="883"/>
      <c r="AU112" s="883"/>
      <c r="AV112" s="883"/>
      <c r="AW112" s="883"/>
      <c r="AX112" s="883"/>
    </row>
    <row r="113" spans="1:50" s="917" customFormat="1" x14ac:dyDescent="0.55000000000000004">
      <c r="A113" s="883"/>
      <c r="B113" s="883"/>
      <c r="C113" s="884"/>
      <c r="D113" s="884"/>
      <c r="E113" s="884"/>
      <c r="F113" s="884"/>
      <c r="G113" s="883"/>
      <c r="H113" s="883"/>
      <c r="I113" s="883"/>
      <c r="J113" s="884"/>
      <c r="K113" s="884"/>
      <c r="L113" s="884"/>
      <c r="M113" s="885"/>
      <c r="N113" s="883"/>
      <c r="O113" s="883"/>
      <c r="P113" s="883"/>
      <c r="Q113" s="886"/>
      <c r="R113" s="886"/>
      <c r="S113" s="886"/>
      <c r="T113" s="884"/>
      <c r="U113" s="884"/>
      <c r="V113" s="887"/>
      <c r="W113" s="883"/>
      <c r="X113" s="888"/>
      <c r="Y113" s="888"/>
      <c r="Z113" s="918"/>
      <c r="AA113" s="918"/>
      <c r="AC113" s="883"/>
      <c r="AD113" s="883"/>
      <c r="AE113" s="883"/>
      <c r="AF113" s="883"/>
      <c r="AG113" s="883"/>
      <c r="AH113" s="884"/>
      <c r="AI113" s="883"/>
      <c r="AJ113" s="883"/>
      <c r="AK113" s="886"/>
      <c r="AL113" s="886"/>
      <c r="AM113" s="883"/>
      <c r="AN113" s="883"/>
      <c r="AO113" s="883"/>
      <c r="AP113" s="883"/>
      <c r="AQ113" s="883"/>
      <c r="AR113" s="883"/>
      <c r="AS113" s="883"/>
      <c r="AT113" s="883"/>
      <c r="AU113" s="883"/>
      <c r="AV113" s="883"/>
      <c r="AW113" s="883"/>
      <c r="AX113" s="883"/>
    </row>
    <row r="114" spans="1:50" s="917" customFormat="1" x14ac:dyDescent="0.55000000000000004">
      <c r="A114" s="883"/>
      <c r="B114" s="883"/>
      <c r="C114" s="884"/>
      <c r="D114" s="884"/>
      <c r="E114" s="884"/>
      <c r="F114" s="884"/>
      <c r="G114" s="883"/>
      <c r="H114" s="883"/>
      <c r="I114" s="883"/>
      <c r="J114" s="884"/>
      <c r="K114" s="884"/>
      <c r="L114" s="884"/>
      <c r="M114" s="885"/>
      <c r="N114" s="883"/>
      <c r="O114" s="883"/>
      <c r="P114" s="883"/>
      <c r="Q114" s="886"/>
      <c r="R114" s="886"/>
      <c r="S114" s="886"/>
      <c r="T114" s="884"/>
      <c r="U114" s="884"/>
      <c r="V114" s="887"/>
      <c r="W114" s="883"/>
      <c r="X114" s="888"/>
      <c r="Y114" s="888"/>
      <c r="Z114" s="918"/>
      <c r="AA114" s="918"/>
      <c r="AC114" s="883"/>
      <c r="AD114" s="883"/>
      <c r="AE114" s="883"/>
      <c r="AF114" s="883"/>
      <c r="AG114" s="883"/>
      <c r="AH114" s="884"/>
      <c r="AI114" s="883"/>
      <c r="AJ114" s="883"/>
      <c r="AK114" s="886"/>
      <c r="AL114" s="886"/>
      <c r="AM114" s="883"/>
      <c r="AN114" s="883"/>
      <c r="AO114" s="883"/>
      <c r="AP114" s="883"/>
      <c r="AQ114" s="883"/>
      <c r="AR114" s="883"/>
      <c r="AS114" s="883"/>
      <c r="AT114" s="883"/>
      <c r="AU114" s="883"/>
      <c r="AV114" s="883"/>
      <c r="AW114" s="883"/>
      <c r="AX114" s="883"/>
    </row>
    <row r="115" spans="1:50" s="917" customFormat="1" x14ac:dyDescent="0.55000000000000004">
      <c r="A115" s="883"/>
      <c r="B115" s="883"/>
      <c r="C115" s="884"/>
      <c r="D115" s="884"/>
      <c r="E115" s="884"/>
      <c r="F115" s="884"/>
      <c r="G115" s="883"/>
      <c r="H115" s="883"/>
      <c r="I115" s="883"/>
      <c r="J115" s="884"/>
      <c r="K115" s="884"/>
      <c r="L115" s="884"/>
      <c r="M115" s="885"/>
      <c r="N115" s="883"/>
      <c r="O115" s="883"/>
      <c r="P115" s="883"/>
      <c r="Q115" s="886"/>
      <c r="R115" s="886"/>
      <c r="S115" s="886"/>
      <c r="T115" s="884"/>
      <c r="U115" s="884"/>
      <c r="V115" s="887"/>
      <c r="W115" s="883"/>
      <c r="X115" s="888"/>
      <c r="Y115" s="888"/>
      <c r="Z115" s="918"/>
      <c r="AA115" s="918"/>
      <c r="AC115" s="883"/>
      <c r="AD115" s="883"/>
      <c r="AE115" s="883"/>
      <c r="AF115" s="883"/>
      <c r="AG115" s="883"/>
      <c r="AH115" s="884"/>
      <c r="AI115" s="883"/>
      <c r="AJ115" s="883"/>
      <c r="AK115" s="886"/>
      <c r="AL115" s="886"/>
      <c r="AM115" s="883"/>
      <c r="AN115" s="883"/>
      <c r="AO115" s="883"/>
      <c r="AP115" s="883"/>
      <c r="AQ115" s="883"/>
      <c r="AR115" s="883"/>
      <c r="AS115" s="883"/>
      <c r="AT115" s="883"/>
      <c r="AU115" s="883"/>
      <c r="AV115" s="883"/>
      <c r="AW115" s="883"/>
      <c r="AX115" s="883"/>
    </row>
    <row r="116" spans="1:50" s="917" customFormat="1" x14ac:dyDescent="0.55000000000000004">
      <c r="A116" s="883"/>
      <c r="B116" s="883"/>
      <c r="C116" s="884"/>
      <c r="D116" s="884"/>
      <c r="E116" s="884"/>
      <c r="F116" s="884"/>
      <c r="G116" s="883"/>
      <c r="H116" s="883"/>
      <c r="I116" s="883"/>
      <c r="J116" s="884"/>
      <c r="K116" s="884"/>
      <c r="L116" s="884"/>
      <c r="M116" s="885"/>
      <c r="N116" s="883"/>
      <c r="O116" s="883"/>
      <c r="P116" s="883"/>
      <c r="Q116" s="886"/>
      <c r="R116" s="886"/>
      <c r="S116" s="886"/>
      <c r="T116" s="884"/>
      <c r="U116" s="884"/>
      <c r="V116" s="887"/>
      <c r="W116" s="883"/>
      <c r="X116" s="888"/>
      <c r="Y116" s="888"/>
      <c r="Z116" s="918"/>
      <c r="AA116" s="918"/>
      <c r="AC116" s="883"/>
      <c r="AD116" s="883"/>
      <c r="AE116" s="883"/>
      <c r="AF116" s="883"/>
      <c r="AG116" s="883"/>
      <c r="AH116" s="884"/>
      <c r="AI116" s="883"/>
      <c r="AJ116" s="883"/>
      <c r="AK116" s="886"/>
      <c r="AL116" s="886"/>
      <c r="AM116" s="883"/>
      <c r="AN116" s="883"/>
      <c r="AO116" s="883"/>
      <c r="AP116" s="883"/>
      <c r="AQ116" s="883"/>
      <c r="AR116" s="883"/>
      <c r="AS116" s="883"/>
      <c r="AT116" s="883"/>
      <c r="AU116" s="883"/>
      <c r="AV116" s="883"/>
      <c r="AW116" s="883"/>
      <c r="AX116" s="883"/>
    </row>
    <row r="117" spans="1:50" s="917" customFormat="1" x14ac:dyDescent="0.55000000000000004">
      <c r="A117" s="883"/>
      <c r="B117" s="883"/>
      <c r="C117" s="884"/>
      <c r="D117" s="884"/>
      <c r="E117" s="884"/>
      <c r="F117" s="884"/>
      <c r="G117" s="883"/>
      <c r="H117" s="883"/>
      <c r="I117" s="883"/>
      <c r="J117" s="884"/>
      <c r="K117" s="884"/>
      <c r="L117" s="884"/>
      <c r="M117" s="885"/>
      <c r="N117" s="883"/>
      <c r="O117" s="883"/>
      <c r="P117" s="883"/>
      <c r="Q117" s="886"/>
      <c r="R117" s="886"/>
      <c r="S117" s="886"/>
      <c r="T117" s="884"/>
      <c r="U117" s="884"/>
      <c r="V117" s="887"/>
      <c r="W117" s="883"/>
      <c r="X117" s="888"/>
      <c r="Y117" s="888"/>
      <c r="Z117" s="918"/>
      <c r="AA117" s="918"/>
      <c r="AC117" s="883"/>
      <c r="AD117" s="883"/>
      <c r="AE117" s="883"/>
      <c r="AF117" s="883"/>
      <c r="AG117" s="883"/>
      <c r="AH117" s="884"/>
      <c r="AI117" s="883"/>
      <c r="AJ117" s="883"/>
      <c r="AK117" s="886"/>
      <c r="AL117" s="886"/>
      <c r="AM117" s="883"/>
      <c r="AN117" s="883"/>
      <c r="AO117" s="883"/>
      <c r="AP117" s="883"/>
      <c r="AQ117" s="883"/>
      <c r="AR117" s="883"/>
      <c r="AS117" s="883"/>
      <c r="AT117" s="883"/>
      <c r="AU117" s="883"/>
      <c r="AV117" s="883"/>
      <c r="AW117" s="883"/>
      <c r="AX117" s="883"/>
    </row>
    <row r="118" spans="1:50" s="917" customFormat="1" x14ac:dyDescent="0.55000000000000004">
      <c r="A118" s="883"/>
      <c r="B118" s="883"/>
      <c r="C118" s="884"/>
      <c r="D118" s="884"/>
      <c r="E118" s="884"/>
      <c r="F118" s="884"/>
      <c r="G118" s="883"/>
      <c r="H118" s="883"/>
      <c r="I118" s="883"/>
      <c r="J118" s="884"/>
      <c r="K118" s="884"/>
      <c r="L118" s="884"/>
      <c r="M118" s="885"/>
      <c r="N118" s="883"/>
      <c r="O118" s="883"/>
      <c r="P118" s="883"/>
      <c r="Q118" s="886"/>
      <c r="R118" s="886"/>
      <c r="S118" s="886"/>
      <c r="T118" s="884"/>
      <c r="U118" s="884"/>
      <c r="V118" s="887"/>
      <c r="W118" s="883"/>
      <c r="X118" s="888"/>
      <c r="Y118" s="888"/>
      <c r="Z118" s="918"/>
      <c r="AA118" s="918"/>
      <c r="AC118" s="883"/>
      <c r="AD118" s="883"/>
      <c r="AE118" s="883"/>
      <c r="AF118" s="883"/>
      <c r="AG118" s="883"/>
      <c r="AH118" s="884"/>
      <c r="AI118" s="883"/>
      <c r="AJ118" s="883"/>
      <c r="AK118" s="886"/>
      <c r="AL118" s="886"/>
      <c r="AM118" s="883"/>
      <c r="AN118" s="883"/>
      <c r="AO118" s="883"/>
      <c r="AP118" s="883"/>
      <c r="AQ118" s="883"/>
      <c r="AR118" s="883"/>
      <c r="AS118" s="883"/>
      <c r="AT118" s="883"/>
      <c r="AU118" s="883"/>
      <c r="AV118" s="883"/>
      <c r="AW118" s="883"/>
      <c r="AX118" s="883"/>
    </row>
    <row r="119" spans="1:50" s="917" customFormat="1" x14ac:dyDescent="0.55000000000000004">
      <c r="A119" s="883"/>
      <c r="B119" s="883"/>
      <c r="C119" s="884"/>
      <c r="D119" s="884"/>
      <c r="E119" s="884"/>
      <c r="F119" s="884"/>
      <c r="G119" s="883"/>
      <c r="H119" s="883"/>
      <c r="I119" s="883"/>
      <c r="J119" s="884"/>
      <c r="K119" s="884"/>
      <c r="L119" s="884"/>
      <c r="M119" s="885"/>
      <c r="N119" s="883"/>
      <c r="O119" s="883"/>
      <c r="P119" s="883"/>
      <c r="Q119" s="886"/>
      <c r="R119" s="886"/>
      <c r="S119" s="886"/>
      <c r="T119" s="884"/>
      <c r="U119" s="884"/>
      <c r="V119" s="887"/>
      <c r="W119" s="883"/>
      <c r="X119" s="888"/>
      <c r="Y119" s="888"/>
      <c r="Z119" s="918"/>
      <c r="AA119" s="918"/>
      <c r="AC119" s="883"/>
      <c r="AD119" s="883"/>
      <c r="AE119" s="883"/>
      <c r="AF119" s="883"/>
      <c r="AG119" s="883"/>
      <c r="AH119" s="884"/>
      <c r="AI119" s="883"/>
      <c r="AJ119" s="883"/>
      <c r="AK119" s="886"/>
      <c r="AL119" s="886"/>
      <c r="AM119" s="883"/>
      <c r="AN119" s="883"/>
      <c r="AO119" s="883"/>
      <c r="AP119" s="883"/>
      <c r="AQ119" s="883"/>
      <c r="AR119" s="883"/>
      <c r="AS119" s="883"/>
      <c r="AT119" s="883"/>
      <c r="AU119" s="883"/>
      <c r="AV119" s="883"/>
      <c r="AW119" s="883"/>
      <c r="AX119" s="883"/>
    </row>
    <row r="120" spans="1:50" s="917" customFormat="1" x14ac:dyDescent="0.55000000000000004">
      <c r="A120" s="883"/>
      <c r="B120" s="883"/>
      <c r="C120" s="884"/>
      <c r="D120" s="884"/>
      <c r="E120" s="884"/>
      <c r="F120" s="884"/>
      <c r="G120" s="883"/>
      <c r="H120" s="883"/>
      <c r="I120" s="883"/>
      <c r="J120" s="884"/>
      <c r="K120" s="884"/>
      <c r="L120" s="884"/>
      <c r="M120" s="885"/>
      <c r="N120" s="883"/>
      <c r="O120" s="883"/>
      <c r="P120" s="883"/>
      <c r="Q120" s="886"/>
      <c r="R120" s="886"/>
      <c r="S120" s="886"/>
      <c r="T120" s="884"/>
      <c r="U120" s="884"/>
      <c r="V120" s="887"/>
      <c r="W120" s="883"/>
      <c r="X120" s="888"/>
      <c r="Y120" s="888"/>
      <c r="Z120" s="918"/>
      <c r="AA120" s="918"/>
      <c r="AC120" s="883"/>
      <c r="AD120" s="883"/>
      <c r="AE120" s="883"/>
      <c r="AF120" s="883"/>
      <c r="AG120" s="883"/>
      <c r="AH120" s="884"/>
      <c r="AI120" s="883"/>
      <c r="AJ120" s="883"/>
      <c r="AK120" s="886"/>
      <c r="AL120" s="886"/>
      <c r="AM120" s="883"/>
      <c r="AN120" s="883"/>
      <c r="AO120" s="883"/>
      <c r="AP120" s="883"/>
      <c r="AQ120" s="883"/>
      <c r="AR120" s="883"/>
      <c r="AS120" s="883"/>
      <c r="AT120" s="883"/>
      <c r="AU120" s="883"/>
      <c r="AV120" s="883"/>
      <c r="AW120" s="883"/>
      <c r="AX120" s="883"/>
    </row>
    <row r="121" spans="1:50" s="917" customFormat="1" x14ac:dyDescent="0.55000000000000004">
      <c r="A121" s="883"/>
      <c r="B121" s="883"/>
      <c r="C121" s="884"/>
      <c r="D121" s="884"/>
      <c r="E121" s="884"/>
      <c r="F121" s="884"/>
      <c r="G121" s="883"/>
      <c r="H121" s="883"/>
      <c r="I121" s="883"/>
      <c r="J121" s="884"/>
      <c r="K121" s="884"/>
      <c r="L121" s="884"/>
      <c r="M121" s="885"/>
      <c r="N121" s="883"/>
      <c r="O121" s="883"/>
      <c r="P121" s="883"/>
      <c r="Q121" s="886"/>
      <c r="R121" s="886"/>
      <c r="S121" s="886"/>
      <c r="T121" s="884"/>
      <c r="U121" s="884"/>
      <c r="V121" s="887"/>
      <c r="W121" s="883"/>
      <c r="X121" s="888"/>
      <c r="Y121" s="888"/>
      <c r="Z121" s="918"/>
      <c r="AA121" s="918"/>
      <c r="AC121" s="883"/>
      <c r="AD121" s="883"/>
      <c r="AE121" s="883"/>
      <c r="AF121" s="883"/>
      <c r="AG121" s="883"/>
      <c r="AH121" s="884"/>
      <c r="AI121" s="883"/>
      <c r="AJ121" s="883"/>
      <c r="AK121" s="886"/>
      <c r="AL121" s="886"/>
      <c r="AM121" s="883"/>
      <c r="AN121" s="883"/>
      <c r="AO121" s="883"/>
      <c r="AP121" s="883"/>
      <c r="AQ121" s="883"/>
      <c r="AR121" s="883"/>
      <c r="AS121" s="883"/>
      <c r="AT121" s="883"/>
      <c r="AU121" s="883"/>
      <c r="AV121" s="883"/>
      <c r="AW121" s="883"/>
      <c r="AX121" s="883"/>
    </row>
    <row r="122" spans="1:50" s="917" customFormat="1" x14ac:dyDescent="0.55000000000000004">
      <c r="A122" s="883"/>
      <c r="B122" s="883"/>
      <c r="C122" s="884"/>
      <c r="D122" s="884"/>
      <c r="E122" s="884"/>
      <c r="F122" s="884"/>
      <c r="G122" s="883"/>
      <c r="H122" s="883"/>
      <c r="I122" s="883"/>
      <c r="J122" s="884"/>
      <c r="K122" s="884"/>
      <c r="L122" s="884"/>
      <c r="M122" s="885"/>
      <c r="N122" s="883"/>
      <c r="O122" s="883"/>
      <c r="P122" s="883"/>
      <c r="Q122" s="886"/>
      <c r="R122" s="886"/>
      <c r="S122" s="886"/>
      <c r="T122" s="884"/>
      <c r="U122" s="884"/>
      <c r="V122" s="887"/>
      <c r="W122" s="883"/>
      <c r="X122" s="888"/>
      <c r="Y122" s="888"/>
      <c r="Z122" s="918"/>
      <c r="AA122" s="918"/>
      <c r="AC122" s="883"/>
      <c r="AD122" s="883"/>
      <c r="AE122" s="883"/>
      <c r="AF122" s="883"/>
      <c r="AG122" s="883"/>
      <c r="AH122" s="884"/>
      <c r="AI122" s="883"/>
      <c r="AJ122" s="883"/>
      <c r="AK122" s="886"/>
      <c r="AL122" s="886"/>
      <c r="AM122" s="883"/>
      <c r="AN122" s="883"/>
      <c r="AO122" s="883"/>
      <c r="AP122" s="883"/>
      <c r="AQ122" s="883"/>
      <c r="AR122" s="883"/>
      <c r="AS122" s="883"/>
      <c r="AT122" s="883"/>
      <c r="AU122" s="883"/>
      <c r="AV122" s="883"/>
      <c r="AW122" s="883"/>
      <c r="AX122" s="883"/>
    </row>
    <row r="123" spans="1:50" s="917" customFormat="1" x14ac:dyDescent="0.55000000000000004">
      <c r="A123" s="883"/>
      <c r="B123" s="883"/>
      <c r="C123" s="884"/>
      <c r="D123" s="884"/>
      <c r="E123" s="884"/>
      <c r="F123" s="884"/>
      <c r="G123" s="883"/>
      <c r="H123" s="883"/>
      <c r="I123" s="883"/>
      <c r="J123" s="884"/>
      <c r="K123" s="884"/>
      <c r="L123" s="884"/>
      <c r="M123" s="885"/>
      <c r="N123" s="883"/>
      <c r="O123" s="883"/>
      <c r="P123" s="883"/>
      <c r="Q123" s="886"/>
      <c r="R123" s="886"/>
      <c r="S123" s="886"/>
      <c r="T123" s="884"/>
      <c r="U123" s="884"/>
      <c r="V123" s="887"/>
      <c r="W123" s="883"/>
      <c r="X123" s="888"/>
      <c r="Y123" s="888"/>
      <c r="Z123" s="918"/>
      <c r="AA123" s="918"/>
      <c r="AC123" s="883"/>
      <c r="AD123" s="883"/>
      <c r="AE123" s="883"/>
      <c r="AF123" s="883"/>
      <c r="AG123" s="883"/>
      <c r="AH123" s="884"/>
      <c r="AI123" s="883"/>
      <c r="AJ123" s="883"/>
      <c r="AK123" s="886"/>
      <c r="AL123" s="886"/>
      <c r="AM123" s="883"/>
      <c r="AN123" s="883"/>
      <c r="AO123" s="883"/>
      <c r="AP123" s="883"/>
      <c r="AQ123" s="883"/>
      <c r="AR123" s="883"/>
      <c r="AS123" s="883"/>
      <c r="AT123" s="883"/>
      <c r="AU123" s="883"/>
      <c r="AV123" s="883"/>
      <c r="AW123" s="883"/>
      <c r="AX123" s="883"/>
    </row>
    <row r="124" spans="1:50" s="917" customFormat="1" x14ac:dyDescent="0.55000000000000004">
      <c r="A124" s="883"/>
      <c r="B124" s="883"/>
      <c r="C124" s="884"/>
      <c r="D124" s="884"/>
      <c r="E124" s="884"/>
      <c r="F124" s="884"/>
      <c r="G124" s="883"/>
      <c r="H124" s="883"/>
      <c r="I124" s="883"/>
      <c r="J124" s="884"/>
      <c r="K124" s="884"/>
      <c r="L124" s="884"/>
      <c r="M124" s="885"/>
      <c r="N124" s="883"/>
      <c r="O124" s="883"/>
      <c r="P124" s="883"/>
      <c r="Q124" s="886"/>
      <c r="R124" s="886"/>
      <c r="S124" s="886"/>
      <c r="T124" s="884"/>
      <c r="U124" s="884"/>
      <c r="V124" s="887"/>
      <c r="W124" s="883"/>
      <c r="X124" s="888"/>
      <c r="Y124" s="888"/>
      <c r="Z124" s="918"/>
      <c r="AA124" s="918"/>
      <c r="AC124" s="883"/>
      <c r="AD124" s="883"/>
      <c r="AE124" s="883"/>
      <c r="AF124" s="883"/>
      <c r="AG124" s="883"/>
      <c r="AH124" s="884"/>
      <c r="AI124" s="883"/>
      <c r="AJ124" s="883"/>
      <c r="AK124" s="886"/>
      <c r="AL124" s="886"/>
      <c r="AM124" s="883"/>
      <c r="AN124" s="883"/>
      <c r="AO124" s="883"/>
      <c r="AP124" s="883"/>
      <c r="AQ124" s="883"/>
      <c r="AR124" s="883"/>
      <c r="AS124" s="883"/>
      <c r="AT124" s="883"/>
      <c r="AU124" s="883"/>
      <c r="AV124" s="883"/>
      <c r="AW124" s="883"/>
      <c r="AX124" s="883"/>
    </row>
    <row r="125" spans="1:50" s="917" customFormat="1" x14ac:dyDescent="0.55000000000000004">
      <c r="A125" s="883"/>
      <c r="B125" s="883"/>
      <c r="C125" s="884"/>
      <c r="D125" s="884"/>
      <c r="E125" s="884"/>
      <c r="F125" s="884"/>
      <c r="G125" s="883"/>
      <c r="H125" s="883"/>
      <c r="I125" s="883"/>
      <c r="J125" s="884"/>
      <c r="K125" s="884"/>
      <c r="L125" s="884"/>
      <c r="M125" s="885"/>
      <c r="N125" s="883"/>
      <c r="O125" s="883"/>
      <c r="P125" s="883"/>
      <c r="Q125" s="886"/>
      <c r="R125" s="886"/>
      <c r="S125" s="886"/>
      <c r="T125" s="884"/>
      <c r="U125" s="884"/>
      <c r="V125" s="887"/>
      <c r="W125" s="883"/>
      <c r="X125" s="888"/>
      <c r="Y125" s="888"/>
      <c r="Z125" s="918"/>
      <c r="AA125" s="918"/>
      <c r="AC125" s="883"/>
      <c r="AD125" s="883"/>
      <c r="AE125" s="883"/>
      <c r="AF125" s="883"/>
      <c r="AG125" s="883"/>
      <c r="AH125" s="884"/>
      <c r="AI125" s="883"/>
      <c r="AJ125" s="883"/>
      <c r="AK125" s="886"/>
      <c r="AL125" s="886"/>
      <c r="AM125" s="883"/>
      <c r="AN125" s="883"/>
      <c r="AO125" s="883"/>
      <c r="AP125" s="883"/>
      <c r="AQ125" s="883"/>
      <c r="AR125" s="883"/>
      <c r="AS125" s="883"/>
      <c r="AT125" s="883"/>
      <c r="AU125" s="883"/>
      <c r="AV125" s="883"/>
      <c r="AW125" s="883"/>
      <c r="AX125" s="883"/>
    </row>
    <row r="126" spans="1:50" s="917" customFormat="1" x14ac:dyDescent="0.55000000000000004">
      <c r="A126" s="883"/>
      <c r="B126" s="883"/>
      <c r="C126" s="884"/>
      <c r="D126" s="884"/>
      <c r="E126" s="884"/>
      <c r="F126" s="884"/>
      <c r="G126" s="883"/>
      <c r="H126" s="883"/>
      <c r="I126" s="883"/>
      <c r="J126" s="884"/>
      <c r="K126" s="884"/>
      <c r="L126" s="884"/>
      <c r="M126" s="885"/>
      <c r="N126" s="883"/>
      <c r="O126" s="883"/>
      <c r="P126" s="883"/>
      <c r="Q126" s="886"/>
      <c r="R126" s="886"/>
      <c r="S126" s="886"/>
      <c r="T126" s="884"/>
      <c r="U126" s="884"/>
      <c r="V126" s="887"/>
      <c r="W126" s="883"/>
      <c r="X126" s="888"/>
      <c r="Y126" s="888"/>
      <c r="Z126" s="918"/>
      <c r="AA126" s="918"/>
      <c r="AC126" s="883"/>
      <c r="AD126" s="883"/>
      <c r="AE126" s="883"/>
      <c r="AF126" s="883"/>
      <c r="AG126" s="883"/>
      <c r="AH126" s="884"/>
      <c r="AI126" s="883"/>
      <c r="AJ126" s="883"/>
      <c r="AK126" s="886"/>
      <c r="AL126" s="886"/>
      <c r="AM126" s="883"/>
      <c r="AN126" s="883"/>
      <c r="AO126" s="883"/>
      <c r="AP126" s="883"/>
      <c r="AQ126" s="883"/>
      <c r="AR126" s="883"/>
      <c r="AS126" s="883"/>
      <c r="AT126" s="883"/>
      <c r="AU126" s="883"/>
      <c r="AV126" s="883"/>
      <c r="AW126" s="883"/>
      <c r="AX126" s="883"/>
    </row>
    <row r="127" spans="1:50" s="917" customFormat="1" x14ac:dyDescent="0.55000000000000004">
      <c r="A127" s="883"/>
      <c r="B127" s="883"/>
      <c r="C127" s="884"/>
      <c r="D127" s="884"/>
      <c r="E127" s="884"/>
      <c r="F127" s="884"/>
      <c r="G127" s="883"/>
      <c r="H127" s="883"/>
      <c r="I127" s="883"/>
      <c r="J127" s="884"/>
      <c r="K127" s="884"/>
      <c r="L127" s="884"/>
      <c r="M127" s="885"/>
      <c r="N127" s="883"/>
      <c r="O127" s="883"/>
      <c r="P127" s="883"/>
      <c r="Q127" s="886"/>
      <c r="R127" s="886"/>
      <c r="S127" s="886"/>
      <c r="T127" s="884"/>
      <c r="U127" s="884"/>
      <c r="V127" s="887"/>
      <c r="W127" s="883"/>
      <c r="X127" s="888"/>
      <c r="Y127" s="888"/>
      <c r="Z127" s="918"/>
      <c r="AA127" s="918"/>
      <c r="AC127" s="883"/>
      <c r="AD127" s="883"/>
      <c r="AE127" s="883"/>
      <c r="AF127" s="883"/>
      <c r="AG127" s="883"/>
      <c r="AH127" s="884"/>
      <c r="AI127" s="883"/>
      <c r="AJ127" s="883"/>
      <c r="AK127" s="886"/>
      <c r="AL127" s="886"/>
      <c r="AM127" s="883"/>
      <c r="AN127" s="883"/>
      <c r="AO127" s="883"/>
      <c r="AP127" s="883"/>
      <c r="AQ127" s="883"/>
      <c r="AR127" s="883"/>
      <c r="AS127" s="883"/>
      <c r="AT127" s="883"/>
      <c r="AU127" s="883"/>
      <c r="AV127" s="883"/>
      <c r="AW127" s="883"/>
      <c r="AX127" s="883"/>
    </row>
    <row r="128" spans="1:50" s="917" customFormat="1" x14ac:dyDescent="0.55000000000000004">
      <c r="A128" s="883"/>
      <c r="B128" s="883"/>
      <c r="C128" s="884"/>
      <c r="D128" s="884"/>
      <c r="E128" s="884"/>
      <c r="F128" s="884"/>
      <c r="G128" s="883"/>
      <c r="H128" s="883"/>
      <c r="I128" s="883"/>
      <c r="J128" s="884"/>
      <c r="K128" s="884"/>
      <c r="L128" s="884"/>
      <c r="M128" s="885"/>
      <c r="N128" s="883"/>
      <c r="O128" s="883"/>
      <c r="P128" s="883"/>
      <c r="Q128" s="886"/>
      <c r="R128" s="886"/>
      <c r="S128" s="886"/>
      <c r="T128" s="884"/>
      <c r="U128" s="884"/>
      <c r="V128" s="887"/>
      <c r="W128" s="883"/>
      <c r="X128" s="888"/>
      <c r="Y128" s="888"/>
      <c r="Z128" s="918"/>
      <c r="AA128" s="918"/>
      <c r="AC128" s="883"/>
      <c r="AD128" s="883"/>
      <c r="AE128" s="883"/>
      <c r="AF128" s="883"/>
      <c r="AG128" s="883"/>
      <c r="AH128" s="884"/>
      <c r="AI128" s="883"/>
      <c r="AJ128" s="883"/>
      <c r="AK128" s="886"/>
      <c r="AL128" s="886"/>
      <c r="AM128" s="883"/>
      <c r="AN128" s="883"/>
      <c r="AO128" s="883"/>
      <c r="AP128" s="883"/>
      <c r="AQ128" s="883"/>
      <c r="AR128" s="883"/>
      <c r="AS128" s="883"/>
      <c r="AT128" s="883"/>
      <c r="AU128" s="883"/>
      <c r="AV128" s="883"/>
      <c r="AW128" s="883"/>
      <c r="AX128" s="883"/>
    </row>
    <row r="129" spans="1:50" s="917" customFormat="1" x14ac:dyDescent="0.55000000000000004">
      <c r="A129" s="883"/>
      <c r="B129" s="883"/>
      <c r="C129" s="884"/>
      <c r="D129" s="884"/>
      <c r="E129" s="884"/>
      <c r="F129" s="884"/>
      <c r="G129" s="883"/>
      <c r="H129" s="883"/>
      <c r="I129" s="883"/>
      <c r="J129" s="884"/>
      <c r="K129" s="884"/>
      <c r="L129" s="884"/>
      <c r="M129" s="885"/>
      <c r="N129" s="883"/>
      <c r="O129" s="883"/>
      <c r="P129" s="883"/>
      <c r="Q129" s="886"/>
      <c r="R129" s="886"/>
      <c r="S129" s="886"/>
      <c r="T129" s="884"/>
      <c r="U129" s="884"/>
      <c r="V129" s="887"/>
      <c r="W129" s="883"/>
      <c r="X129" s="888"/>
      <c r="Y129" s="888"/>
      <c r="Z129" s="918"/>
      <c r="AA129" s="918"/>
      <c r="AC129" s="883"/>
      <c r="AD129" s="883"/>
      <c r="AE129" s="883"/>
      <c r="AF129" s="883"/>
      <c r="AG129" s="883"/>
      <c r="AH129" s="884"/>
      <c r="AI129" s="883"/>
      <c r="AJ129" s="883"/>
      <c r="AK129" s="886"/>
      <c r="AL129" s="886"/>
      <c r="AM129" s="883"/>
      <c r="AN129" s="883"/>
      <c r="AO129" s="883"/>
      <c r="AP129" s="883"/>
      <c r="AQ129" s="883"/>
      <c r="AR129" s="883"/>
      <c r="AS129" s="883"/>
      <c r="AT129" s="883"/>
      <c r="AU129" s="883"/>
      <c r="AV129" s="883"/>
      <c r="AW129" s="883"/>
      <c r="AX129" s="883"/>
    </row>
    <row r="130" spans="1:50" s="917" customFormat="1" x14ac:dyDescent="0.55000000000000004">
      <c r="A130" s="883"/>
      <c r="B130" s="883"/>
      <c r="C130" s="884"/>
      <c r="D130" s="884"/>
      <c r="E130" s="884"/>
      <c r="F130" s="884"/>
      <c r="G130" s="883"/>
      <c r="H130" s="883"/>
      <c r="I130" s="883"/>
      <c r="J130" s="884"/>
      <c r="K130" s="884"/>
      <c r="L130" s="884"/>
      <c r="M130" s="885"/>
      <c r="N130" s="883"/>
      <c r="O130" s="883"/>
      <c r="P130" s="883"/>
      <c r="Q130" s="886"/>
      <c r="R130" s="886"/>
      <c r="S130" s="886"/>
      <c r="T130" s="884"/>
      <c r="U130" s="884"/>
      <c r="V130" s="887"/>
      <c r="W130" s="883"/>
      <c r="X130" s="888"/>
      <c r="Y130" s="888"/>
      <c r="Z130" s="918"/>
      <c r="AA130" s="918"/>
      <c r="AC130" s="883"/>
      <c r="AD130" s="883"/>
      <c r="AE130" s="883"/>
      <c r="AF130" s="883"/>
      <c r="AG130" s="883"/>
      <c r="AH130" s="884"/>
      <c r="AI130" s="883"/>
      <c r="AJ130" s="883"/>
      <c r="AK130" s="886"/>
      <c r="AL130" s="886"/>
      <c r="AM130" s="883"/>
      <c r="AN130" s="883"/>
      <c r="AO130" s="883"/>
      <c r="AP130" s="883"/>
      <c r="AQ130" s="883"/>
      <c r="AR130" s="883"/>
      <c r="AS130" s="883"/>
      <c r="AT130" s="883"/>
      <c r="AU130" s="883"/>
      <c r="AV130" s="883"/>
      <c r="AW130" s="883"/>
      <c r="AX130" s="883"/>
    </row>
    <row r="131" spans="1:50" s="917" customFormat="1" x14ac:dyDescent="0.55000000000000004">
      <c r="A131" s="883"/>
      <c r="B131" s="883"/>
      <c r="C131" s="884"/>
      <c r="D131" s="884"/>
      <c r="E131" s="884"/>
      <c r="F131" s="884"/>
      <c r="G131" s="883"/>
      <c r="H131" s="883"/>
      <c r="I131" s="883"/>
      <c r="J131" s="884"/>
      <c r="K131" s="884"/>
      <c r="L131" s="884"/>
      <c r="M131" s="885"/>
      <c r="N131" s="883"/>
      <c r="O131" s="883"/>
      <c r="P131" s="883"/>
      <c r="Q131" s="886"/>
      <c r="R131" s="886"/>
      <c r="S131" s="886"/>
      <c r="T131" s="884"/>
      <c r="U131" s="884"/>
      <c r="V131" s="887"/>
      <c r="W131" s="883"/>
      <c r="X131" s="888"/>
      <c r="Y131" s="888"/>
      <c r="Z131" s="918"/>
      <c r="AA131" s="918"/>
      <c r="AC131" s="883"/>
      <c r="AD131" s="883"/>
      <c r="AE131" s="883"/>
      <c r="AF131" s="883"/>
      <c r="AG131" s="883"/>
      <c r="AH131" s="884"/>
      <c r="AI131" s="883"/>
      <c r="AJ131" s="883"/>
      <c r="AK131" s="886"/>
      <c r="AL131" s="886"/>
      <c r="AM131" s="883"/>
      <c r="AN131" s="883"/>
      <c r="AO131" s="883"/>
      <c r="AP131" s="883"/>
      <c r="AQ131" s="883"/>
      <c r="AR131" s="883"/>
      <c r="AS131" s="883"/>
      <c r="AT131" s="883"/>
      <c r="AU131" s="883"/>
      <c r="AV131" s="883"/>
      <c r="AW131" s="883"/>
      <c r="AX131" s="883"/>
    </row>
    <row r="132" spans="1:50" s="917" customFormat="1" x14ac:dyDescent="0.55000000000000004">
      <c r="A132" s="883"/>
      <c r="B132" s="883"/>
      <c r="C132" s="884"/>
      <c r="D132" s="884"/>
      <c r="E132" s="884"/>
      <c r="F132" s="884"/>
      <c r="G132" s="883"/>
      <c r="H132" s="883"/>
      <c r="I132" s="883"/>
      <c r="J132" s="884"/>
      <c r="K132" s="884"/>
      <c r="L132" s="884"/>
      <c r="M132" s="885"/>
      <c r="N132" s="883"/>
      <c r="O132" s="883"/>
      <c r="P132" s="883"/>
      <c r="Q132" s="886"/>
      <c r="R132" s="886"/>
      <c r="S132" s="886"/>
      <c r="T132" s="884"/>
      <c r="U132" s="884"/>
      <c r="V132" s="887"/>
      <c r="W132" s="883"/>
      <c r="X132" s="888"/>
      <c r="Y132" s="888"/>
      <c r="Z132" s="918"/>
      <c r="AA132" s="918"/>
      <c r="AC132" s="883"/>
      <c r="AD132" s="883"/>
      <c r="AE132" s="883"/>
      <c r="AF132" s="883"/>
      <c r="AG132" s="883"/>
      <c r="AH132" s="884"/>
      <c r="AI132" s="883"/>
      <c r="AJ132" s="883"/>
      <c r="AK132" s="886"/>
      <c r="AL132" s="886"/>
      <c r="AM132" s="883"/>
      <c r="AN132" s="883"/>
      <c r="AO132" s="883"/>
      <c r="AP132" s="883"/>
      <c r="AQ132" s="883"/>
      <c r="AR132" s="883"/>
      <c r="AS132" s="883"/>
      <c r="AT132" s="883"/>
      <c r="AU132" s="883"/>
      <c r="AV132" s="883"/>
      <c r="AW132" s="883"/>
      <c r="AX132" s="883"/>
    </row>
    <row r="133" spans="1:50" s="917" customFormat="1" x14ac:dyDescent="0.55000000000000004">
      <c r="A133" s="883"/>
      <c r="B133" s="883"/>
      <c r="C133" s="884"/>
      <c r="D133" s="884"/>
      <c r="E133" s="884"/>
      <c r="F133" s="884"/>
      <c r="G133" s="883"/>
      <c r="H133" s="883"/>
      <c r="I133" s="883"/>
      <c r="J133" s="884"/>
      <c r="K133" s="884"/>
      <c r="L133" s="884"/>
      <c r="M133" s="885"/>
      <c r="N133" s="883"/>
      <c r="O133" s="883"/>
      <c r="P133" s="883"/>
      <c r="Q133" s="886"/>
      <c r="R133" s="886"/>
      <c r="S133" s="886"/>
      <c r="T133" s="884"/>
      <c r="U133" s="884"/>
      <c r="V133" s="887"/>
      <c r="W133" s="883"/>
      <c r="X133" s="888"/>
      <c r="Y133" s="888"/>
      <c r="Z133" s="918"/>
      <c r="AA133" s="918"/>
      <c r="AC133" s="883"/>
      <c r="AD133" s="883"/>
      <c r="AE133" s="883"/>
      <c r="AF133" s="883"/>
      <c r="AG133" s="883"/>
      <c r="AH133" s="884"/>
      <c r="AI133" s="883"/>
      <c r="AJ133" s="883"/>
      <c r="AK133" s="886"/>
      <c r="AL133" s="886"/>
      <c r="AM133" s="883"/>
      <c r="AN133" s="883"/>
      <c r="AO133" s="883"/>
      <c r="AP133" s="883"/>
      <c r="AQ133" s="883"/>
      <c r="AR133" s="883"/>
      <c r="AS133" s="883"/>
      <c r="AT133" s="883"/>
      <c r="AU133" s="883"/>
      <c r="AV133" s="883"/>
      <c r="AW133" s="883"/>
      <c r="AX133" s="883"/>
    </row>
    <row r="134" spans="1:50" s="917" customFormat="1" x14ac:dyDescent="0.55000000000000004">
      <c r="A134" s="883"/>
      <c r="B134" s="883"/>
      <c r="C134" s="884"/>
      <c r="D134" s="884"/>
      <c r="E134" s="884"/>
      <c r="F134" s="884"/>
      <c r="G134" s="883"/>
      <c r="H134" s="883"/>
      <c r="I134" s="883"/>
      <c r="J134" s="884"/>
      <c r="K134" s="884"/>
      <c r="L134" s="884"/>
      <c r="M134" s="885"/>
      <c r="N134" s="883"/>
      <c r="O134" s="883"/>
      <c r="P134" s="883"/>
      <c r="Q134" s="886"/>
      <c r="R134" s="886"/>
      <c r="S134" s="886"/>
      <c r="T134" s="884"/>
      <c r="U134" s="884"/>
      <c r="V134" s="887"/>
      <c r="W134" s="883"/>
      <c r="X134" s="888"/>
      <c r="Y134" s="888"/>
      <c r="Z134" s="918"/>
      <c r="AA134" s="918"/>
      <c r="AC134" s="883"/>
      <c r="AD134" s="883"/>
      <c r="AE134" s="883"/>
      <c r="AF134" s="883"/>
      <c r="AG134" s="883"/>
      <c r="AH134" s="884"/>
      <c r="AI134" s="883"/>
      <c r="AJ134" s="883"/>
      <c r="AK134" s="886"/>
      <c r="AL134" s="886"/>
      <c r="AM134" s="883"/>
      <c r="AN134" s="883"/>
      <c r="AO134" s="883"/>
      <c r="AP134" s="883"/>
      <c r="AQ134" s="883"/>
      <c r="AR134" s="883"/>
      <c r="AS134" s="883"/>
      <c r="AT134" s="883"/>
      <c r="AU134" s="883"/>
      <c r="AV134" s="883"/>
      <c r="AW134" s="883"/>
      <c r="AX134" s="883"/>
    </row>
    <row r="135" spans="1:50" s="917" customFormat="1" x14ac:dyDescent="0.55000000000000004">
      <c r="A135" s="883"/>
      <c r="B135" s="883"/>
      <c r="C135" s="884"/>
      <c r="D135" s="884"/>
      <c r="E135" s="884"/>
      <c r="F135" s="884"/>
      <c r="G135" s="883"/>
      <c r="H135" s="883"/>
      <c r="I135" s="883"/>
      <c r="J135" s="884"/>
      <c r="K135" s="884"/>
      <c r="L135" s="884"/>
      <c r="M135" s="885"/>
      <c r="N135" s="883"/>
      <c r="O135" s="883"/>
      <c r="P135" s="883"/>
      <c r="Q135" s="886"/>
      <c r="R135" s="886"/>
      <c r="S135" s="886"/>
      <c r="T135" s="884"/>
      <c r="U135" s="884"/>
      <c r="V135" s="887"/>
      <c r="W135" s="883"/>
      <c r="X135" s="888"/>
      <c r="Y135" s="888"/>
      <c r="Z135" s="918"/>
      <c r="AA135" s="918"/>
      <c r="AC135" s="883"/>
      <c r="AD135" s="883"/>
      <c r="AE135" s="883"/>
      <c r="AF135" s="883"/>
      <c r="AG135" s="883"/>
      <c r="AH135" s="884"/>
      <c r="AI135" s="883"/>
      <c r="AJ135" s="883"/>
      <c r="AK135" s="886"/>
      <c r="AL135" s="886"/>
      <c r="AM135" s="883"/>
      <c r="AN135" s="883"/>
      <c r="AO135" s="883"/>
      <c r="AP135" s="883"/>
      <c r="AQ135" s="883"/>
      <c r="AR135" s="883"/>
      <c r="AS135" s="883"/>
      <c r="AT135" s="883"/>
      <c r="AU135" s="883"/>
      <c r="AV135" s="883"/>
      <c r="AW135" s="883"/>
      <c r="AX135" s="883"/>
    </row>
    <row r="136" spans="1:50" s="917" customFormat="1" x14ac:dyDescent="0.55000000000000004">
      <c r="A136" s="883"/>
      <c r="B136" s="883"/>
      <c r="C136" s="884"/>
      <c r="D136" s="884"/>
      <c r="E136" s="884"/>
      <c r="F136" s="884"/>
      <c r="G136" s="883"/>
      <c r="H136" s="883"/>
      <c r="I136" s="883"/>
      <c r="J136" s="884"/>
      <c r="K136" s="884"/>
      <c r="L136" s="884"/>
      <c r="M136" s="885"/>
      <c r="N136" s="883"/>
      <c r="O136" s="883"/>
      <c r="P136" s="883"/>
      <c r="Q136" s="886"/>
      <c r="R136" s="886"/>
      <c r="S136" s="886"/>
      <c r="T136" s="884"/>
      <c r="U136" s="884"/>
      <c r="V136" s="887"/>
      <c r="W136" s="883"/>
      <c r="X136" s="888"/>
      <c r="Y136" s="888"/>
      <c r="Z136" s="918"/>
      <c r="AA136" s="918"/>
      <c r="AC136" s="883"/>
      <c r="AD136" s="883"/>
      <c r="AE136" s="883"/>
      <c r="AF136" s="883"/>
      <c r="AG136" s="883"/>
      <c r="AH136" s="884"/>
      <c r="AI136" s="883"/>
      <c r="AJ136" s="883"/>
      <c r="AK136" s="886"/>
      <c r="AL136" s="886"/>
      <c r="AM136" s="883"/>
      <c r="AN136" s="883"/>
      <c r="AO136" s="883"/>
      <c r="AP136" s="883"/>
      <c r="AQ136" s="883"/>
      <c r="AR136" s="883"/>
      <c r="AS136" s="883"/>
      <c r="AT136" s="883"/>
      <c r="AU136" s="883"/>
      <c r="AV136" s="883"/>
      <c r="AW136" s="883"/>
      <c r="AX136" s="883"/>
    </row>
    <row r="137" spans="1:50" s="917" customFormat="1" x14ac:dyDescent="0.55000000000000004">
      <c r="A137" s="883"/>
      <c r="B137" s="883"/>
      <c r="C137" s="884"/>
      <c r="D137" s="884"/>
      <c r="E137" s="884"/>
      <c r="F137" s="884"/>
      <c r="G137" s="883"/>
      <c r="H137" s="883"/>
      <c r="I137" s="883"/>
      <c r="J137" s="884"/>
      <c r="K137" s="884"/>
      <c r="L137" s="884"/>
      <c r="M137" s="885"/>
      <c r="N137" s="883"/>
      <c r="O137" s="883"/>
      <c r="P137" s="883"/>
      <c r="Q137" s="886"/>
      <c r="R137" s="886"/>
      <c r="S137" s="886"/>
      <c r="T137" s="884"/>
      <c r="U137" s="884"/>
      <c r="V137" s="887"/>
      <c r="W137" s="883"/>
      <c r="X137" s="888"/>
      <c r="Y137" s="888"/>
      <c r="Z137" s="918"/>
      <c r="AA137" s="918"/>
      <c r="AC137" s="883"/>
      <c r="AD137" s="883"/>
      <c r="AE137" s="883"/>
      <c r="AF137" s="883"/>
      <c r="AG137" s="883"/>
      <c r="AH137" s="884"/>
      <c r="AI137" s="883"/>
      <c r="AJ137" s="883"/>
      <c r="AK137" s="886"/>
      <c r="AL137" s="886"/>
      <c r="AM137" s="883"/>
      <c r="AN137" s="883"/>
      <c r="AO137" s="883"/>
      <c r="AP137" s="883"/>
      <c r="AQ137" s="883"/>
      <c r="AR137" s="883"/>
      <c r="AS137" s="883"/>
      <c r="AT137" s="883"/>
      <c r="AU137" s="883"/>
      <c r="AV137" s="883"/>
      <c r="AW137" s="883"/>
      <c r="AX137" s="883"/>
    </row>
    <row r="138" spans="1:50" s="917" customFormat="1" x14ac:dyDescent="0.55000000000000004">
      <c r="A138" s="883"/>
      <c r="B138" s="883"/>
      <c r="C138" s="884"/>
      <c r="D138" s="884"/>
      <c r="E138" s="884"/>
      <c r="F138" s="884"/>
      <c r="G138" s="883"/>
      <c r="H138" s="883"/>
      <c r="I138" s="883"/>
      <c r="J138" s="884"/>
      <c r="K138" s="884"/>
      <c r="L138" s="884"/>
      <c r="M138" s="885"/>
      <c r="N138" s="883"/>
      <c r="O138" s="883"/>
      <c r="P138" s="883"/>
      <c r="Q138" s="886"/>
      <c r="R138" s="886"/>
      <c r="S138" s="886"/>
      <c r="T138" s="884"/>
      <c r="U138" s="884"/>
      <c r="V138" s="887"/>
      <c r="W138" s="883"/>
      <c r="X138" s="888"/>
      <c r="Y138" s="888"/>
      <c r="Z138" s="918"/>
      <c r="AA138" s="918">
        <v>494</v>
      </c>
      <c r="AC138" s="883"/>
      <c r="AD138" s="883"/>
      <c r="AE138" s="883"/>
      <c r="AF138" s="883"/>
      <c r="AG138" s="883"/>
      <c r="AH138" s="884"/>
      <c r="AI138" s="883"/>
      <c r="AJ138" s="883"/>
      <c r="AK138" s="886"/>
      <c r="AL138" s="886"/>
      <c r="AM138" s="883"/>
      <c r="AN138" s="883"/>
      <c r="AO138" s="883"/>
      <c r="AP138" s="883"/>
      <c r="AQ138" s="883"/>
      <c r="AR138" s="883"/>
      <c r="AS138" s="883"/>
      <c r="AT138" s="883"/>
      <c r="AU138" s="883"/>
      <c r="AV138" s="883"/>
      <c r="AW138" s="883"/>
      <c r="AX138" s="883"/>
    </row>
    <row r="139" spans="1:50" s="917" customFormat="1" x14ac:dyDescent="0.55000000000000004">
      <c r="A139" s="883"/>
      <c r="B139" s="883"/>
      <c r="C139" s="884"/>
      <c r="D139" s="884"/>
      <c r="E139" s="884"/>
      <c r="F139" s="884"/>
      <c r="G139" s="883"/>
      <c r="H139" s="883"/>
      <c r="I139" s="883"/>
      <c r="J139" s="884"/>
      <c r="K139" s="884"/>
      <c r="L139" s="884"/>
      <c r="M139" s="885"/>
      <c r="N139" s="883"/>
      <c r="O139" s="883"/>
      <c r="P139" s="883"/>
      <c r="Q139" s="886"/>
      <c r="R139" s="886"/>
      <c r="S139" s="886"/>
      <c r="T139" s="884"/>
      <c r="U139" s="884"/>
      <c r="V139" s="887"/>
      <c r="W139" s="883"/>
      <c r="X139" s="888"/>
      <c r="Y139" s="888"/>
      <c r="Z139" s="919">
        <v>680</v>
      </c>
      <c r="AA139" s="919"/>
      <c r="AC139" s="883"/>
      <c r="AD139" s="883"/>
      <c r="AE139" s="883"/>
      <c r="AF139" s="883"/>
      <c r="AG139" s="883"/>
      <c r="AH139" s="884"/>
      <c r="AI139" s="883"/>
      <c r="AJ139" s="883"/>
      <c r="AK139" s="886"/>
      <c r="AL139" s="886"/>
      <c r="AM139" s="883"/>
      <c r="AN139" s="883"/>
      <c r="AO139" s="883"/>
      <c r="AP139" s="883"/>
      <c r="AQ139" s="883"/>
      <c r="AR139" s="883"/>
      <c r="AS139" s="883"/>
      <c r="AT139" s="883"/>
      <c r="AU139" s="883"/>
      <c r="AV139" s="883"/>
      <c r="AW139" s="883"/>
      <c r="AX139" s="883"/>
    </row>
    <row r="140" spans="1:50" s="917" customFormat="1" x14ac:dyDescent="0.55000000000000004">
      <c r="A140" s="883"/>
      <c r="B140" s="883"/>
      <c r="C140" s="884"/>
      <c r="D140" s="884"/>
      <c r="E140" s="884"/>
      <c r="F140" s="884"/>
      <c r="G140" s="883"/>
      <c r="H140" s="883"/>
      <c r="I140" s="883"/>
      <c r="J140" s="884"/>
      <c r="K140" s="884"/>
      <c r="L140" s="884"/>
      <c r="M140" s="885"/>
      <c r="N140" s="883"/>
      <c r="O140" s="883"/>
      <c r="P140" s="883"/>
      <c r="Q140" s="886"/>
      <c r="R140" s="886"/>
      <c r="S140" s="886"/>
      <c r="T140" s="884"/>
      <c r="U140" s="884"/>
      <c r="V140" s="887"/>
      <c r="W140" s="883"/>
      <c r="X140" s="888"/>
      <c r="Y140" s="888"/>
      <c r="Z140" s="919">
        <v>470</v>
      </c>
      <c r="AA140" s="919">
        <v>641</v>
      </c>
      <c r="AC140" s="883"/>
      <c r="AD140" s="883"/>
      <c r="AE140" s="883"/>
      <c r="AF140" s="883"/>
      <c r="AG140" s="883"/>
      <c r="AH140" s="884"/>
      <c r="AI140" s="883"/>
      <c r="AJ140" s="883"/>
      <c r="AK140" s="886"/>
      <c r="AL140" s="886"/>
      <c r="AM140" s="883"/>
      <c r="AN140" s="883"/>
      <c r="AO140" s="883"/>
      <c r="AP140" s="883"/>
      <c r="AQ140" s="883"/>
      <c r="AR140" s="883"/>
      <c r="AS140" s="883"/>
      <c r="AT140" s="883"/>
      <c r="AU140" s="883"/>
      <c r="AV140" s="883"/>
      <c r="AW140" s="883"/>
      <c r="AX140" s="883"/>
    </row>
    <row r="141" spans="1:50" s="917" customFormat="1" x14ac:dyDescent="0.55000000000000004">
      <c r="A141" s="883"/>
      <c r="B141" s="883"/>
      <c r="C141" s="884"/>
      <c r="D141" s="884"/>
      <c r="E141" s="884"/>
      <c r="F141" s="884"/>
      <c r="G141" s="883"/>
      <c r="H141" s="883"/>
      <c r="I141" s="883"/>
      <c r="J141" s="884"/>
      <c r="K141" s="884"/>
      <c r="L141" s="884"/>
      <c r="M141" s="885"/>
      <c r="N141" s="883"/>
      <c r="O141" s="883"/>
      <c r="P141" s="883"/>
      <c r="Q141" s="886"/>
      <c r="R141" s="886"/>
      <c r="S141" s="886"/>
      <c r="T141" s="884"/>
      <c r="U141" s="884"/>
      <c r="V141" s="887"/>
      <c r="W141" s="883"/>
      <c r="X141" s="888"/>
      <c r="Y141" s="888"/>
      <c r="Z141" s="918"/>
      <c r="AA141" s="918"/>
      <c r="AC141" s="883"/>
      <c r="AD141" s="883"/>
      <c r="AE141" s="883"/>
      <c r="AF141" s="883"/>
      <c r="AG141" s="883"/>
      <c r="AH141" s="884"/>
      <c r="AI141" s="883"/>
      <c r="AJ141" s="883"/>
      <c r="AK141" s="886"/>
      <c r="AL141" s="886"/>
      <c r="AM141" s="883"/>
      <c r="AN141" s="883"/>
      <c r="AO141" s="883"/>
      <c r="AP141" s="883"/>
      <c r="AQ141" s="883"/>
      <c r="AR141" s="883"/>
      <c r="AS141" s="883"/>
      <c r="AT141" s="883"/>
      <c r="AU141" s="883"/>
      <c r="AV141" s="883"/>
      <c r="AW141" s="883"/>
      <c r="AX141" s="883"/>
    </row>
    <row r="142" spans="1:50" s="917" customFormat="1" x14ac:dyDescent="0.55000000000000004">
      <c r="A142" s="883"/>
      <c r="B142" s="883"/>
      <c r="C142" s="884"/>
      <c r="D142" s="884"/>
      <c r="E142" s="884"/>
      <c r="F142" s="884"/>
      <c r="G142" s="883"/>
      <c r="H142" s="883"/>
      <c r="I142" s="883"/>
      <c r="J142" s="884"/>
      <c r="K142" s="884"/>
      <c r="L142" s="884"/>
      <c r="M142" s="885"/>
      <c r="N142" s="883"/>
      <c r="O142" s="883"/>
      <c r="P142" s="883"/>
      <c r="Q142" s="886"/>
      <c r="R142" s="886"/>
      <c r="S142" s="886"/>
      <c r="T142" s="884"/>
      <c r="U142" s="884"/>
      <c r="V142" s="887"/>
      <c r="W142" s="883"/>
      <c r="X142" s="888"/>
      <c r="Y142" s="888"/>
      <c r="Z142" s="918"/>
      <c r="AA142" s="918"/>
      <c r="AC142" s="883"/>
      <c r="AD142" s="883"/>
      <c r="AE142" s="883"/>
      <c r="AF142" s="883"/>
      <c r="AG142" s="883"/>
      <c r="AH142" s="884"/>
      <c r="AI142" s="883"/>
      <c r="AJ142" s="883"/>
      <c r="AK142" s="886"/>
      <c r="AL142" s="886"/>
      <c r="AM142" s="883"/>
      <c r="AN142" s="883"/>
      <c r="AO142" s="883"/>
      <c r="AP142" s="883"/>
      <c r="AQ142" s="883"/>
      <c r="AR142" s="883"/>
      <c r="AS142" s="883"/>
      <c r="AT142" s="883"/>
      <c r="AU142" s="883"/>
      <c r="AV142" s="883"/>
      <c r="AW142" s="883"/>
      <c r="AX142" s="883"/>
    </row>
    <row r="143" spans="1:50" s="917" customFormat="1" x14ac:dyDescent="0.55000000000000004">
      <c r="A143" s="883"/>
      <c r="B143" s="883"/>
      <c r="C143" s="884"/>
      <c r="D143" s="884"/>
      <c r="E143" s="884"/>
      <c r="F143" s="884"/>
      <c r="G143" s="883"/>
      <c r="H143" s="883"/>
      <c r="I143" s="883"/>
      <c r="J143" s="884"/>
      <c r="K143" s="884"/>
      <c r="L143" s="884"/>
      <c r="M143" s="885"/>
      <c r="N143" s="883"/>
      <c r="O143" s="883"/>
      <c r="P143" s="883"/>
      <c r="Q143" s="886"/>
      <c r="R143" s="886"/>
      <c r="S143" s="886"/>
      <c r="T143" s="884"/>
      <c r="U143" s="884"/>
      <c r="V143" s="887"/>
      <c r="W143" s="883"/>
      <c r="X143" s="888"/>
      <c r="Y143" s="888"/>
      <c r="Z143" s="918"/>
      <c r="AA143" s="918"/>
      <c r="AC143" s="883"/>
      <c r="AD143" s="883"/>
      <c r="AE143" s="883"/>
      <c r="AF143" s="883"/>
      <c r="AG143" s="883"/>
      <c r="AH143" s="884"/>
      <c r="AI143" s="883"/>
      <c r="AJ143" s="883"/>
      <c r="AK143" s="886"/>
      <c r="AL143" s="886"/>
      <c r="AM143" s="883"/>
      <c r="AN143" s="883"/>
      <c r="AO143" s="883"/>
      <c r="AP143" s="883"/>
      <c r="AQ143" s="883"/>
      <c r="AR143" s="883"/>
      <c r="AS143" s="883"/>
      <c r="AT143" s="883"/>
      <c r="AU143" s="883"/>
      <c r="AV143" s="883"/>
      <c r="AW143" s="883"/>
      <c r="AX143" s="883"/>
    </row>
    <row r="144" spans="1:50" s="917" customFormat="1" x14ac:dyDescent="0.55000000000000004">
      <c r="A144" s="883"/>
      <c r="B144" s="883"/>
      <c r="C144" s="884"/>
      <c r="D144" s="884"/>
      <c r="E144" s="884"/>
      <c r="F144" s="884"/>
      <c r="G144" s="883"/>
      <c r="H144" s="883"/>
      <c r="I144" s="883"/>
      <c r="J144" s="884"/>
      <c r="K144" s="884"/>
      <c r="L144" s="884"/>
      <c r="M144" s="885"/>
      <c r="N144" s="883"/>
      <c r="O144" s="883"/>
      <c r="P144" s="883"/>
      <c r="Q144" s="886"/>
      <c r="R144" s="886"/>
      <c r="S144" s="886"/>
      <c r="T144" s="884"/>
      <c r="U144" s="884"/>
      <c r="V144" s="887"/>
      <c r="W144" s="883"/>
      <c r="X144" s="888"/>
      <c r="Y144" s="888"/>
      <c r="Z144" s="919">
        <v>392</v>
      </c>
      <c r="AA144" s="919">
        <v>605</v>
      </c>
      <c r="AC144" s="883"/>
      <c r="AD144" s="883"/>
      <c r="AE144" s="883"/>
      <c r="AF144" s="883"/>
      <c r="AG144" s="883"/>
      <c r="AH144" s="884"/>
      <c r="AI144" s="883"/>
      <c r="AJ144" s="883"/>
      <c r="AK144" s="886"/>
      <c r="AL144" s="886"/>
      <c r="AM144" s="883"/>
      <c r="AN144" s="883"/>
      <c r="AO144" s="883"/>
      <c r="AP144" s="883"/>
      <c r="AQ144" s="883"/>
      <c r="AR144" s="883"/>
      <c r="AS144" s="883"/>
      <c r="AT144" s="883"/>
      <c r="AU144" s="883"/>
      <c r="AV144" s="883"/>
      <c r="AW144" s="883"/>
      <c r="AX144" s="883"/>
    </row>
    <row r="145" spans="1:50" s="917" customFormat="1" x14ac:dyDescent="0.55000000000000004">
      <c r="A145" s="883"/>
      <c r="B145" s="883"/>
      <c r="C145" s="884"/>
      <c r="D145" s="884"/>
      <c r="E145" s="884"/>
      <c r="F145" s="884"/>
      <c r="G145" s="883"/>
      <c r="H145" s="883"/>
      <c r="I145" s="883"/>
      <c r="J145" s="884"/>
      <c r="K145" s="884"/>
      <c r="L145" s="884"/>
      <c r="M145" s="885"/>
      <c r="N145" s="883"/>
      <c r="O145" s="883"/>
      <c r="P145" s="883"/>
      <c r="Q145" s="886"/>
      <c r="R145" s="886"/>
      <c r="S145" s="886"/>
      <c r="T145" s="884"/>
      <c r="U145" s="884"/>
      <c r="V145" s="887"/>
      <c r="W145" s="883"/>
      <c r="X145" s="888"/>
      <c r="Y145" s="888"/>
      <c r="Z145" s="918"/>
      <c r="AA145" s="918"/>
      <c r="AC145" s="883"/>
      <c r="AD145" s="883"/>
      <c r="AE145" s="883"/>
      <c r="AF145" s="883"/>
      <c r="AG145" s="883"/>
      <c r="AH145" s="884"/>
      <c r="AI145" s="883"/>
      <c r="AJ145" s="883"/>
      <c r="AK145" s="886"/>
      <c r="AL145" s="886"/>
      <c r="AM145" s="883"/>
      <c r="AN145" s="883"/>
      <c r="AO145" s="883"/>
      <c r="AP145" s="883"/>
      <c r="AQ145" s="883"/>
      <c r="AR145" s="883"/>
      <c r="AS145" s="883"/>
      <c r="AT145" s="883"/>
      <c r="AU145" s="883"/>
      <c r="AV145" s="883"/>
      <c r="AW145" s="883"/>
      <c r="AX145" s="883"/>
    </row>
    <row r="146" spans="1:50" s="917" customFormat="1" x14ac:dyDescent="0.55000000000000004">
      <c r="A146" s="883"/>
      <c r="B146" s="883"/>
      <c r="C146" s="884"/>
      <c r="D146" s="884"/>
      <c r="E146" s="884"/>
      <c r="F146" s="884"/>
      <c r="G146" s="883"/>
      <c r="H146" s="883"/>
      <c r="I146" s="883"/>
      <c r="J146" s="884"/>
      <c r="K146" s="884"/>
      <c r="L146" s="884"/>
      <c r="M146" s="885"/>
      <c r="N146" s="883"/>
      <c r="O146" s="883"/>
      <c r="P146" s="883"/>
      <c r="Q146" s="886"/>
      <c r="R146" s="886"/>
      <c r="S146" s="886"/>
      <c r="T146" s="884"/>
      <c r="U146" s="884"/>
      <c r="V146" s="887"/>
      <c r="W146" s="883"/>
      <c r="X146" s="888"/>
      <c r="Y146" s="888"/>
      <c r="Z146" s="918"/>
      <c r="AA146" s="918"/>
      <c r="AC146" s="883"/>
      <c r="AD146" s="883"/>
      <c r="AE146" s="883"/>
      <c r="AF146" s="883"/>
      <c r="AG146" s="883"/>
      <c r="AH146" s="884"/>
      <c r="AI146" s="883"/>
      <c r="AJ146" s="883"/>
      <c r="AK146" s="886"/>
      <c r="AL146" s="886"/>
      <c r="AM146" s="883"/>
      <c r="AN146" s="883"/>
      <c r="AO146" s="883"/>
      <c r="AP146" s="883"/>
      <c r="AQ146" s="883"/>
      <c r="AR146" s="883"/>
      <c r="AS146" s="883"/>
      <c r="AT146" s="883"/>
      <c r="AU146" s="883"/>
      <c r="AV146" s="883"/>
      <c r="AW146" s="883"/>
      <c r="AX146" s="883"/>
    </row>
    <row r="147" spans="1:50" s="917" customFormat="1" x14ac:dyDescent="0.55000000000000004">
      <c r="A147" s="883"/>
      <c r="B147" s="883"/>
      <c r="C147" s="884"/>
      <c r="D147" s="884"/>
      <c r="E147" s="884"/>
      <c r="F147" s="884"/>
      <c r="G147" s="883"/>
      <c r="H147" s="883"/>
      <c r="I147" s="883"/>
      <c r="J147" s="884"/>
      <c r="K147" s="884"/>
      <c r="L147" s="884"/>
      <c r="M147" s="885"/>
      <c r="N147" s="883"/>
      <c r="O147" s="883"/>
      <c r="P147" s="883"/>
      <c r="Q147" s="886"/>
      <c r="R147" s="886"/>
      <c r="S147" s="886"/>
      <c r="T147" s="884"/>
      <c r="U147" s="884"/>
      <c r="V147" s="887"/>
      <c r="W147" s="883"/>
      <c r="X147" s="888"/>
      <c r="Y147" s="888"/>
      <c r="Z147" s="918"/>
      <c r="AA147" s="918"/>
      <c r="AC147" s="883"/>
      <c r="AD147" s="883"/>
      <c r="AE147" s="883"/>
      <c r="AF147" s="883"/>
      <c r="AG147" s="883"/>
      <c r="AH147" s="884"/>
      <c r="AI147" s="883"/>
      <c r="AJ147" s="883"/>
      <c r="AK147" s="886"/>
      <c r="AL147" s="886"/>
      <c r="AM147" s="883"/>
      <c r="AN147" s="883"/>
      <c r="AO147" s="883"/>
      <c r="AP147" s="883"/>
      <c r="AQ147" s="883"/>
      <c r="AR147" s="883"/>
      <c r="AS147" s="883"/>
      <c r="AT147" s="883"/>
      <c r="AU147" s="883"/>
      <c r="AV147" s="883"/>
      <c r="AW147" s="883"/>
      <c r="AX147" s="883"/>
    </row>
    <row r="148" spans="1:50" s="917" customFormat="1" x14ac:dyDescent="0.55000000000000004">
      <c r="A148" s="883"/>
      <c r="B148" s="883"/>
      <c r="C148" s="884"/>
      <c r="D148" s="884"/>
      <c r="E148" s="884"/>
      <c r="F148" s="884"/>
      <c r="G148" s="883"/>
      <c r="H148" s="883"/>
      <c r="I148" s="883"/>
      <c r="J148" s="884"/>
      <c r="K148" s="884"/>
      <c r="L148" s="884"/>
      <c r="M148" s="885"/>
      <c r="N148" s="883"/>
      <c r="O148" s="883"/>
      <c r="P148" s="883"/>
      <c r="Q148" s="886"/>
      <c r="R148" s="886"/>
      <c r="S148" s="886"/>
      <c r="T148" s="884"/>
      <c r="U148" s="884"/>
      <c r="V148" s="887"/>
      <c r="W148" s="883"/>
      <c r="X148" s="888"/>
      <c r="Y148" s="888"/>
      <c r="Z148" s="919">
        <v>601</v>
      </c>
      <c r="AA148" s="919">
        <v>435</v>
      </c>
      <c r="AC148" s="883"/>
      <c r="AD148" s="883"/>
      <c r="AE148" s="883"/>
      <c r="AF148" s="883"/>
      <c r="AG148" s="883"/>
      <c r="AH148" s="884"/>
      <c r="AI148" s="883"/>
      <c r="AJ148" s="883"/>
      <c r="AK148" s="886"/>
      <c r="AL148" s="886"/>
      <c r="AM148" s="883"/>
      <c r="AN148" s="883"/>
      <c r="AO148" s="883"/>
      <c r="AP148" s="883"/>
      <c r="AQ148" s="883"/>
      <c r="AR148" s="883"/>
      <c r="AS148" s="883"/>
      <c r="AT148" s="883"/>
      <c r="AU148" s="883"/>
      <c r="AV148" s="883"/>
      <c r="AW148" s="883"/>
      <c r="AX148" s="883"/>
    </row>
    <row r="149" spans="1:50" s="917" customFormat="1" x14ac:dyDescent="0.55000000000000004">
      <c r="A149" s="883"/>
      <c r="B149" s="883"/>
      <c r="C149" s="884"/>
      <c r="D149" s="884"/>
      <c r="E149" s="884"/>
      <c r="F149" s="884"/>
      <c r="G149" s="883"/>
      <c r="H149" s="883"/>
      <c r="I149" s="883"/>
      <c r="J149" s="884"/>
      <c r="K149" s="884"/>
      <c r="L149" s="884"/>
      <c r="M149" s="885"/>
      <c r="N149" s="883"/>
      <c r="O149" s="883"/>
      <c r="P149" s="883"/>
      <c r="Q149" s="886"/>
      <c r="R149" s="886"/>
      <c r="S149" s="886"/>
      <c r="T149" s="884"/>
      <c r="U149" s="884"/>
      <c r="V149" s="887"/>
      <c r="W149" s="883"/>
      <c r="X149" s="888"/>
      <c r="Y149" s="888"/>
      <c r="Z149" s="920"/>
      <c r="AA149" s="919">
        <v>475</v>
      </c>
      <c r="AC149" s="883"/>
      <c r="AD149" s="883"/>
      <c r="AE149" s="883"/>
      <c r="AF149" s="883"/>
      <c r="AG149" s="883"/>
      <c r="AH149" s="884"/>
      <c r="AI149" s="883"/>
      <c r="AJ149" s="883"/>
      <c r="AK149" s="886"/>
      <c r="AL149" s="886"/>
      <c r="AM149" s="883"/>
      <c r="AN149" s="883"/>
      <c r="AO149" s="883"/>
      <c r="AP149" s="883"/>
      <c r="AQ149" s="883"/>
      <c r="AR149" s="883"/>
      <c r="AS149" s="883"/>
      <c r="AT149" s="883"/>
      <c r="AU149" s="883"/>
      <c r="AV149" s="883"/>
      <c r="AW149" s="883"/>
      <c r="AX149" s="883"/>
    </row>
    <row r="150" spans="1:50" s="917" customFormat="1" x14ac:dyDescent="0.55000000000000004">
      <c r="A150" s="883"/>
      <c r="B150" s="883"/>
      <c r="C150" s="884"/>
      <c r="D150" s="884"/>
      <c r="E150" s="884"/>
      <c r="F150" s="884"/>
      <c r="G150" s="883"/>
      <c r="H150" s="883"/>
      <c r="I150" s="883"/>
      <c r="J150" s="884"/>
      <c r="K150" s="884"/>
      <c r="L150" s="884"/>
      <c r="M150" s="885"/>
      <c r="N150" s="883"/>
      <c r="O150" s="883"/>
      <c r="P150" s="883"/>
      <c r="Q150" s="886"/>
      <c r="R150" s="886"/>
      <c r="S150" s="886"/>
      <c r="T150" s="884"/>
      <c r="U150" s="884"/>
      <c r="V150" s="887"/>
      <c r="W150" s="883"/>
      <c r="X150" s="888"/>
      <c r="Y150" s="888"/>
      <c r="Z150" s="918"/>
      <c r="AA150" s="918"/>
      <c r="AC150" s="883"/>
      <c r="AD150" s="883"/>
      <c r="AE150" s="883"/>
      <c r="AF150" s="883"/>
      <c r="AG150" s="883"/>
      <c r="AH150" s="884"/>
      <c r="AI150" s="883"/>
      <c r="AJ150" s="883"/>
      <c r="AK150" s="886"/>
      <c r="AL150" s="886"/>
      <c r="AM150" s="883"/>
      <c r="AN150" s="883"/>
      <c r="AO150" s="883"/>
      <c r="AP150" s="883"/>
      <c r="AQ150" s="883"/>
      <c r="AR150" s="883"/>
      <c r="AS150" s="883"/>
      <c r="AT150" s="883"/>
      <c r="AU150" s="883"/>
      <c r="AV150" s="883"/>
      <c r="AW150" s="883"/>
      <c r="AX150" s="883"/>
    </row>
    <row r="151" spans="1:50" s="917" customFormat="1" x14ac:dyDescent="0.55000000000000004">
      <c r="A151" s="883"/>
      <c r="B151" s="883"/>
      <c r="C151" s="884"/>
      <c r="D151" s="884"/>
      <c r="E151" s="884"/>
      <c r="F151" s="884"/>
      <c r="G151" s="883"/>
      <c r="H151" s="883"/>
      <c r="I151" s="883"/>
      <c r="J151" s="884"/>
      <c r="K151" s="884"/>
      <c r="L151" s="884"/>
      <c r="M151" s="885"/>
      <c r="N151" s="883"/>
      <c r="O151" s="883"/>
      <c r="P151" s="883"/>
      <c r="Q151" s="886"/>
      <c r="R151" s="886"/>
      <c r="S151" s="886"/>
      <c r="T151" s="884"/>
      <c r="U151" s="884"/>
      <c r="V151" s="887"/>
      <c r="W151" s="883"/>
      <c r="X151" s="888"/>
      <c r="Y151" s="888"/>
      <c r="Z151" s="918"/>
      <c r="AA151" s="918"/>
      <c r="AC151" s="883"/>
      <c r="AD151" s="883"/>
      <c r="AE151" s="883"/>
      <c r="AF151" s="883"/>
      <c r="AG151" s="883"/>
      <c r="AH151" s="884"/>
      <c r="AI151" s="883"/>
      <c r="AJ151" s="883"/>
      <c r="AK151" s="886"/>
      <c r="AL151" s="886"/>
      <c r="AM151" s="883"/>
      <c r="AN151" s="883"/>
      <c r="AO151" s="883"/>
      <c r="AP151" s="883"/>
      <c r="AQ151" s="883"/>
      <c r="AR151" s="883"/>
      <c r="AS151" s="883"/>
      <c r="AT151" s="883"/>
      <c r="AU151" s="883"/>
      <c r="AV151" s="883"/>
      <c r="AW151" s="883"/>
      <c r="AX151" s="883"/>
    </row>
    <row r="152" spans="1:50" s="917" customFormat="1" x14ac:dyDescent="0.55000000000000004">
      <c r="A152" s="883"/>
      <c r="B152" s="883"/>
      <c r="C152" s="884"/>
      <c r="D152" s="884"/>
      <c r="E152" s="884"/>
      <c r="F152" s="884"/>
      <c r="G152" s="883"/>
      <c r="H152" s="883"/>
      <c r="I152" s="883"/>
      <c r="J152" s="884"/>
      <c r="K152" s="884"/>
      <c r="L152" s="884"/>
      <c r="M152" s="885"/>
      <c r="N152" s="883"/>
      <c r="O152" s="883"/>
      <c r="P152" s="883"/>
      <c r="Q152" s="886"/>
      <c r="R152" s="886"/>
      <c r="S152" s="886"/>
      <c r="T152" s="884"/>
      <c r="U152" s="884"/>
      <c r="V152" s="887"/>
      <c r="W152" s="883"/>
      <c r="X152" s="888"/>
      <c r="Y152" s="888"/>
      <c r="Z152" s="918"/>
      <c r="AA152" s="918"/>
      <c r="AC152" s="883"/>
      <c r="AD152" s="883"/>
      <c r="AE152" s="883"/>
      <c r="AF152" s="883"/>
      <c r="AG152" s="883"/>
      <c r="AH152" s="884"/>
      <c r="AI152" s="883"/>
      <c r="AJ152" s="883"/>
      <c r="AK152" s="886"/>
      <c r="AL152" s="886"/>
      <c r="AM152" s="883"/>
      <c r="AN152" s="883"/>
      <c r="AO152" s="883"/>
      <c r="AP152" s="883"/>
      <c r="AQ152" s="883"/>
      <c r="AR152" s="883"/>
      <c r="AS152" s="883"/>
      <c r="AT152" s="883"/>
      <c r="AU152" s="883"/>
      <c r="AV152" s="883"/>
      <c r="AW152" s="883"/>
      <c r="AX152" s="883"/>
    </row>
    <row r="153" spans="1:50" s="917" customFormat="1" x14ac:dyDescent="0.55000000000000004">
      <c r="A153" s="883"/>
      <c r="B153" s="883"/>
      <c r="C153" s="884"/>
      <c r="D153" s="884"/>
      <c r="E153" s="884"/>
      <c r="F153" s="884"/>
      <c r="G153" s="883"/>
      <c r="H153" s="883"/>
      <c r="I153" s="883"/>
      <c r="J153" s="884"/>
      <c r="K153" s="884"/>
      <c r="L153" s="884"/>
      <c r="M153" s="885"/>
      <c r="N153" s="883"/>
      <c r="O153" s="883"/>
      <c r="P153" s="883"/>
      <c r="Q153" s="886"/>
      <c r="R153" s="886"/>
      <c r="S153" s="886"/>
      <c r="T153" s="884"/>
      <c r="U153" s="884"/>
      <c r="V153" s="887"/>
      <c r="W153" s="883"/>
      <c r="X153" s="888"/>
      <c r="Y153" s="888"/>
      <c r="Z153" s="919">
        <v>690</v>
      </c>
      <c r="AA153" s="919">
        <v>492</v>
      </c>
      <c r="AC153" s="883"/>
      <c r="AD153" s="883"/>
      <c r="AE153" s="883"/>
      <c r="AF153" s="883"/>
      <c r="AG153" s="883"/>
      <c r="AH153" s="884"/>
      <c r="AI153" s="883"/>
      <c r="AJ153" s="883"/>
      <c r="AK153" s="886"/>
      <c r="AL153" s="886"/>
      <c r="AM153" s="883"/>
      <c r="AN153" s="883"/>
      <c r="AO153" s="883"/>
      <c r="AP153" s="883"/>
      <c r="AQ153" s="883"/>
      <c r="AR153" s="883"/>
      <c r="AS153" s="883"/>
      <c r="AT153" s="883"/>
      <c r="AU153" s="883"/>
      <c r="AV153" s="883"/>
      <c r="AW153" s="883"/>
      <c r="AX153" s="883"/>
    </row>
    <row r="154" spans="1:50" s="917" customFormat="1" x14ac:dyDescent="0.55000000000000004">
      <c r="A154" s="883"/>
      <c r="B154" s="883"/>
      <c r="C154" s="884"/>
      <c r="D154" s="884"/>
      <c r="E154" s="884"/>
      <c r="F154" s="884"/>
      <c r="G154" s="883"/>
      <c r="H154" s="883"/>
      <c r="I154" s="883"/>
      <c r="J154" s="884"/>
      <c r="K154" s="884"/>
      <c r="L154" s="884"/>
      <c r="M154" s="885"/>
      <c r="N154" s="883"/>
      <c r="O154" s="883"/>
      <c r="P154" s="883"/>
      <c r="Q154" s="886"/>
      <c r="R154" s="886"/>
      <c r="S154" s="886"/>
      <c r="T154" s="884"/>
      <c r="U154" s="884"/>
      <c r="V154" s="887"/>
      <c r="W154" s="883"/>
      <c r="X154" s="888"/>
      <c r="Y154" s="888"/>
      <c r="Z154" s="918"/>
      <c r="AA154" s="918"/>
      <c r="AC154" s="883"/>
      <c r="AD154" s="883"/>
      <c r="AE154" s="883"/>
      <c r="AF154" s="883"/>
      <c r="AG154" s="883"/>
      <c r="AH154" s="884"/>
      <c r="AI154" s="883"/>
      <c r="AJ154" s="883"/>
      <c r="AK154" s="886"/>
      <c r="AL154" s="886"/>
      <c r="AM154" s="883"/>
      <c r="AN154" s="883"/>
      <c r="AO154" s="883"/>
      <c r="AP154" s="883"/>
      <c r="AQ154" s="883"/>
      <c r="AR154" s="883"/>
      <c r="AS154" s="883"/>
      <c r="AT154" s="883"/>
      <c r="AU154" s="883"/>
      <c r="AV154" s="883"/>
      <c r="AW154" s="883"/>
      <c r="AX154" s="883"/>
    </row>
    <row r="155" spans="1:50" s="917" customFormat="1" x14ac:dyDescent="0.55000000000000004">
      <c r="A155" s="883"/>
      <c r="B155" s="883"/>
      <c r="C155" s="884"/>
      <c r="D155" s="884"/>
      <c r="E155" s="884"/>
      <c r="F155" s="884"/>
      <c r="G155" s="883"/>
      <c r="H155" s="883"/>
      <c r="I155" s="883"/>
      <c r="J155" s="884"/>
      <c r="K155" s="884"/>
      <c r="L155" s="884"/>
      <c r="M155" s="885"/>
      <c r="N155" s="883"/>
      <c r="O155" s="883"/>
      <c r="P155" s="883"/>
      <c r="Q155" s="886"/>
      <c r="R155" s="886"/>
      <c r="S155" s="886"/>
      <c r="T155" s="884"/>
      <c r="U155" s="884"/>
      <c r="V155" s="887"/>
      <c r="W155" s="883"/>
      <c r="X155" s="888"/>
      <c r="Y155" s="888"/>
      <c r="Z155" s="918"/>
      <c r="AA155" s="918"/>
      <c r="AC155" s="883"/>
      <c r="AD155" s="883"/>
      <c r="AE155" s="883"/>
      <c r="AF155" s="883"/>
      <c r="AG155" s="883"/>
      <c r="AH155" s="884"/>
      <c r="AI155" s="883"/>
      <c r="AJ155" s="883"/>
      <c r="AK155" s="886"/>
      <c r="AL155" s="886"/>
      <c r="AM155" s="883"/>
      <c r="AN155" s="883"/>
      <c r="AO155" s="883"/>
      <c r="AP155" s="883"/>
      <c r="AQ155" s="883"/>
      <c r="AR155" s="883"/>
      <c r="AS155" s="883"/>
      <c r="AT155" s="883"/>
      <c r="AU155" s="883"/>
      <c r="AV155" s="883"/>
      <c r="AW155" s="883"/>
      <c r="AX155" s="883"/>
    </row>
    <row r="156" spans="1:50" s="917" customFormat="1" x14ac:dyDescent="0.55000000000000004">
      <c r="A156" s="883"/>
      <c r="B156" s="883"/>
      <c r="C156" s="884"/>
      <c r="D156" s="884"/>
      <c r="E156" s="884"/>
      <c r="F156" s="884"/>
      <c r="G156" s="883"/>
      <c r="H156" s="883"/>
      <c r="I156" s="883"/>
      <c r="J156" s="884"/>
      <c r="K156" s="884"/>
      <c r="L156" s="884"/>
      <c r="M156" s="885"/>
      <c r="N156" s="883"/>
      <c r="O156" s="883"/>
      <c r="P156" s="883"/>
      <c r="Q156" s="886"/>
      <c r="R156" s="886"/>
      <c r="S156" s="886"/>
      <c r="T156" s="884"/>
      <c r="U156" s="884"/>
      <c r="V156" s="887"/>
      <c r="W156" s="883"/>
      <c r="X156" s="888"/>
      <c r="Y156" s="888"/>
      <c r="Z156" s="918"/>
      <c r="AA156" s="918"/>
      <c r="AC156" s="883"/>
      <c r="AD156" s="883"/>
      <c r="AE156" s="883"/>
      <c r="AF156" s="883"/>
      <c r="AG156" s="883"/>
      <c r="AH156" s="884"/>
      <c r="AI156" s="883"/>
      <c r="AJ156" s="883"/>
      <c r="AK156" s="886"/>
      <c r="AL156" s="886"/>
      <c r="AM156" s="883"/>
      <c r="AN156" s="883"/>
      <c r="AO156" s="883"/>
      <c r="AP156" s="883"/>
      <c r="AQ156" s="883"/>
      <c r="AR156" s="883"/>
      <c r="AS156" s="883"/>
      <c r="AT156" s="883"/>
      <c r="AU156" s="883"/>
      <c r="AV156" s="883"/>
      <c r="AW156" s="883"/>
      <c r="AX156" s="883"/>
    </row>
    <row r="157" spans="1:50" s="917" customFormat="1" x14ac:dyDescent="0.55000000000000004">
      <c r="A157" s="883"/>
      <c r="B157" s="883"/>
      <c r="C157" s="884"/>
      <c r="D157" s="884"/>
      <c r="E157" s="884"/>
      <c r="F157" s="884"/>
      <c r="G157" s="883"/>
      <c r="H157" s="883"/>
      <c r="I157" s="883"/>
      <c r="J157" s="884"/>
      <c r="K157" s="884"/>
      <c r="L157" s="884"/>
      <c r="M157" s="885"/>
      <c r="N157" s="883"/>
      <c r="O157" s="883"/>
      <c r="P157" s="883"/>
      <c r="Q157" s="886"/>
      <c r="R157" s="886"/>
      <c r="S157" s="886"/>
      <c r="T157" s="884"/>
      <c r="U157" s="884"/>
      <c r="V157" s="887"/>
      <c r="W157" s="883"/>
      <c r="X157" s="888"/>
      <c r="Y157" s="888"/>
      <c r="Z157" s="918"/>
      <c r="AA157" s="918"/>
      <c r="AC157" s="883"/>
      <c r="AD157" s="883"/>
      <c r="AE157" s="883"/>
      <c r="AF157" s="883"/>
      <c r="AG157" s="883"/>
      <c r="AH157" s="884"/>
      <c r="AI157" s="883"/>
      <c r="AJ157" s="883"/>
      <c r="AK157" s="886"/>
      <c r="AL157" s="886"/>
      <c r="AM157" s="883"/>
      <c r="AN157" s="883"/>
      <c r="AO157" s="883"/>
      <c r="AP157" s="883"/>
      <c r="AQ157" s="883"/>
      <c r="AR157" s="883"/>
      <c r="AS157" s="883"/>
      <c r="AT157" s="883"/>
      <c r="AU157" s="883"/>
      <c r="AV157" s="883"/>
      <c r="AW157" s="883"/>
      <c r="AX157" s="883"/>
    </row>
    <row r="158" spans="1:50" s="917" customFormat="1" x14ac:dyDescent="0.55000000000000004">
      <c r="A158" s="883"/>
      <c r="B158" s="883"/>
      <c r="C158" s="884"/>
      <c r="D158" s="884"/>
      <c r="E158" s="884"/>
      <c r="F158" s="884"/>
      <c r="G158" s="883"/>
      <c r="H158" s="883"/>
      <c r="I158" s="883"/>
      <c r="J158" s="884"/>
      <c r="K158" s="884"/>
      <c r="L158" s="884"/>
      <c r="M158" s="885"/>
      <c r="N158" s="883"/>
      <c r="O158" s="883"/>
      <c r="P158" s="883"/>
      <c r="Q158" s="886"/>
      <c r="R158" s="886"/>
      <c r="S158" s="886"/>
      <c r="T158" s="884"/>
      <c r="U158" s="884"/>
      <c r="V158" s="887"/>
      <c r="W158" s="883"/>
      <c r="X158" s="888"/>
      <c r="Y158" s="888"/>
      <c r="Z158" s="918"/>
      <c r="AA158" s="918"/>
      <c r="AC158" s="883"/>
      <c r="AD158" s="883"/>
      <c r="AE158" s="883"/>
      <c r="AF158" s="883"/>
      <c r="AG158" s="883"/>
      <c r="AH158" s="884"/>
      <c r="AI158" s="883"/>
      <c r="AJ158" s="883"/>
      <c r="AK158" s="886"/>
      <c r="AL158" s="886"/>
      <c r="AM158" s="883"/>
      <c r="AN158" s="883"/>
      <c r="AO158" s="883"/>
      <c r="AP158" s="883"/>
      <c r="AQ158" s="883"/>
      <c r="AR158" s="883"/>
      <c r="AS158" s="883"/>
      <c r="AT158" s="883"/>
      <c r="AU158" s="883"/>
      <c r="AV158" s="883"/>
      <c r="AW158" s="883"/>
      <c r="AX158" s="883"/>
    </row>
    <row r="159" spans="1:50" s="917" customFormat="1" x14ac:dyDescent="0.55000000000000004">
      <c r="A159" s="883"/>
      <c r="B159" s="883"/>
      <c r="C159" s="884"/>
      <c r="D159" s="884"/>
      <c r="E159" s="884"/>
      <c r="F159" s="884"/>
      <c r="G159" s="883"/>
      <c r="H159" s="883"/>
      <c r="I159" s="883"/>
      <c r="J159" s="884"/>
      <c r="K159" s="884"/>
      <c r="L159" s="884"/>
      <c r="M159" s="885"/>
      <c r="N159" s="883"/>
      <c r="O159" s="883"/>
      <c r="P159" s="883"/>
      <c r="Q159" s="886"/>
      <c r="R159" s="886"/>
      <c r="S159" s="886"/>
      <c r="T159" s="884"/>
      <c r="U159" s="884"/>
      <c r="V159" s="887"/>
      <c r="W159" s="883"/>
      <c r="X159" s="888"/>
      <c r="Y159" s="888"/>
      <c r="Z159" s="918"/>
      <c r="AA159" s="918"/>
      <c r="AC159" s="883"/>
      <c r="AD159" s="883"/>
      <c r="AE159" s="883"/>
      <c r="AF159" s="883"/>
      <c r="AG159" s="883"/>
      <c r="AH159" s="884"/>
      <c r="AI159" s="883"/>
      <c r="AJ159" s="883"/>
      <c r="AK159" s="886"/>
      <c r="AL159" s="886"/>
      <c r="AM159" s="883"/>
      <c r="AN159" s="883"/>
      <c r="AO159" s="883"/>
      <c r="AP159" s="883"/>
      <c r="AQ159" s="883"/>
      <c r="AR159" s="883"/>
      <c r="AS159" s="883"/>
      <c r="AT159" s="883"/>
      <c r="AU159" s="883"/>
      <c r="AV159" s="883"/>
      <c r="AW159" s="883"/>
      <c r="AX159" s="883"/>
    </row>
    <row r="160" spans="1:50" s="917" customFormat="1" x14ac:dyDescent="0.55000000000000004">
      <c r="A160" s="883"/>
      <c r="B160" s="883"/>
      <c r="C160" s="884"/>
      <c r="D160" s="884"/>
      <c r="E160" s="884"/>
      <c r="F160" s="884"/>
      <c r="G160" s="883"/>
      <c r="H160" s="883"/>
      <c r="I160" s="883"/>
      <c r="J160" s="884"/>
      <c r="K160" s="884"/>
      <c r="L160" s="884"/>
      <c r="M160" s="885"/>
      <c r="N160" s="883"/>
      <c r="O160" s="883"/>
      <c r="P160" s="883"/>
      <c r="Q160" s="886"/>
      <c r="R160" s="886"/>
      <c r="S160" s="886"/>
      <c r="T160" s="884"/>
      <c r="U160" s="884"/>
      <c r="V160" s="887"/>
      <c r="W160" s="883"/>
      <c r="X160" s="888"/>
      <c r="Y160" s="888"/>
      <c r="Z160" s="918"/>
      <c r="AA160" s="918"/>
      <c r="AC160" s="883"/>
      <c r="AD160" s="883"/>
      <c r="AE160" s="883"/>
      <c r="AF160" s="883"/>
      <c r="AG160" s="883"/>
      <c r="AH160" s="884"/>
      <c r="AI160" s="883"/>
      <c r="AJ160" s="883"/>
      <c r="AK160" s="886"/>
      <c r="AL160" s="886"/>
      <c r="AM160" s="883"/>
      <c r="AN160" s="883"/>
      <c r="AO160" s="883"/>
      <c r="AP160" s="883"/>
      <c r="AQ160" s="883"/>
      <c r="AR160" s="883"/>
      <c r="AS160" s="883"/>
      <c r="AT160" s="883"/>
      <c r="AU160" s="883"/>
      <c r="AV160" s="883"/>
      <c r="AW160" s="883"/>
      <c r="AX160" s="883"/>
    </row>
    <row r="161" spans="1:50" s="917" customFormat="1" x14ac:dyDescent="0.55000000000000004">
      <c r="A161" s="883"/>
      <c r="B161" s="883"/>
      <c r="C161" s="884"/>
      <c r="D161" s="884"/>
      <c r="E161" s="884"/>
      <c r="F161" s="884"/>
      <c r="G161" s="883"/>
      <c r="H161" s="883"/>
      <c r="I161" s="883"/>
      <c r="J161" s="884"/>
      <c r="K161" s="884"/>
      <c r="L161" s="884"/>
      <c r="M161" s="885"/>
      <c r="N161" s="883"/>
      <c r="O161" s="883"/>
      <c r="P161" s="883"/>
      <c r="Q161" s="886"/>
      <c r="R161" s="886"/>
      <c r="S161" s="886"/>
      <c r="T161" s="884"/>
      <c r="U161" s="884"/>
      <c r="V161" s="887"/>
      <c r="W161" s="883"/>
      <c r="X161" s="888"/>
      <c r="Y161" s="888"/>
      <c r="Z161" s="918"/>
      <c r="AA161" s="918"/>
      <c r="AC161" s="883"/>
      <c r="AD161" s="883"/>
      <c r="AE161" s="883"/>
      <c r="AF161" s="883"/>
      <c r="AG161" s="883"/>
      <c r="AH161" s="884"/>
      <c r="AI161" s="883"/>
      <c r="AJ161" s="883"/>
      <c r="AK161" s="886"/>
      <c r="AL161" s="886"/>
      <c r="AM161" s="883"/>
      <c r="AN161" s="883"/>
      <c r="AO161" s="883"/>
      <c r="AP161" s="883"/>
      <c r="AQ161" s="883"/>
      <c r="AR161" s="883"/>
      <c r="AS161" s="883"/>
      <c r="AT161" s="883"/>
      <c r="AU161" s="883"/>
      <c r="AV161" s="883"/>
      <c r="AW161" s="883"/>
      <c r="AX161" s="883"/>
    </row>
    <row r="162" spans="1:50" s="917" customFormat="1" x14ac:dyDescent="0.55000000000000004">
      <c r="A162" s="883"/>
      <c r="B162" s="883"/>
      <c r="C162" s="884"/>
      <c r="D162" s="884"/>
      <c r="E162" s="884"/>
      <c r="F162" s="884"/>
      <c r="G162" s="883"/>
      <c r="H162" s="883"/>
      <c r="I162" s="883"/>
      <c r="J162" s="884"/>
      <c r="K162" s="884"/>
      <c r="L162" s="884"/>
      <c r="M162" s="885"/>
      <c r="N162" s="883"/>
      <c r="O162" s="883"/>
      <c r="P162" s="883"/>
      <c r="Q162" s="886"/>
      <c r="R162" s="886"/>
      <c r="S162" s="886"/>
      <c r="T162" s="884"/>
      <c r="U162" s="884"/>
      <c r="V162" s="887"/>
      <c r="W162" s="883"/>
      <c r="X162" s="888"/>
      <c r="Y162" s="888"/>
      <c r="Z162" s="918"/>
      <c r="AA162" s="918"/>
      <c r="AC162" s="883"/>
      <c r="AD162" s="883"/>
      <c r="AE162" s="883"/>
      <c r="AF162" s="883"/>
      <c r="AG162" s="883"/>
      <c r="AH162" s="884"/>
      <c r="AI162" s="883"/>
      <c r="AJ162" s="883"/>
      <c r="AK162" s="886"/>
      <c r="AL162" s="886"/>
      <c r="AM162" s="883"/>
      <c r="AN162" s="883"/>
      <c r="AO162" s="883"/>
      <c r="AP162" s="883"/>
      <c r="AQ162" s="883"/>
      <c r="AR162" s="883"/>
      <c r="AS162" s="883"/>
      <c r="AT162" s="883"/>
      <c r="AU162" s="883"/>
      <c r="AV162" s="883"/>
      <c r="AW162" s="883"/>
      <c r="AX162" s="883"/>
    </row>
    <row r="163" spans="1:50" s="917" customFormat="1" x14ac:dyDescent="0.55000000000000004">
      <c r="A163" s="883"/>
      <c r="B163" s="883"/>
      <c r="C163" s="884"/>
      <c r="D163" s="884"/>
      <c r="E163" s="884"/>
      <c r="F163" s="884"/>
      <c r="G163" s="883"/>
      <c r="H163" s="883"/>
      <c r="I163" s="883"/>
      <c r="J163" s="884"/>
      <c r="K163" s="884"/>
      <c r="L163" s="884"/>
      <c r="M163" s="885"/>
      <c r="N163" s="883"/>
      <c r="O163" s="883"/>
      <c r="P163" s="883"/>
      <c r="Q163" s="886"/>
      <c r="R163" s="886"/>
      <c r="S163" s="886"/>
      <c r="T163" s="884"/>
      <c r="U163" s="884"/>
      <c r="V163" s="887"/>
      <c r="W163" s="883"/>
      <c r="X163" s="888"/>
      <c r="Y163" s="888"/>
      <c r="Z163" s="919">
        <v>290</v>
      </c>
      <c r="AA163" s="919">
        <v>629</v>
      </c>
      <c r="AC163" s="883"/>
      <c r="AD163" s="883"/>
      <c r="AE163" s="883"/>
      <c r="AF163" s="883"/>
      <c r="AG163" s="883"/>
      <c r="AH163" s="884"/>
      <c r="AI163" s="883"/>
      <c r="AJ163" s="883"/>
      <c r="AK163" s="886"/>
      <c r="AL163" s="886"/>
      <c r="AM163" s="883"/>
      <c r="AN163" s="883"/>
      <c r="AO163" s="883"/>
      <c r="AP163" s="883"/>
      <c r="AQ163" s="883"/>
      <c r="AR163" s="883"/>
      <c r="AS163" s="883"/>
      <c r="AT163" s="883"/>
      <c r="AU163" s="883"/>
      <c r="AV163" s="883"/>
      <c r="AW163" s="883"/>
      <c r="AX163" s="883"/>
    </row>
    <row r="164" spans="1:50" s="917" customFormat="1" x14ac:dyDescent="0.55000000000000004">
      <c r="A164" s="883"/>
      <c r="B164" s="883"/>
      <c r="C164" s="884"/>
      <c r="D164" s="884"/>
      <c r="E164" s="884"/>
      <c r="F164" s="884"/>
      <c r="G164" s="883"/>
      <c r="H164" s="883"/>
      <c r="I164" s="883"/>
      <c r="J164" s="884"/>
      <c r="K164" s="884"/>
      <c r="L164" s="884"/>
      <c r="M164" s="885"/>
      <c r="N164" s="883"/>
      <c r="O164" s="883"/>
      <c r="P164" s="883"/>
      <c r="Q164" s="886"/>
      <c r="R164" s="886"/>
      <c r="S164" s="886"/>
      <c r="T164" s="884"/>
      <c r="U164" s="884"/>
      <c r="V164" s="887"/>
      <c r="W164" s="883"/>
      <c r="X164" s="888"/>
      <c r="Y164" s="888"/>
      <c r="Z164" s="918"/>
      <c r="AA164" s="918"/>
      <c r="AC164" s="883"/>
      <c r="AD164" s="883"/>
      <c r="AE164" s="883"/>
      <c r="AF164" s="883"/>
      <c r="AG164" s="883"/>
      <c r="AH164" s="884"/>
      <c r="AI164" s="883"/>
      <c r="AJ164" s="883"/>
      <c r="AK164" s="886"/>
      <c r="AL164" s="886"/>
      <c r="AM164" s="883"/>
      <c r="AN164" s="883"/>
      <c r="AO164" s="883"/>
      <c r="AP164" s="883"/>
      <c r="AQ164" s="883"/>
      <c r="AR164" s="883"/>
      <c r="AS164" s="883"/>
      <c r="AT164" s="883"/>
      <c r="AU164" s="883"/>
      <c r="AV164" s="883"/>
      <c r="AW164" s="883"/>
      <c r="AX164" s="883"/>
    </row>
    <row r="165" spans="1:50" s="917" customFormat="1" x14ac:dyDescent="0.55000000000000004">
      <c r="A165" s="883"/>
      <c r="B165" s="883"/>
      <c r="C165" s="884"/>
      <c r="D165" s="884"/>
      <c r="E165" s="884"/>
      <c r="F165" s="884"/>
      <c r="G165" s="883"/>
      <c r="H165" s="883"/>
      <c r="I165" s="883"/>
      <c r="J165" s="884"/>
      <c r="K165" s="884"/>
      <c r="L165" s="884"/>
      <c r="M165" s="885"/>
      <c r="N165" s="883"/>
      <c r="O165" s="883"/>
      <c r="P165" s="883"/>
      <c r="Q165" s="886"/>
      <c r="R165" s="886"/>
      <c r="S165" s="886"/>
      <c r="T165" s="884"/>
      <c r="U165" s="884"/>
      <c r="V165" s="887"/>
      <c r="W165" s="883"/>
      <c r="X165" s="888"/>
      <c r="Y165" s="888"/>
      <c r="Z165" s="918"/>
      <c r="AA165" s="918"/>
      <c r="AC165" s="883"/>
      <c r="AD165" s="883"/>
      <c r="AE165" s="883"/>
      <c r="AF165" s="883"/>
      <c r="AG165" s="883"/>
      <c r="AH165" s="884"/>
      <c r="AI165" s="883"/>
      <c r="AJ165" s="883"/>
      <c r="AK165" s="886"/>
      <c r="AL165" s="886"/>
      <c r="AM165" s="883"/>
      <c r="AN165" s="883"/>
      <c r="AO165" s="883"/>
      <c r="AP165" s="883"/>
      <c r="AQ165" s="883"/>
      <c r="AR165" s="883"/>
      <c r="AS165" s="883"/>
      <c r="AT165" s="883"/>
      <c r="AU165" s="883"/>
      <c r="AV165" s="883"/>
      <c r="AW165" s="883"/>
      <c r="AX165" s="883"/>
    </row>
    <row r="166" spans="1:50" s="917" customFormat="1" x14ac:dyDescent="0.55000000000000004">
      <c r="A166" s="883"/>
      <c r="B166" s="883"/>
      <c r="C166" s="884"/>
      <c r="D166" s="884"/>
      <c r="E166" s="884"/>
      <c r="F166" s="884"/>
      <c r="G166" s="883"/>
      <c r="H166" s="883"/>
      <c r="I166" s="883"/>
      <c r="J166" s="884"/>
      <c r="K166" s="884"/>
      <c r="L166" s="884"/>
      <c r="M166" s="885"/>
      <c r="N166" s="883"/>
      <c r="O166" s="883"/>
      <c r="P166" s="883"/>
      <c r="Q166" s="886"/>
      <c r="R166" s="886"/>
      <c r="S166" s="886"/>
      <c r="T166" s="884"/>
      <c r="U166" s="884"/>
      <c r="V166" s="887"/>
      <c r="W166" s="883"/>
      <c r="X166" s="888"/>
      <c r="Y166" s="888"/>
      <c r="Z166" s="918"/>
      <c r="AA166" s="918"/>
      <c r="AC166" s="883"/>
      <c r="AD166" s="883"/>
      <c r="AE166" s="883"/>
      <c r="AF166" s="883"/>
      <c r="AG166" s="883"/>
      <c r="AH166" s="884"/>
      <c r="AI166" s="883"/>
      <c r="AJ166" s="883"/>
      <c r="AK166" s="886"/>
      <c r="AL166" s="886"/>
      <c r="AM166" s="883"/>
      <c r="AN166" s="883"/>
      <c r="AO166" s="883"/>
      <c r="AP166" s="883"/>
      <c r="AQ166" s="883"/>
      <c r="AR166" s="883"/>
      <c r="AS166" s="883"/>
      <c r="AT166" s="883"/>
      <c r="AU166" s="883"/>
      <c r="AV166" s="883"/>
      <c r="AW166" s="883"/>
      <c r="AX166" s="883"/>
    </row>
    <row r="167" spans="1:50" s="917" customFormat="1" x14ac:dyDescent="0.55000000000000004">
      <c r="A167" s="883"/>
      <c r="B167" s="883"/>
      <c r="C167" s="884"/>
      <c r="D167" s="884"/>
      <c r="E167" s="884"/>
      <c r="F167" s="884"/>
      <c r="G167" s="883"/>
      <c r="H167" s="883"/>
      <c r="I167" s="883"/>
      <c r="J167" s="884"/>
      <c r="K167" s="884"/>
      <c r="L167" s="884"/>
      <c r="M167" s="885"/>
      <c r="N167" s="883"/>
      <c r="O167" s="883"/>
      <c r="P167" s="883"/>
      <c r="Q167" s="886"/>
      <c r="R167" s="886"/>
      <c r="S167" s="886"/>
      <c r="T167" s="884"/>
      <c r="U167" s="884"/>
      <c r="V167" s="887"/>
      <c r="W167" s="883"/>
      <c r="X167" s="888"/>
      <c r="Y167" s="888"/>
      <c r="Z167" s="918"/>
      <c r="AA167" s="918"/>
      <c r="AC167" s="883"/>
      <c r="AD167" s="883"/>
      <c r="AE167" s="883"/>
      <c r="AF167" s="883"/>
      <c r="AG167" s="883"/>
      <c r="AH167" s="884"/>
      <c r="AI167" s="883"/>
      <c r="AJ167" s="883"/>
      <c r="AK167" s="886"/>
      <c r="AL167" s="886"/>
      <c r="AM167" s="883"/>
      <c r="AN167" s="883"/>
      <c r="AO167" s="883"/>
      <c r="AP167" s="883"/>
      <c r="AQ167" s="883"/>
      <c r="AR167" s="883"/>
      <c r="AS167" s="883"/>
      <c r="AT167" s="883"/>
      <c r="AU167" s="883"/>
      <c r="AV167" s="883"/>
      <c r="AW167" s="883"/>
      <c r="AX167" s="883"/>
    </row>
    <row r="168" spans="1:50" s="917" customFormat="1" x14ac:dyDescent="0.55000000000000004">
      <c r="A168" s="883"/>
      <c r="B168" s="883"/>
      <c r="C168" s="884"/>
      <c r="D168" s="884"/>
      <c r="E168" s="884"/>
      <c r="F168" s="884"/>
      <c r="G168" s="883"/>
      <c r="H168" s="883"/>
      <c r="I168" s="883"/>
      <c r="J168" s="884"/>
      <c r="K168" s="884"/>
      <c r="L168" s="884"/>
      <c r="M168" s="885"/>
      <c r="N168" s="883"/>
      <c r="O168" s="883"/>
      <c r="P168" s="883"/>
      <c r="Q168" s="886"/>
      <c r="R168" s="886"/>
      <c r="S168" s="886"/>
      <c r="T168" s="884"/>
      <c r="U168" s="884"/>
      <c r="V168" s="887"/>
      <c r="W168" s="883"/>
      <c r="X168" s="888"/>
      <c r="Y168" s="888"/>
      <c r="Z168" s="918"/>
      <c r="AA168" s="918"/>
      <c r="AC168" s="883"/>
      <c r="AD168" s="883"/>
      <c r="AE168" s="883"/>
      <c r="AF168" s="883"/>
      <c r="AG168" s="883"/>
      <c r="AH168" s="884"/>
      <c r="AI168" s="883"/>
      <c r="AJ168" s="883"/>
      <c r="AK168" s="886"/>
      <c r="AL168" s="886"/>
      <c r="AM168" s="883"/>
      <c r="AN168" s="883"/>
      <c r="AO168" s="883"/>
      <c r="AP168" s="883"/>
      <c r="AQ168" s="883"/>
      <c r="AR168" s="883"/>
      <c r="AS168" s="883"/>
      <c r="AT168" s="883"/>
      <c r="AU168" s="883"/>
      <c r="AV168" s="883"/>
      <c r="AW168" s="883"/>
      <c r="AX168" s="883"/>
    </row>
    <row r="169" spans="1:50" s="917" customFormat="1" x14ac:dyDescent="0.55000000000000004">
      <c r="A169" s="883"/>
      <c r="B169" s="883"/>
      <c r="C169" s="884"/>
      <c r="D169" s="884"/>
      <c r="E169" s="884"/>
      <c r="F169" s="884"/>
      <c r="G169" s="883"/>
      <c r="H169" s="883"/>
      <c r="I169" s="883"/>
      <c r="J169" s="884"/>
      <c r="K169" s="884"/>
      <c r="L169" s="884"/>
      <c r="M169" s="885"/>
      <c r="N169" s="883"/>
      <c r="O169" s="883"/>
      <c r="P169" s="883"/>
      <c r="Q169" s="886"/>
      <c r="R169" s="886"/>
      <c r="S169" s="886"/>
      <c r="T169" s="884"/>
      <c r="U169" s="884"/>
      <c r="V169" s="887"/>
      <c r="W169" s="883"/>
      <c r="X169" s="888"/>
      <c r="Y169" s="888"/>
      <c r="Z169" s="918"/>
      <c r="AA169" s="918"/>
      <c r="AC169" s="883"/>
      <c r="AD169" s="883"/>
      <c r="AE169" s="883"/>
      <c r="AF169" s="883"/>
      <c r="AG169" s="883"/>
      <c r="AH169" s="884"/>
      <c r="AI169" s="883"/>
      <c r="AJ169" s="883"/>
      <c r="AK169" s="886"/>
      <c r="AL169" s="886"/>
      <c r="AM169" s="883"/>
      <c r="AN169" s="883"/>
      <c r="AO169" s="883"/>
      <c r="AP169" s="883"/>
      <c r="AQ169" s="883"/>
      <c r="AR169" s="883"/>
      <c r="AS169" s="883"/>
      <c r="AT169" s="883"/>
      <c r="AU169" s="883"/>
      <c r="AV169" s="883"/>
      <c r="AW169" s="883"/>
      <c r="AX169" s="883"/>
    </row>
    <row r="170" spans="1:50" s="917" customFormat="1" x14ac:dyDescent="0.55000000000000004">
      <c r="A170" s="883"/>
      <c r="B170" s="883"/>
      <c r="C170" s="884"/>
      <c r="D170" s="884"/>
      <c r="E170" s="884"/>
      <c r="F170" s="884"/>
      <c r="G170" s="883"/>
      <c r="H170" s="883"/>
      <c r="I170" s="883"/>
      <c r="J170" s="884"/>
      <c r="K170" s="884"/>
      <c r="L170" s="884"/>
      <c r="M170" s="885"/>
      <c r="N170" s="883"/>
      <c r="O170" s="883"/>
      <c r="P170" s="883"/>
      <c r="Q170" s="886"/>
      <c r="R170" s="886"/>
      <c r="S170" s="886"/>
      <c r="T170" s="884"/>
      <c r="U170" s="884"/>
      <c r="V170" s="887"/>
      <c r="W170" s="883"/>
      <c r="X170" s="888"/>
      <c r="Y170" s="888"/>
      <c r="Z170" s="918"/>
      <c r="AA170" s="918"/>
      <c r="AC170" s="883"/>
      <c r="AD170" s="883"/>
      <c r="AE170" s="883"/>
      <c r="AF170" s="883"/>
      <c r="AG170" s="883"/>
      <c r="AH170" s="884"/>
      <c r="AI170" s="883"/>
      <c r="AJ170" s="883"/>
      <c r="AK170" s="886"/>
      <c r="AL170" s="886"/>
      <c r="AM170" s="883"/>
      <c r="AN170" s="883"/>
      <c r="AO170" s="883"/>
      <c r="AP170" s="883"/>
      <c r="AQ170" s="883"/>
      <c r="AR170" s="883"/>
      <c r="AS170" s="883"/>
      <c r="AT170" s="883"/>
      <c r="AU170" s="883"/>
      <c r="AV170" s="883"/>
      <c r="AW170" s="883"/>
      <c r="AX170" s="883"/>
    </row>
    <row r="171" spans="1:50" s="917" customFormat="1" x14ac:dyDescent="0.55000000000000004">
      <c r="A171" s="883"/>
      <c r="B171" s="883"/>
      <c r="C171" s="884"/>
      <c r="D171" s="884"/>
      <c r="E171" s="884"/>
      <c r="F171" s="884"/>
      <c r="G171" s="883"/>
      <c r="H171" s="883"/>
      <c r="I171" s="883"/>
      <c r="J171" s="884"/>
      <c r="K171" s="884"/>
      <c r="L171" s="884"/>
      <c r="M171" s="885"/>
      <c r="N171" s="883"/>
      <c r="O171" s="883"/>
      <c r="P171" s="883"/>
      <c r="Q171" s="886"/>
      <c r="R171" s="886"/>
      <c r="S171" s="886"/>
      <c r="T171" s="884"/>
      <c r="U171" s="884"/>
      <c r="V171" s="887"/>
      <c r="W171" s="883"/>
      <c r="X171" s="888"/>
      <c r="Y171" s="888"/>
      <c r="Z171" s="918"/>
      <c r="AA171" s="918"/>
      <c r="AC171" s="883"/>
      <c r="AD171" s="883"/>
      <c r="AE171" s="883"/>
      <c r="AF171" s="883"/>
      <c r="AG171" s="883"/>
      <c r="AH171" s="884"/>
      <c r="AI171" s="883"/>
      <c r="AJ171" s="883"/>
      <c r="AK171" s="886"/>
      <c r="AL171" s="886"/>
      <c r="AM171" s="883"/>
      <c r="AN171" s="883"/>
      <c r="AO171" s="883"/>
      <c r="AP171" s="883"/>
      <c r="AQ171" s="883"/>
      <c r="AR171" s="883"/>
      <c r="AS171" s="883"/>
      <c r="AT171" s="883"/>
      <c r="AU171" s="883"/>
      <c r="AV171" s="883"/>
      <c r="AW171" s="883"/>
      <c r="AX171" s="883"/>
    </row>
    <row r="172" spans="1:50" s="917" customFormat="1" x14ac:dyDescent="0.55000000000000004">
      <c r="A172" s="883"/>
      <c r="B172" s="883"/>
      <c r="C172" s="884"/>
      <c r="D172" s="884"/>
      <c r="E172" s="884"/>
      <c r="F172" s="884"/>
      <c r="G172" s="883"/>
      <c r="H172" s="883"/>
      <c r="I172" s="883"/>
      <c r="J172" s="884"/>
      <c r="K172" s="884"/>
      <c r="L172" s="884"/>
      <c r="M172" s="885"/>
      <c r="N172" s="883"/>
      <c r="O172" s="883"/>
      <c r="P172" s="883"/>
      <c r="Q172" s="886"/>
      <c r="R172" s="886"/>
      <c r="S172" s="886"/>
      <c r="T172" s="884"/>
      <c r="U172" s="884"/>
      <c r="V172" s="887"/>
      <c r="W172" s="883"/>
      <c r="X172" s="888"/>
      <c r="Y172" s="888"/>
      <c r="Z172" s="918"/>
      <c r="AA172" s="918"/>
      <c r="AC172" s="883"/>
      <c r="AD172" s="883"/>
      <c r="AE172" s="883"/>
      <c r="AF172" s="883"/>
      <c r="AG172" s="883"/>
      <c r="AH172" s="884"/>
      <c r="AI172" s="883"/>
      <c r="AJ172" s="883"/>
      <c r="AK172" s="886"/>
      <c r="AL172" s="886"/>
      <c r="AM172" s="883"/>
      <c r="AN172" s="883"/>
      <c r="AO172" s="883"/>
      <c r="AP172" s="883"/>
      <c r="AQ172" s="883"/>
      <c r="AR172" s="883"/>
      <c r="AS172" s="883"/>
      <c r="AT172" s="883"/>
      <c r="AU172" s="883"/>
      <c r="AV172" s="883"/>
      <c r="AW172" s="883"/>
      <c r="AX172" s="883"/>
    </row>
    <row r="173" spans="1:50" s="917" customFormat="1" x14ac:dyDescent="0.55000000000000004">
      <c r="A173" s="883"/>
      <c r="B173" s="883"/>
      <c r="C173" s="884"/>
      <c r="D173" s="884"/>
      <c r="E173" s="884"/>
      <c r="F173" s="884"/>
      <c r="G173" s="883"/>
      <c r="H173" s="883"/>
      <c r="I173" s="883"/>
      <c r="J173" s="884"/>
      <c r="K173" s="884"/>
      <c r="L173" s="884"/>
      <c r="M173" s="885"/>
      <c r="N173" s="883"/>
      <c r="O173" s="883"/>
      <c r="P173" s="883"/>
      <c r="Q173" s="886"/>
      <c r="R173" s="886"/>
      <c r="S173" s="886"/>
      <c r="T173" s="884"/>
      <c r="U173" s="884"/>
      <c r="V173" s="887"/>
      <c r="W173" s="883"/>
      <c r="X173" s="888"/>
      <c r="Y173" s="888"/>
      <c r="Z173" s="919"/>
      <c r="AA173" s="921"/>
      <c r="AC173" s="883"/>
      <c r="AD173" s="883"/>
      <c r="AE173" s="883"/>
      <c r="AF173" s="883"/>
      <c r="AG173" s="883"/>
      <c r="AH173" s="884"/>
      <c r="AI173" s="883"/>
      <c r="AJ173" s="883"/>
      <c r="AK173" s="886"/>
      <c r="AL173" s="886"/>
      <c r="AM173" s="883"/>
      <c r="AN173" s="883"/>
      <c r="AO173" s="883"/>
      <c r="AP173" s="883"/>
      <c r="AQ173" s="883"/>
      <c r="AR173" s="883"/>
      <c r="AS173" s="883"/>
      <c r="AT173" s="883"/>
      <c r="AU173" s="883"/>
      <c r="AV173" s="883"/>
      <c r="AW173" s="883"/>
      <c r="AX173" s="883"/>
    </row>
    <row r="174" spans="1:50" s="917" customFormat="1" x14ac:dyDescent="0.55000000000000004">
      <c r="A174" s="883"/>
      <c r="B174" s="883"/>
      <c r="C174" s="884"/>
      <c r="D174" s="884"/>
      <c r="E174" s="884"/>
      <c r="F174" s="884"/>
      <c r="G174" s="883"/>
      <c r="H174" s="883"/>
      <c r="I174" s="883"/>
      <c r="J174" s="884"/>
      <c r="K174" s="884"/>
      <c r="L174" s="884"/>
      <c r="M174" s="885"/>
      <c r="N174" s="883"/>
      <c r="O174" s="883"/>
      <c r="P174" s="883"/>
      <c r="Q174" s="886"/>
      <c r="R174" s="886"/>
      <c r="S174" s="886"/>
      <c r="T174" s="884"/>
      <c r="U174" s="884"/>
      <c r="V174" s="887"/>
      <c r="W174" s="883"/>
      <c r="X174" s="888"/>
      <c r="Y174" s="888"/>
      <c r="Z174" s="919">
        <v>722</v>
      </c>
      <c r="AA174" s="919">
        <v>513</v>
      </c>
      <c r="AC174" s="883"/>
      <c r="AD174" s="883"/>
      <c r="AE174" s="883"/>
      <c r="AF174" s="883"/>
      <c r="AG174" s="883"/>
      <c r="AH174" s="884"/>
      <c r="AI174" s="883"/>
      <c r="AJ174" s="883"/>
      <c r="AK174" s="886"/>
      <c r="AL174" s="886"/>
      <c r="AM174" s="883"/>
      <c r="AN174" s="883"/>
      <c r="AO174" s="883"/>
      <c r="AP174" s="883"/>
      <c r="AQ174" s="883"/>
      <c r="AR174" s="883"/>
      <c r="AS174" s="883"/>
      <c r="AT174" s="883"/>
      <c r="AU174" s="883"/>
      <c r="AV174" s="883"/>
      <c r="AW174" s="883"/>
      <c r="AX174" s="883"/>
    </row>
    <row r="175" spans="1:50" s="917" customFormat="1" x14ac:dyDescent="0.55000000000000004">
      <c r="A175" s="883"/>
      <c r="B175" s="883"/>
      <c r="C175" s="884"/>
      <c r="D175" s="884"/>
      <c r="E175" s="884"/>
      <c r="F175" s="884"/>
      <c r="G175" s="883"/>
      <c r="H175" s="883"/>
      <c r="I175" s="883"/>
      <c r="J175" s="884"/>
      <c r="K175" s="884"/>
      <c r="L175" s="884"/>
      <c r="M175" s="885"/>
      <c r="N175" s="883"/>
      <c r="O175" s="883"/>
      <c r="P175" s="883"/>
      <c r="Q175" s="886"/>
      <c r="R175" s="886"/>
      <c r="S175" s="886"/>
      <c r="T175" s="884"/>
      <c r="U175" s="884"/>
      <c r="V175" s="887"/>
      <c r="W175" s="883"/>
      <c r="X175" s="888"/>
      <c r="Y175" s="888"/>
      <c r="Z175" s="918"/>
      <c r="AA175" s="918"/>
      <c r="AC175" s="883"/>
      <c r="AD175" s="883"/>
      <c r="AE175" s="883"/>
      <c r="AF175" s="883"/>
      <c r="AG175" s="883"/>
      <c r="AH175" s="884"/>
      <c r="AI175" s="883"/>
      <c r="AJ175" s="883"/>
      <c r="AK175" s="886"/>
      <c r="AL175" s="886"/>
      <c r="AM175" s="883"/>
      <c r="AN175" s="883"/>
      <c r="AO175" s="883"/>
      <c r="AP175" s="883"/>
      <c r="AQ175" s="883"/>
      <c r="AR175" s="883"/>
      <c r="AS175" s="883"/>
      <c r="AT175" s="883"/>
      <c r="AU175" s="883"/>
      <c r="AV175" s="883"/>
      <c r="AW175" s="883"/>
      <c r="AX175" s="883"/>
    </row>
    <row r="176" spans="1:50" s="917" customFormat="1" x14ac:dyDescent="0.55000000000000004">
      <c r="A176" s="883"/>
      <c r="B176" s="883"/>
      <c r="C176" s="884"/>
      <c r="D176" s="884"/>
      <c r="E176" s="884"/>
      <c r="F176" s="884"/>
      <c r="G176" s="883"/>
      <c r="H176" s="883"/>
      <c r="I176" s="883"/>
      <c r="J176" s="884"/>
      <c r="K176" s="884"/>
      <c r="L176" s="884"/>
      <c r="M176" s="885"/>
      <c r="N176" s="883"/>
      <c r="O176" s="883"/>
      <c r="P176" s="883"/>
      <c r="Q176" s="886"/>
      <c r="R176" s="886"/>
      <c r="S176" s="886"/>
      <c r="T176" s="884"/>
      <c r="U176" s="884"/>
      <c r="V176" s="887"/>
      <c r="W176" s="883"/>
      <c r="X176" s="888"/>
      <c r="Y176" s="888"/>
      <c r="Z176" s="918"/>
      <c r="AA176" s="918"/>
      <c r="AC176" s="883"/>
      <c r="AD176" s="883"/>
      <c r="AE176" s="883"/>
      <c r="AF176" s="883"/>
      <c r="AG176" s="883"/>
      <c r="AH176" s="884"/>
      <c r="AI176" s="883"/>
      <c r="AJ176" s="883"/>
      <c r="AK176" s="886"/>
      <c r="AL176" s="886"/>
      <c r="AM176" s="883"/>
      <c r="AN176" s="883"/>
      <c r="AO176" s="883"/>
      <c r="AP176" s="883"/>
      <c r="AQ176" s="883"/>
      <c r="AR176" s="883"/>
      <c r="AS176" s="883"/>
      <c r="AT176" s="883"/>
      <c r="AU176" s="883"/>
      <c r="AV176" s="883"/>
      <c r="AW176" s="883"/>
      <c r="AX176" s="883"/>
    </row>
    <row r="177" spans="1:50" s="917" customFormat="1" x14ac:dyDescent="0.55000000000000004">
      <c r="A177" s="883"/>
      <c r="B177" s="883"/>
      <c r="C177" s="884"/>
      <c r="D177" s="884"/>
      <c r="E177" s="884"/>
      <c r="F177" s="884"/>
      <c r="G177" s="883"/>
      <c r="H177" s="883"/>
      <c r="I177" s="883"/>
      <c r="J177" s="884"/>
      <c r="K177" s="884"/>
      <c r="L177" s="884"/>
      <c r="M177" s="885"/>
      <c r="N177" s="883"/>
      <c r="O177" s="883"/>
      <c r="P177" s="883"/>
      <c r="Q177" s="886"/>
      <c r="R177" s="886"/>
      <c r="S177" s="886"/>
      <c r="T177" s="884"/>
      <c r="U177" s="884"/>
      <c r="V177" s="887"/>
      <c r="W177" s="883"/>
      <c r="X177" s="888"/>
      <c r="Y177" s="888"/>
      <c r="Z177" s="918"/>
      <c r="AA177" s="918"/>
      <c r="AC177" s="883"/>
      <c r="AD177" s="883"/>
      <c r="AE177" s="883"/>
      <c r="AF177" s="883"/>
      <c r="AG177" s="883"/>
      <c r="AH177" s="884"/>
      <c r="AI177" s="883"/>
      <c r="AJ177" s="883"/>
      <c r="AK177" s="886"/>
      <c r="AL177" s="886"/>
      <c r="AM177" s="883"/>
      <c r="AN177" s="883"/>
      <c r="AO177" s="883"/>
      <c r="AP177" s="883"/>
      <c r="AQ177" s="883"/>
      <c r="AR177" s="883"/>
      <c r="AS177" s="883"/>
      <c r="AT177" s="883"/>
      <c r="AU177" s="883"/>
      <c r="AV177" s="883"/>
      <c r="AW177" s="883"/>
      <c r="AX177" s="883"/>
    </row>
    <row r="178" spans="1:50" s="917" customFormat="1" x14ac:dyDescent="0.55000000000000004">
      <c r="A178" s="883"/>
      <c r="B178" s="883"/>
      <c r="C178" s="884"/>
      <c r="D178" s="884"/>
      <c r="E178" s="884"/>
      <c r="F178" s="884"/>
      <c r="G178" s="883"/>
      <c r="H178" s="883"/>
      <c r="I178" s="883"/>
      <c r="J178" s="884"/>
      <c r="K178" s="884"/>
      <c r="L178" s="884"/>
      <c r="M178" s="885"/>
      <c r="N178" s="883"/>
      <c r="O178" s="883"/>
      <c r="P178" s="883"/>
      <c r="Q178" s="886"/>
      <c r="R178" s="886"/>
      <c r="S178" s="886"/>
      <c r="T178" s="884"/>
      <c r="U178" s="884"/>
      <c r="V178" s="887"/>
      <c r="W178" s="883"/>
      <c r="X178" s="888"/>
      <c r="Y178" s="888"/>
      <c r="Z178" s="919">
        <v>180</v>
      </c>
      <c r="AA178" s="919">
        <v>448</v>
      </c>
      <c r="AC178" s="883"/>
      <c r="AD178" s="883"/>
      <c r="AE178" s="883"/>
      <c r="AF178" s="883"/>
      <c r="AG178" s="883"/>
      <c r="AH178" s="884"/>
      <c r="AI178" s="883"/>
      <c r="AJ178" s="883"/>
      <c r="AK178" s="886"/>
      <c r="AL178" s="886"/>
      <c r="AM178" s="883"/>
      <c r="AN178" s="883"/>
      <c r="AO178" s="883"/>
      <c r="AP178" s="883"/>
      <c r="AQ178" s="883"/>
      <c r="AR178" s="883"/>
      <c r="AS178" s="883"/>
      <c r="AT178" s="883"/>
      <c r="AU178" s="883"/>
      <c r="AV178" s="883"/>
      <c r="AW178" s="883"/>
      <c r="AX178" s="883"/>
    </row>
    <row r="179" spans="1:50" s="917" customFormat="1" x14ac:dyDescent="0.55000000000000004">
      <c r="A179" s="883"/>
      <c r="B179" s="883"/>
      <c r="C179" s="884"/>
      <c r="D179" s="884"/>
      <c r="E179" s="884"/>
      <c r="F179" s="884"/>
      <c r="G179" s="883"/>
      <c r="H179" s="883"/>
      <c r="I179" s="883"/>
      <c r="J179" s="884"/>
      <c r="K179" s="884"/>
      <c r="L179" s="884"/>
      <c r="M179" s="885"/>
      <c r="N179" s="883"/>
      <c r="O179" s="883"/>
      <c r="P179" s="883"/>
      <c r="Q179" s="886"/>
      <c r="R179" s="886"/>
      <c r="S179" s="886"/>
      <c r="T179" s="884"/>
      <c r="U179" s="884"/>
      <c r="V179" s="887"/>
      <c r="W179" s="883"/>
      <c r="X179" s="888"/>
      <c r="Y179" s="888"/>
      <c r="Z179" s="918"/>
      <c r="AA179" s="918">
        <v>546</v>
      </c>
      <c r="AC179" s="883"/>
      <c r="AD179" s="883"/>
      <c r="AE179" s="883"/>
      <c r="AF179" s="883"/>
      <c r="AG179" s="883"/>
      <c r="AH179" s="884"/>
      <c r="AI179" s="883"/>
      <c r="AJ179" s="883"/>
      <c r="AK179" s="886"/>
      <c r="AL179" s="886"/>
      <c r="AM179" s="883"/>
      <c r="AN179" s="883"/>
      <c r="AO179" s="883"/>
      <c r="AP179" s="883"/>
      <c r="AQ179" s="883"/>
      <c r="AR179" s="883"/>
      <c r="AS179" s="883"/>
      <c r="AT179" s="883"/>
      <c r="AU179" s="883"/>
      <c r="AV179" s="883"/>
      <c r="AW179" s="883"/>
      <c r="AX179" s="883"/>
    </row>
    <row r="180" spans="1:50" s="917" customFormat="1" x14ac:dyDescent="0.55000000000000004">
      <c r="A180" s="883"/>
      <c r="B180" s="883"/>
      <c r="C180" s="884"/>
      <c r="D180" s="884"/>
      <c r="E180" s="884"/>
      <c r="F180" s="884"/>
      <c r="G180" s="883"/>
      <c r="H180" s="883"/>
      <c r="I180" s="883"/>
      <c r="J180" s="884"/>
      <c r="K180" s="884"/>
      <c r="L180" s="884"/>
      <c r="M180" s="885"/>
      <c r="N180" s="883"/>
      <c r="O180" s="883"/>
      <c r="P180" s="883"/>
      <c r="Q180" s="886"/>
      <c r="R180" s="886"/>
      <c r="S180" s="886"/>
      <c r="T180" s="884"/>
      <c r="U180" s="884"/>
      <c r="V180" s="887"/>
      <c r="W180" s="883"/>
      <c r="X180" s="888"/>
      <c r="Y180" s="888"/>
      <c r="Z180" s="918"/>
      <c r="AA180" s="918"/>
      <c r="AC180" s="883"/>
      <c r="AD180" s="883"/>
      <c r="AE180" s="883"/>
      <c r="AF180" s="883"/>
      <c r="AG180" s="883"/>
      <c r="AH180" s="884"/>
      <c r="AI180" s="883"/>
      <c r="AJ180" s="883"/>
      <c r="AK180" s="886"/>
      <c r="AL180" s="886"/>
      <c r="AM180" s="883"/>
      <c r="AN180" s="883"/>
      <c r="AO180" s="883"/>
      <c r="AP180" s="883"/>
      <c r="AQ180" s="883"/>
      <c r="AR180" s="883"/>
      <c r="AS180" s="883"/>
      <c r="AT180" s="883"/>
      <c r="AU180" s="883"/>
      <c r="AV180" s="883"/>
      <c r="AW180" s="883"/>
      <c r="AX180" s="883"/>
    </row>
    <row r="181" spans="1:50" s="917" customFormat="1" x14ac:dyDescent="0.55000000000000004">
      <c r="A181" s="883"/>
      <c r="B181" s="883"/>
      <c r="C181" s="884"/>
      <c r="D181" s="884"/>
      <c r="E181" s="884"/>
      <c r="F181" s="884"/>
      <c r="G181" s="883"/>
      <c r="H181" s="883"/>
      <c r="I181" s="883"/>
      <c r="J181" s="884"/>
      <c r="K181" s="884"/>
      <c r="L181" s="884"/>
      <c r="M181" s="885"/>
      <c r="N181" s="883"/>
      <c r="O181" s="883"/>
      <c r="P181" s="883"/>
      <c r="Q181" s="886"/>
      <c r="R181" s="886"/>
      <c r="S181" s="886"/>
      <c r="T181" s="884"/>
      <c r="U181" s="884"/>
      <c r="V181" s="887"/>
      <c r="W181" s="883"/>
      <c r="X181" s="888"/>
      <c r="Y181" s="888"/>
      <c r="Z181" s="918"/>
      <c r="AA181" s="918"/>
      <c r="AC181" s="883"/>
      <c r="AD181" s="883"/>
      <c r="AE181" s="883"/>
      <c r="AF181" s="883"/>
      <c r="AG181" s="883"/>
      <c r="AH181" s="884"/>
      <c r="AI181" s="883"/>
      <c r="AJ181" s="883"/>
      <c r="AK181" s="886"/>
      <c r="AL181" s="886"/>
      <c r="AM181" s="883"/>
      <c r="AN181" s="883"/>
      <c r="AO181" s="883"/>
      <c r="AP181" s="883"/>
      <c r="AQ181" s="883"/>
      <c r="AR181" s="883"/>
      <c r="AS181" s="883"/>
      <c r="AT181" s="883"/>
      <c r="AU181" s="883"/>
      <c r="AV181" s="883"/>
      <c r="AW181" s="883"/>
      <c r="AX181" s="883"/>
    </row>
    <row r="182" spans="1:50" s="917" customFormat="1" x14ac:dyDescent="0.55000000000000004">
      <c r="A182" s="883"/>
      <c r="B182" s="883"/>
      <c r="C182" s="884"/>
      <c r="D182" s="884"/>
      <c r="E182" s="884"/>
      <c r="F182" s="884"/>
      <c r="G182" s="883"/>
      <c r="H182" s="883"/>
      <c r="I182" s="883"/>
      <c r="J182" s="884"/>
      <c r="K182" s="884"/>
      <c r="L182" s="884"/>
      <c r="M182" s="885"/>
      <c r="N182" s="883"/>
      <c r="O182" s="883"/>
      <c r="P182" s="883"/>
      <c r="Q182" s="886"/>
      <c r="R182" s="886"/>
      <c r="S182" s="886"/>
      <c r="T182" s="884"/>
      <c r="U182" s="884"/>
      <c r="V182" s="887"/>
      <c r="W182" s="883"/>
      <c r="X182" s="888"/>
      <c r="Y182" s="888"/>
      <c r="Z182" s="918"/>
      <c r="AA182" s="918"/>
      <c r="AC182" s="883"/>
      <c r="AD182" s="883"/>
      <c r="AE182" s="883"/>
      <c r="AF182" s="883"/>
      <c r="AG182" s="883"/>
      <c r="AH182" s="884"/>
      <c r="AI182" s="883"/>
      <c r="AJ182" s="883"/>
      <c r="AK182" s="886"/>
      <c r="AL182" s="886"/>
      <c r="AM182" s="883"/>
      <c r="AN182" s="883"/>
      <c r="AO182" s="883"/>
      <c r="AP182" s="883"/>
      <c r="AQ182" s="883"/>
      <c r="AR182" s="883"/>
      <c r="AS182" s="883"/>
      <c r="AT182" s="883"/>
      <c r="AU182" s="883"/>
      <c r="AV182" s="883"/>
      <c r="AW182" s="883"/>
      <c r="AX182" s="883"/>
    </row>
    <row r="183" spans="1:50" s="917" customFormat="1" x14ac:dyDescent="0.55000000000000004">
      <c r="A183" s="883"/>
      <c r="B183" s="883"/>
      <c r="C183" s="884"/>
      <c r="D183" s="884"/>
      <c r="E183" s="884"/>
      <c r="F183" s="884"/>
      <c r="G183" s="883"/>
      <c r="H183" s="883"/>
      <c r="I183" s="883"/>
      <c r="J183" s="884"/>
      <c r="K183" s="884"/>
      <c r="L183" s="884"/>
      <c r="M183" s="885"/>
      <c r="N183" s="883"/>
      <c r="O183" s="883"/>
      <c r="P183" s="883"/>
      <c r="Q183" s="886"/>
      <c r="R183" s="886"/>
      <c r="S183" s="886"/>
      <c r="T183" s="884"/>
      <c r="U183" s="884"/>
      <c r="V183" s="887"/>
      <c r="W183" s="883"/>
      <c r="X183" s="888"/>
      <c r="Y183" s="888"/>
      <c r="Z183" s="918"/>
      <c r="AA183" s="918"/>
      <c r="AC183" s="883"/>
      <c r="AD183" s="883"/>
      <c r="AE183" s="883"/>
      <c r="AF183" s="883"/>
      <c r="AG183" s="883"/>
      <c r="AH183" s="884"/>
      <c r="AI183" s="883"/>
      <c r="AJ183" s="883"/>
      <c r="AK183" s="886"/>
      <c r="AL183" s="886"/>
      <c r="AM183" s="883"/>
      <c r="AN183" s="883"/>
      <c r="AO183" s="883"/>
      <c r="AP183" s="883"/>
      <c r="AQ183" s="883"/>
      <c r="AR183" s="883"/>
      <c r="AS183" s="883"/>
      <c r="AT183" s="883"/>
      <c r="AU183" s="883"/>
      <c r="AV183" s="883"/>
      <c r="AW183" s="883"/>
      <c r="AX183" s="883"/>
    </row>
    <row r="184" spans="1:50" s="917" customFormat="1" x14ac:dyDescent="0.55000000000000004">
      <c r="A184" s="883"/>
      <c r="B184" s="883"/>
      <c r="C184" s="884"/>
      <c r="D184" s="884"/>
      <c r="E184" s="884"/>
      <c r="F184" s="884"/>
      <c r="G184" s="883"/>
      <c r="H184" s="883"/>
      <c r="I184" s="883"/>
      <c r="J184" s="884"/>
      <c r="K184" s="884"/>
      <c r="L184" s="884"/>
      <c r="M184" s="885"/>
      <c r="N184" s="883"/>
      <c r="O184" s="883"/>
      <c r="P184" s="883"/>
      <c r="Q184" s="886"/>
      <c r="R184" s="886"/>
      <c r="S184" s="886"/>
      <c r="T184" s="884"/>
      <c r="U184" s="884"/>
      <c r="V184" s="887"/>
      <c r="W184" s="883"/>
      <c r="X184" s="888"/>
      <c r="Y184" s="888"/>
      <c r="Z184" s="918"/>
      <c r="AA184" s="918"/>
      <c r="AC184" s="883"/>
      <c r="AD184" s="883"/>
      <c r="AE184" s="883"/>
      <c r="AF184" s="883"/>
      <c r="AG184" s="883"/>
      <c r="AH184" s="884"/>
      <c r="AI184" s="883"/>
      <c r="AJ184" s="883"/>
      <c r="AK184" s="886"/>
      <c r="AL184" s="886"/>
      <c r="AM184" s="883"/>
      <c r="AN184" s="883"/>
      <c r="AO184" s="883"/>
      <c r="AP184" s="883"/>
      <c r="AQ184" s="883"/>
      <c r="AR184" s="883"/>
      <c r="AS184" s="883"/>
      <c r="AT184" s="883"/>
      <c r="AU184" s="883"/>
      <c r="AV184" s="883"/>
      <c r="AW184" s="883"/>
      <c r="AX184" s="883"/>
    </row>
    <row r="185" spans="1:50" s="917" customFormat="1" x14ac:dyDescent="0.55000000000000004">
      <c r="A185" s="883"/>
      <c r="B185" s="883"/>
      <c r="C185" s="884"/>
      <c r="D185" s="884"/>
      <c r="E185" s="884"/>
      <c r="F185" s="884"/>
      <c r="G185" s="883"/>
      <c r="H185" s="883"/>
      <c r="I185" s="883"/>
      <c r="J185" s="884"/>
      <c r="K185" s="884"/>
      <c r="L185" s="884"/>
      <c r="M185" s="885"/>
      <c r="N185" s="883"/>
      <c r="O185" s="883"/>
      <c r="P185" s="883"/>
      <c r="Q185" s="886"/>
      <c r="R185" s="886"/>
      <c r="S185" s="886"/>
      <c r="T185" s="884"/>
      <c r="U185" s="884"/>
      <c r="V185" s="887"/>
      <c r="W185" s="883"/>
      <c r="X185" s="888"/>
      <c r="Y185" s="888"/>
      <c r="Z185" s="918"/>
      <c r="AA185" s="918"/>
      <c r="AC185" s="883"/>
      <c r="AD185" s="883"/>
      <c r="AE185" s="883"/>
      <c r="AF185" s="883"/>
      <c r="AG185" s="883"/>
      <c r="AH185" s="884"/>
      <c r="AI185" s="883"/>
      <c r="AJ185" s="883"/>
      <c r="AK185" s="886"/>
      <c r="AL185" s="886"/>
      <c r="AM185" s="883"/>
      <c r="AN185" s="883"/>
      <c r="AO185" s="883"/>
      <c r="AP185" s="883"/>
      <c r="AQ185" s="883"/>
      <c r="AR185" s="883"/>
      <c r="AS185" s="883"/>
      <c r="AT185" s="883"/>
      <c r="AU185" s="883"/>
      <c r="AV185" s="883"/>
      <c r="AW185" s="883"/>
      <c r="AX185" s="883"/>
    </row>
    <row r="186" spans="1:50" s="917" customFormat="1" x14ac:dyDescent="0.55000000000000004">
      <c r="A186" s="883"/>
      <c r="B186" s="883"/>
      <c r="C186" s="884"/>
      <c r="D186" s="884"/>
      <c r="E186" s="884"/>
      <c r="F186" s="884"/>
      <c r="G186" s="883"/>
      <c r="H186" s="883"/>
      <c r="I186" s="883"/>
      <c r="J186" s="884"/>
      <c r="K186" s="884"/>
      <c r="L186" s="884"/>
      <c r="M186" s="885"/>
      <c r="N186" s="883"/>
      <c r="O186" s="883"/>
      <c r="P186" s="883"/>
      <c r="Q186" s="886"/>
      <c r="R186" s="886"/>
      <c r="S186" s="886"/>
      <c r="T186" s="884"/>
      <c r="U186" s="884"/>
      <c r="V186" s="887"/>
      <c r="W186" s="883"/>
      <c r="X186" s="888"/>
      <c r="Y186" s="888"/>
      <c r="Z186" s="918"/>
      <c r="AA186" s="918"/>
      <c r="AC186" s="883"/>
      <c r="AD186" s="883"/>
      <c r="AE186" s="883"/>
      <c r="AF186" s="883"/>
      <c r="AG186" s="883"/>
      <c r="AH186" s="884"/>
      <c r="AI186" s="883"/>
      <c r="AJ186" s="883"/>
      <c r="AK186" s="886"/>
      <c r="AL186" s="886"/>
      <c r="AM186" s="883"/>
      <c r="AN186" s="883"/>
      <c r="AO186" s="883"/>
      <c r="AP186" s="883"/>
      <c r="AQ186" s="883"/>
      <c r="AR186" s="883"/>
      <c r="AS186" s="883"/>
      <c r="AT186" s="883"/>
      <c r="AU186" s="883"/>
      <c r="AV186" s="883"/>
      <c r="AW186" s="883"/>
      <c r="AX186" s="883"/>
    </row>
    <row r="187" spans="1:50" s="917" customFormat="1" x14ac:dyDescent="0.55000000000000004">
      <c r="A187" s="883"/>
      <c r="B187" s="883"/>
      <c r="C187" s="884"/>
      <c r="D187" s="884"/>
      <c r="E187" s="884"/>
      <c r="F187" s="884"/>
      <c r="G187" s="883"/>
      <c r="H187" s="883"/>
      <c r="I187" s="883"/>
      <c r="J187" s="884"/>
      <c r="K187" s="884"/>
      <c r="L187" s="884"/>
      <c r="M187" s="885"/>
      <c r="N187" s="883"/>
      <c r="O187" s="883"/>
      <c r="P187" s="883"/>
      <c r="Q187" s="886"/>
      <c r="R187" s="886"/>
      <c r="S187" s="886"/>
      <c r="T187" s="884"/>
      <c r="U187" s="884"/>
      <c r="V187" s="887"/>
      <c r="W187" s="883"/>
      <c r="X187" s="888"/>
      <c r="Y187" s="888"/>
      <c r="Z187" s="918"/>
      <c r="AA187" s="918"/>
      <c r="AC187" s="883"/>
      <c r="AD187" s="883"/>
      <c r="AE187" s="883"/>
      <c r="AF187" s="883"/>
      <c r="AG187" s="883"/>
      <c r="AH187" s="884"/>
      <c r="AI187" s="883"/>
      <c r="AJ187" s="883"/>
      <c r="AK187" s="886"/>
      <c r="AL187" s="886"/>
      <c r="AM187" s="883"/>
      <c r="AN187" s="883"/>
      <c r="AO187" s="883"/>
      <c r="AP187" s="883"/>
      <c r="AQ187" s="883"/>
      <c r="AR187" s="883"/>
      <c r="AS187" s="883"/>
      <c r="AT187" s="883"/>
      <c r="AU187" s="883"/>
      <c r="AV187" s="883"/>
      <c r="AW187" s="883"/>
      <c r="AX187" s="883"/>
    </row>
    <row r="188" spans="1:50" s="917" customFormat="1" x14ac:dyDescent="0.55000000000000004">
      <c r="A188" s="883"/>
      <c r="B188" s="883"/>
      <c r="C188" s="884"/>
      <c r="D188" s="884"/>
      <c r="E188" s="884"/>
      <c r="F188" s="884"/>
      <c r="G188" s="883"/>
      <c r="H188" s="883"/>
      <c r="I188" s="883"/>
      <c r="J188" s="884"/>
      <c r="K188" s="884"/>
      <c r="L188" s="884"/>
      <c r="M188" s="885"/>
      <c r="N188" s="883"/>
      <c r="O188" s="883"/>
      <c r="P188" s="883"/>
      <c r="Q188" s="886"/>
      <c r="R188" s="886"/>
      <c r="S188" s="886"/>
      <c r="T188" s="884"/>
      <c r="U188" s="884"/>
      <c r="V188" s="887"/>
      <c r="W188" s="883"/>
      <c r="X188" s="888"/>
      <c r="Y188" s="888"/>
      <c r="Z188" s="918"/>
      <c r="AA188" s="918"/>
      <c r="AC188" s="883"/>
      <c r="AD188" s="883"/>
      <c r="AE188" s="883"/>
      <c r="AF188" s="883"/>
      <c r="AG188" s="883"/>
      <c r="AH188" s="884"/>
      <c r="AI188" s="883"/>
      <c r="AJ188" s="883"/>
      <c r="AK188" s="886"/>
      <c r="AL188" s="886"/>
      <c r="AM188" s="883"/>
      <c r="AN188" s="883"/>
      <c r="AO188" s="883"/>
      <c r="AP188" s="883"/>
      <c r="AQ188" s="883"/>
      <c r="AR188" s="883"/>
      <c r="AS188" s="883"/>
      <c r="AT188" s="883"/>
      <c r="AU188" s="883"/>
      <c r="AV188" s="883"/>
      <c r="AW188" s="883"/>
      <c r="AX188" s="883"/>
    </row>
    <row r="189" spans="1:50" s="917" customFormat="1" x14ac:dyDescent="0.55000000000000004">
      <c r="A189" s="883"/>
      <c r="B189" s="883"/>
      <c r="C189" s="884"/>
      <c r="D189" s="884"/>
      <c r="E189" s="884"/>
      <c r="F189" s="884"/>
      <c r="G189" s="883"/>
      <c r="H189" s="883"/>
      <c r="I189" s="883"/>
      <c r="J189" s="884"/>
      <c r="K189" s="884"/>
      <c r="L189" s="884"/>
      <c r="M189" s="885"/>
      <c r="N189" s="883"/>
      <c r="O189" s="883"/>
      <c r="P189" s="883"/>
      <c r="Q189" s="886"/>
      <c r="R189" s="886"/>
      <c r="S189" s="886"/>
      <c r="T189" s="884"/>
      <c r="U189" s="884"/>
      <c r="V189" s="887"/>
      <c r="W189" s="883"/>
      <c r="X189" s="888"/>
      <c r="Y189" s="888"/>
      <c r="Z189" s="918"/>
      <c r="AA189" s="918"/>
      <c r="AC189" s="883"/>
      <c r="AD189" s="883"/>
      <c r="AE189" s="883"/>
      <c r="AF189" s="883"/>
      <c r="AG189" s="883"/>
      <c r="AH189" s="884"/>
      <c r="AI189" s="883"/>
      <c r="AJ189" s="883"/>
      <c r="AK189" s="886"/>
      <c r="AL189" s="886"/>
      <c r="AM189" s="883"/>
      <c r="AN189" s="883"/>
      <c r="AO189" s="883"/>
      <c r="AP189" s="883"/>
      <c r="AQ189" s="883"/>
      <c r="AR189" s="883"/>
      <c r="AS189" s="883"/>
      <c r="AT189" s="883"/>
      <c r="AU189" s="883"/>
      <c r="AV189" s="883"/>
      <c r="AW189" s="883"/>
      <c r="AX189" s="883"/>
    </row>
    <row r="190" spans="1:50" s="917" customFormat="1" x14ac:dyDescent="0.55000000000000004">
      <c r="A190" s="883"/>
      <c r="B190" s="883"/>
      <c r="C190" s="884"/>
      <c r="D190" s="884"/>
      <c r="E190" s="884"/>
      <c r="F190" s="884"/>
      <c r="G190" s="883"/>
      <c r="H190" s="883"/>
      <c r="I190" s="883"/>
      <c r="J190" s="884"/>
      <c r="K190" s="884"/>
      <c r="L190" s="884"/>
      <c r="M190" s="885"/>
      <c r="N190" s="883"/>
      <c r="O190" s="883"/>
      <c r="P190" s="883"/>
      <c r="Q190" s="886"/>
      <c r="R190" s="886"/>
      <c r="S190" s="886"/>
      <c r="T190" s="884"/>
      <c r="U190" s="884"/>
      <c r="V190" s="887"/>
      <c r="W190" s="883"/>
      <c r="X190" s="888"/>
      <c r="Y190" s="888"/>
      <c r="Z190" s="918"/>
      <c r="AA190" s="918"/>
      <c r="AC190" s="883"/>
      <c r="AD190" s="883"/>
      <c r="AE190" s="883"/>
      <c r="AF190" s="883"/>
      <c r="AG190" s="883"/>
      <c r="AH190" s="884"/>
      <c r="AI190" s="883"/>
      <c r="AJ190" s="883"/>
      <c r="AK190" s="886"/>
      <c r="AL190" s="886"/>
      <c r="AM190" s="883"/>
      <c r="AN190" s="883"/>
      <c r="AO190" s="883"/>
      <c r="AP190" s="883"/>
      <c r="AQ190" s="883"/>
      <c r="AR190" s="883"/>
      <c r="AS190" s="883"/>
      <c r="AT190" s="883"/>
      <c r="AU190" s="883"/>
      <c r="AV190" s="883"/>
      <c r="AW190" s="883"/>
      <c r="AX190" s="883"/>
    </row>
    <row r="191" spans="1:50" s="917" customFormat="1" x14ac:dyDescent="0.55000000000000004">
      <c r="A191" s="883"/>
      <c r="B191" s="883"/>
      <c r="C191" s="884"/>
      <c r="D191" s="884"/>
      <c r="E191" s="884"/>
      <c r="F191" s="884"/>
      <c r="G191" s="883"/>
      <c r="H191" s="883"/>
      <c r="I191" s="883"/>
      <c r="J191" s="884"/>
      <c r="K191" s="884"/>
      <c r="L191" s="884"/>
      <c r="M191" s="885"/>
      <c r="N191" s="883"/>
      <c r="O191" s="883"/>
      <c r="P191" s="883"/>
      <c r="Q191" s="886"/>
      <c r="R191" s="886"/>
      <c r="S191" s="886"/>
      <c r="T191" s="884"/>
      <c r="U191" s="884"/>
      <c r="V191" s="887"/>
      <c r="W191" s="883"/>
      <c r="X191" s="888"/>
      <c r="Y191" s="888"/>
      <c r="Z191" s="918"/>
      <c r="AA191" s="918"/>
      <c r="AC191" s="883"/>
      <c r="AD191" s="883"/>
      <c r="AE191" s="883"/>
      <c r="AF191" s="883"/>
      <c r="AG191" s="883"/>
      <c r="AH191" s="884"/>
      <c r="AI191" s="883"/>
      <c r="AJ191" s="883"/>
      <c r="AK191" s="886"/>
      <c r="AL191" s="886"/>
      <c r="AM191" s="883"/>
      <c r="AN191" s="883"/>
      <c r="AO191" s="883"/>
      <c r="AP191" s="883"/>
      <c r="AQ191" s="883"/>
      <c r="AR191" s="883"/>
      <c r="AS191" s="883"/>
      <c r="AT191" s="883"/>
      <c r="AU191" s="883"/>
      <c r="AV191" s="883"/>
      <c r="AW191" s="883"/>
      <c r="AX191" s="883"/>
    </row>
    <row r="192" spans="1:50" s="917" customFormat="1" x14ac:dyDescent="0.55000000000000004">
      <c r="A192" s="883"/>
      <c r="B192" s="883"/>
      <c r="C192" s="884"/>
      <c r="D192" s="884"/>
      <c r="E192" s="884"/>
      <c r="F192" s="884"/>
      <c r="G192" s="883"/>
      <c r="H192" s="883"/>
      <c r="I192" s="883"/>
      <c r="J192" s="884"/>
      <c r="K192" s="884"/>
      <c r="L192" s="884"/>
      <c r="M192" s="885"/>
      <c r="N192" s="883"/>
      <c r="O192" s="883"/>
      <c r="P192" s="883"/>
      <c r="Q192" s="886"/>
      <c r="R192" s="886"/>
      <c r="S192" s="886"/>
      <c r="T192" s="884"/>
      <c r="U192" s="884"/>
      <c r="V192" s="887"/>
      <c r="W192" s="883"/>
      <c r="X192" s="888"/>
      <c r="Y192" s="888"/>
      <c r="Z192" s="918"/>
      <c r="AA192" s="918"/>
      <c r="AC192" s="883"/>
      <c r="AD192" s="883"/>
      <c r="AE192" s="883"/>
      <c r="AF192" s="883"/>
      <c r="AG192" s="883"/>
      <c r="AH192" s="884"/>
      <c r="AI192" s="883"/>
      <c r="AJ192" s="883"/>
      <c r="AK192" s="886"/>
      <c r="AL192" s="886"/>
      <c r="AM192" s="883"/>
      <c r="AN192" s="883"/>
      <c r="AO192" s="883"/>
      <c r="AP192" s="883"/>
      <c r="AQ192" s="883"/>
      <c r="AR192" s="883"/>
      <c r="AS192" s="883"/>
      <c r="AT192" s="883"/>
      <c r="AU192" s="883"/>
      <c r="AV192" s="883"/>
      <c r="AW192" s="883"/>
      <c r="AX192" s="883"/>
    </row>
    <row r="193" spans="1:50" s="917" customFormat="1" x14ac:dyDescent="0.55000000000000004">
      <c r="A193" s="883"/>
      <c r="B193" s="883"/>
      <c r="C193" s="884"/>
      <c r="D193" s="884"/>
      <c r="E193" s="884"/>
      <c r="F193" s="884"/>
      <c r="G193" s="883"/>
      <c r="H193" s="883"/>
      <c r="I193" s="883"/>
      <c r="J193" s="884"/>
      <c r="K193" s="884"/>
      <c r="L193" s="884"/>
      <c r="M193" s="885"/>
      <c r="N193" s="883"/>
      <c r="O193" s="883"/>
      <c r="P193" s="883"/>
      <c r="Q193" s="886"/>
      <c r="R193" s="886"/>
      <c r="S193" s="886"/>
      <c r="T193" s="884"/>
      <c r="U193" s="884"/>
      <c r="V193" s="887"/>
      <c r="W193" s="883"/>
      <c r="X193" s="888"/>
      <c r="Y193" s="888"/>
      <c r="Z193" s="918"/>
      <c r="AA193" s="918"/>
      <c r="AC193" s="883"/>
      <c r="AD193" s="883"/>
      <c r="AE193" s="883"/>
      <c r="AF193" s="883"/>
      <c r="AG193" s="883"/>
      <c r="AH193" s="884"/>
      <c r="AI193" s="883"/>
      <c r="AJ193" s="883"/>
      <c r="AK193" s="886"/>
      <c r="AL193" s="886"/>
      <c r="AM193" s="883"/>
      <c r="AN193" s="883"/>
      <c r="AO193" s="883"/>
      <c r="AP193" s="883"/>
      <c r="AQ193" s="883"/>
      <c r="AR193" s="883"/>
      <c r="AS193" s="883"/>
      <c r="AT193" s="883"/>
      <c r="AU193" s="883"/>
      <c r="AV193" s="883"/>
      <c r="AW193" s="883"/>
      <c r="AX193" s="883"/>
    </row>
    <row r="194" spans="1:50" s="917" customFormat="1" x14ac:dyDescent="0.55000000000000004">
      <c r="A194" s="883"/>
      <c r="B194" s="883"/>
      <c r="C194" s="884"/>
      <c r="D194" s="884"/>
      <c r="E194" s="884"/>
      <c r="F194" s="884"/>
      <c r="G194" s="883"/>
      <c r="H194" s="883"/>
      <c r="I194" s="883"/>
      <c r="J194" s="884"/>
      <c r="K194" s="884"/>
      <c r="L194" s="884"/>
      <c r="M194" s="885"/>
      <c r="N194" s="883"/>
      <c r="O194" s="883"/>
      <c r="P194" s="883"/>
      <c r="Q194" s="886"/>
      <c r="R194" s="886"/>
      <c r="S194" s="886"/>
      <c r="T194" s="884"/>
      <c r="U194" s="884"/>
      <c r="V194" s="887"/>
      <c r="W194" s="883"/>
      <c r="X194" s="888"/>
      <c r="Y194" s="888"/>
      <c r="Z194" s="918"/>
      <c r="AA194" s="918"/>
      <c r="AC194" s="883"/>
      <c r="AD194" s="883"/>
      <c r="AE194" s="883"/>
      <c r="AF194" s="883"/>
      <c r="AG194" s="883"/>
      <c r="AH194" s="884"/>
      <c r="AI194" s="883"/>
      <c r="AJ194" s="883"/>
      <c r="AK194" s="886"/>
      <c r="AL194" s="886"/>
      <c r="AM194" s="883"/>
      <c r="AN194" s="883"/>
      <c r="AO194" s="883"/>
      <c r="AP194" s="883"/>
      <c r="AQ194" s="883"/>
      <c r="AR194" s="883"/>
      <c r="AS194" s="883"/>
      <c r="AT194" s="883"/>
      <c r="AU194" s="883"/>
      <c r="AV194" s="883"/>
      <c r="AW194" s="883"/>
      <c r="AX194" s="883"/>
    </row>
    <row r="195" spans="1:50" s="917" customFormat="1" x14ac:dyDescent="0.55000000000000004">
      <c r="A195" s="883"/>
      <c r="B195" s="883"/>
      <c r="C195" s="884"/>
      <c r="D195" s="884"/>
      <c r="E195" s="884"/>
      <c r="F195" s="884"/>
      <c r="G195" s="883"/>
      <c r="H195" s="883"/>
      <c r="I195" s="883"/>
      <c r="J195" s="884"/>
      <c r="K195" s="884"/>
      <c r="L195" s="884"/>
      <c r="M195" s="885"/>
      <c r="N195" s="883"/>
      <c r="O195" s="883"/>
      <c r="P195" s="883"/>
      <c r="Q195" s="886"/>
      <c r="R195" s="886"/>
      <c r="S195" s="886"/>
      <c r="T195" s="884"/>
      <c r="U195" s="884"/>
      <c r="V195" s="887"/>
      <c r="W195" s="883"/>
      <c r="X195" s="888"/>
      <c r="Y195" s="888"/>
      <c r="Z195" s="918"/>
      <c r="AA195" s="918"/>
      <c r="AC195" s="883"/>
      <c r="AD195" s="883"/>
      <c r="AE195" s="883"/>
      <c r="AF195" s="883"/>
      <c r="AG195" s="883"/>
      <c r="AH195" s="884"/>
      <c r="AI195" s="883"/>
      <c r="AJ195" s="883"/>
      <c r="AK195" s="886"/>
      <c r="AL195" s="886"/>
      <c r="AM195" s="883"/>
      <c r="AN195" s="883"/>
      <c r="AO195" s="883"/>
      <c r="AP195" s="883"/>
      <c r="AQ195" s="883"/>
      <c r="AR195" s="883"/>
      <c r="AS195" s="883"/>
      <c r="AT195" s="883"/>
      <c r="AU195" s="883"/>
      <c r="AV195" s="883"/>
      <c r="AW195" s="883"/>
      <c r="AX195" s="883"/>
    </row>
    <row r="196" spans="1:50" s="917" customFormat="1" x14ac:dyDescent="0.55000000000000004">
      <c r="A196" s="883"/>
      <c r="B196" s="883"/>
      <c r="C196" s="884"/>
      <c r="D196" s="884"/>
      <c r="E196" s="884"/>
      <c r="F196" s="884"/>
      <c r="G196" s="883"/>
      <c r="H196" s="883"/>
      <c r="I196" s="883"/>
      <c r="J196" s="884"/>
      <c r="K196" s="884"/>
      <c r="L196" s="884"/>
      <c r="M196" s="885"/>
      <c r="N196" s="883"/>
      <c r="O196" s="883"/>
      <c r="P196" s="883"/>
      <c r="Q196" s="886"/>
      <c r="R196" s="886"/>
      <c r="S196" s="886"/>
      <c r="T196" s="884"/>
      <c r="U196" s="884"/>
      <c r="V196" s="887"/>
      <c r="W196" s="883"/>
      <c r="X196" s="888"/>
      <c r="Y196" s="888"/>
      <c r="Z196" s="918"/>
      <c r="AA196" s="918"/>
      <c r="AC196" s="883"/>
      <c r="AD196" s="883"/>
      <c r="AE196" s="883"/>
      <c r="AF196" s="883"/>
      <c r="AG196" s="883"/>
      <c r="AH196" s="884"/>
      <c r="AI196" s="883"/>
      <c r="AJ196" s="883"/>
      <c r="AK196" s="886"/>
      <c r="AL196" s="886"/>
      <c r="AM196" s="883"/>
      <c r="AN196" s="883"/>
      <c r="AO196" s="883"/>
      <c r="AP196" s="883"/>
      <c r="AQ196" s="883"/>
      <c r="AR196" s="883"/>
      <c r="AS196" s="883"/>
      <c r="AT196" s="883"/>
      <c r="AU196" s="883"/>
      <c r="AV196" s="883"/>
      <c r="AW196" s="883"/>
      <c r="AX196" s="883"/>
    </row>
    <row r="197" spans="1:50" s="917" customFormat="1" x14ac:dyDescent="0.55000000000000004">
      <c r="A197" s="883"/>
      <c r="B197" s="883"/>
      <c r="C197" s="884"/>
      <c r="D197" s="884"/>
      <c r="E197" s="884"/>
      <c r="F197" s="884"/>
      <c r="G197" s="883"/>
      <c r="H197" s="883"/>
      <c r="I197" s="883"/>
      <c r="J197" s="884"/>
      <c r="K197" s="884"/>
      <c r="L197" s="884"/>
      <c r="M197" s="885"/>
      <c r="N197" s="883"/>
      <c r="O197" s="883"/>
      <c r="P197" s="883"/>
      <c r="Q197" s="886"/>
      <c r="R197" s="886"/>
      <c r="S197" s="886"/>
      <c r="T197" s="884"/>
      <c r="U197" s="884"/>
      <c r="V197" s="887"/>
      <c r="W197" s="883"/>
      <c r="X197" s="888"/>
      <c r="Y197" s="888"/>
      <c r="Z197" s="918"/>
      <c r="AA197" s="918"/>
      <c r="AC197" s="883"/>
      <c r="AD197" s="883"/>
      <c r="AE197" s="883"/>
      <c r="AF197" s="883"/>
      <c r="AG197" s="883"/>
      <c r="AH197" s="884"/>
      <c r="AI197" s="883"/>
      <c r="AJ197" s="883"/>
      <c r="AK197" s="886"/>
      <c r="AL197" s="886"/>
      <c r="AM197" s="883"/>
      <c r="AN197" s="883"/>
      <c r="AO197" s="883"/>
      <c r="AP197" s="883"/>
      <c r="AQ197" s="883"/>
      <c r="AR197" s="883"/>
      <c r="AS197" s="883"/>
      <c r="AT197" s="883"/>
      <c r="AU197" s="883"/>
      <c r="AV197" s="883"/>
      <c r="AW197" s="883"/>
      <c r="AX197" s="883"/>
    </row>
    <row r="198" spans="1:50" s="917" customFormat="1" x14ac:dyDescent="0.55000000000000004">
      <c r="A198" s="883"/>
      <c r="B198" s="883"/>
      <c r="C198" s="884"/>
      <c r="D198" s="884"/>
      <c r="E198" s="884"/>
      <c r="F198" s="884"/>
      <c r="G198" s="883"/>
      <c r="H198" s="883"/>
      <c r="I198" s="883"/>
      <c r="J198" s="884"/>
      <c r="K198" s="884"/>
      <c r="L198" s="884"/>
      <c r="M198" s="885"/>
      <c r="N198" s="883"/>
      <c r="O198" s="883"/>
      <c r="P198" s="883"/>
      <c r="Q198" s="886"/>
      <c r="R198" s="886"/>
      <c r="S198" s="886"/>
      <c r="T198" s="884"/>
      <c r="U198" s="884"/>
      <c r="V198" s="887"/>
      <c r="W198" s="883"/>
      <c r="X198" s="888"/>
      <c r="Y198" s="888"/>
      <c r="Z198" s="918"/>
      <c r="AA198" s="918"/>
      <c r="AC198" s="883"/>
      <c r="AD198" s="883"/>
      <c r="AE198" s="883"/>
      <c r="AF198" s="883"/>
      <c r="AG198" s="883"/>
      <c r="AH198" s="884"/>
      <c r="AI198" s="883"/>
      <c r="AJ198" s="883"/>
      <c r="AK198" s="886"/>
      <c r="AL198" s="886"/>
      <c r="AM198" s="883"/>
      <c r="AN198" s="883"/>
      <c r="AO198" s="883"/>
      <c r="AP198" s="883"/>
      <c r="AQ198" s="883"/>
      <c r="AR198" s="883"/>
      <c r="AS198" s="883"/>
      <c r="AT198" s="883"/>
      <c r="AU198" s="883"/>
      <c r="AV198" s="883"/>
      <c r="AW198" s="883"/>
      <c r="AX198" s="883"/>
    </row>
    <row r="199" spans="1:50" s="917" customFormat="1" x14ac:dyDescent="0.55000000000000004">
      <c r="A199" s="883"/>
      <c r="B199" s="883"/>
      <c r="C199" s="884"/>
      <c r="D199" s="884"/>
      <c r="E199" s="884"/>
      <c r="F199" s="884"/>
      <c r="G199" s="883"/>
      <c r="H199" s="883"/>
      <c r="I199" s="883"/>
      <c r="J199" s="884"/>
      <c r="K199" s="884"/>
      <c r="L199" s="884"/>
      <c r="M199" s="885"/>
      <c r="N199" s="883"/>
      <c r="O199" s="883"/>
      <c r="P199" s="883"/>
      <c r="Q199" s="886"/>
      <c r="R199" s="886"/>
      <c r="S199" s="886"/>
      <c r="T199" s="884"/>
      <c r="U199" s="884"/>
      <c r="V199" s="887"/>
      <c r="W199" s="883"/>
      <c r="X199" s="888"/>
      <c r="Y199" s="888"/>
      <c r="Z199" s="918"/>
      <c r="AA199" s="918"/>
      <c r="AC199" s="883"/>
      <c r="AD199" s="883"/>
      <c r="AE199" s="883"/>
      <c r="AF199" s="883"/>
      <c r="AG199" s="883"/>
      <c r="AH199" s="884"/>
      <c r="AI199" s="883"/>
      <c r="AJ199" s="883"/>
      <c r="AK199" s="886"/>
      <c r="AL199" s="886"/>
      <c r="AM199" s="883"/>
      <c r="AN199" s="883"/>
      <c r="AO199" s="883"/>
      <c r="AP199" s="883"/>
      <c r="AQ199" s="883"/>
      <c r="AR199" s="883"/>
      <c r="AS199" s="883"/>
      <c r="AT199" s="883"/>
      <c r="AU199" s="883"/>
      <c r="AV199" s="883"/>
      <c r="AW199" s="883"/>
      <c r="AX199" s="883"/>
    </row>
    <row r="200" spans="1:50" s="917" customFormat="1" x14ac:dyDescent="0.55000000000000004">
      <c r="A200" s="883"/>
      <c r="B200" s="883"/>
      <c r="C200" s="884"/>
      <c r="D200" s="884"/>
      <c r="E200" s="884"/>
      <c r="F200" s="884"/>
      <c r="G200" s="883"/>
      <c r="H200" s="883"/>
      <c r="I200" s="883"/>
      <c r="J200" s="884"/>
      <c r="K200" s="884"/>
      <c r="L200" s="884"/>
      <c r="M200" s="885"/>
      <c r="N200" s="883"/>
      <c r="O200" s="883"/>
      <c r="P200" s="883"/>
      <c r="Q200" s="886"/>
      <c r="R200" s="886"/>
      <c r="S200" s="886"/>
      <c r="T200" s="884"/>
      <c r="U200" s="884"/>
      <c r="V200" s="887"/>
      <c r="W200" s="883"/>
      <c r="X200" s="888"/>
      <c r="Y200" s="888"/>
      <c r="Z200" s="918"/>
      <c r="AA200" s="918"/>
      <c r="AC200" s="883"/>
      <c r="AD200" s="883"/>
      <c r="AE200" s="883"/>
      <c r="AF200" s="883"/>
      <c r="AG200" s="883"/>
      <c r="AH200" s="884"/>
      <c r="AI200" s="883"/>
      <c r="AJ200" s="883"/>
      <c r="AK200" s="886"/>
      <c r="AL200" s="886"/>
      <c r="AM200" s="883"/>
      <c r="AN200" s="883"/>
      <c r="AO200" s="883"/>
      <c r="AP200" s="883"/>
      <c r="AQ200" s="883"/>
      <c r="AR200" s="883"/>
      <c r="AS200" s="883"/>
      <c r="AT200" s="883"/>
      <c r="AU200" s="883"/>
      <c r="AV200" s="883"/>
      <c r="AW200" s="883"/>
      <c r="AX200" s="883"/>
    </row>
    <row r="201" spans="1:50" s="917" customFormat="1" x14ac:dyDescent="0.55000000000000004">
      <c r="A201" s="883"/>
      <c r="B201" s="883"/>
      <c r="C201" s="884"/>
      <c r="D201" s="884"/>
      <c r="E201" s="884"/>
      <c r="F201" s="884"/>
      <c r="G201" s="883"/>
      <c r="H201" s="883"/>
      <c r="I201" s="883"/>
      <c r="J201" s="884"/>
      <c r="K201" s="884"/>
      <c r="L201" s="884"/>
      <c r="M201" s="885"/>
      <c r="N201" s="883"/>
      <c r="O201" s="883"/>
      <c r="P201" s="883"/>
      <c r="Q201" s="886"/>
      <c r="R201" s="886"/>
      <c r="S201" s="886"/>
      <c r="T201" s="884"/>
      <c r="U201" s="884"/>
      <c r="V201" s="887"/>
      <c r="W201" s="883"/>
      <c r="X201" s="888"/>
      <c r="Y201" s="888"/>
      <c r="Z201" s="918"/>
      <c r="AA201" s="918"/>
      <c r="AC201" s="883"/>
      <c r="AD201" s="883"/>
      <c r="AE201" s="883"/>
      <c r="AF201" s="883"/>
      <c r="AG201" s="883"/>
      <c r="AH201" s="884"/>
      <c r="AI201" s="883"/>
      <c r="AJ201" s="883"/>
      <c r="AK201" s="886"/>
      <c r="AL201" s="886"/>
      <c r="AM201" s="883"/>
      <c r="AN201" s="883"/>
      <c r="AO201" s="883"/>
      <c r="AP201" s="883"/>
      <c r="AQ201" s="883"/>
      <c r="AR201" s="883"/>
      <c r="AS201" s="883"/>
      <c r="AT201" s="883"/>
      <c r="AU201" s="883"/>
      <c r="AV201" s="883"/>
      <c r="AW201" s="883"/>
      <c r="AX201" s="883"/>
    </row>
    <row r="202" spans="1:50" s="917" customFormat="1" x14ac:dyDescent="0.55000000000000004">
      <c r="A202" s="883"/>
      <c r="B202" s="883"/>
      <c r="C202" s="884"/>
      <c r="D202" s="884"/>
      <c r="E202" s="884"/>
      <c r="F202" s="884"/>
      <c r="G202" s="883"/>
      <c r="H202" s="883"/>
      <c r="I202" s="883"/>
      <c r="J202" s="884"/>
      <c r="K202" s="884"/>
      <c r="L202" s="884"/>
      <c r="M202" s="885"/>
      <c r="N202" s="883"/>
      <c r="O202" s="883"/>
      <c r="P202" s="883"/>
      <c r="Q202" s="886"/>
      <c r="R202" s="886"/>
      <c r="S202" s="886"/>
      <c r="T202" s="884"/>
      <c r="U202" s="884"/>
      <c r="V202" s="887"/>
      <c r="W202" s="883"/>
      <c r="X202" s="888"/>
      <c r="Y202" s="888"/>
      <c r="Z202" s="918"/>
      <c r="AA202" s="918"/>
      <c r="AC202" s="883"/>
      <c r="AD202" s="883"/>
      <c r="AE202" s="883"/>
      <c r="AF202" s="883"/>
      <c r="AG202" s="883"/>
      <c r="AH202" s="884"/>
      <c r="AI202" s="883"/>
      <c r="AJ202" s="883"/>
      <c r="AK202" s="886"/>
      <c r="AL202" s="886"/>
      <c r="AM202" s="883"/>
      <c r="AN202" s="883"/>
      <c r="AO202" s="883"/>
      <c r="AP202" s="883"/>
      <c r="AQ202" s="883"/>
      <c r="AR202" s="883"/>
      <c r="AS202" s="883"/>
      <c r="AT202" s="883"/>
      <c r="AU202" s="883"/>
      <c r="AV202" s="883"/>
      <c r="AW202" s="883"/>
      <c r="AX202" s="883"/>
    </row>
    <row r="203" spans="1:50" s="917" customFormat="1" x14ac:dyDescent="0.55000000000000004">
      <c r="A203" s="883"/>
      <c r="B203" s="883"/>
      <c r="C203" s="884"/>
      <c r="D203" s="884"/>
      <c r="E203" s="884"/>
      <c r="F203" s="884"/>
      <c r="G203" s="883"/>
      <c r="H203" s="883"/>
      <c r="I203" s="883"/>
      <c r="J203" s="884"/>
      <c r="K203" s="884"/>
      <c r="L203" s="884"/>
      <c r="M203" s="885"/>
      <c r="N203" s="883"/>
      <c r="O203" s="883"/>
      <c r="P203" s="883"/>
      <c r="Q203" s="886"/>
      <c r="R203" s="886"/>
      <c r="S203" s="886"/>
      <c r="T203" s="884"/>
      <c r="U203" s="884"/>
      <c r="V203" s="887"/>
      <c r="W203" s="883"/>
      <c r="X203" s="888"/>
      <c r="Y203" s="888"/>
      <c r="Z203" s="918"/>
      <c r="AA203" s="918"/>
      <c r="AC203" s="883"/>
      <c r="AD203" s="883"/>
      <c r="AE203" s="883"/>
      <c r="AF203" s="883"/>
      <c r="AG203" s="883"/>
      <c r="AH203" s="884"/>
      <c r="AI203" s="883"/>
      <c r="AJ203" s="883"/>
      <c r="AK203" s="886"/>
      <c r="AL203" s="886"/>
      <c r="AM203" s="883"/>
      <c r="AN203" s="883"/>
      <c r="AO203" s="883"/>
      <c r="AP203" s="883"/>
      <c r="AQ203" s="883"/>
      <c r="AR203" s="883"/>
      <c r="AS203" s="883"/>
      <c r="AT203" s="883"/>
      <c r="AU203" s="883"/>
      <c r="AV203" s="883"/>
      <c r="AW203" s="883"/>
      <c r="AX203" s="883"/>
    </row>
    <row r="204" spans="1:50" s="917" customFormat="1" x14ac:dyDescent="0.55000000000000004">
      <c r="A204" s="883"/>
      <c r="B204" s="883"/>
      <c r="C204" s="884"/>
      <c r="D204" s="884"/>
      <c r="E204" s="884"/>
      <c r="F204" s="884"/>
      <c r="G204" s="883"/>
      <c r="H204" s="883"/>
      <c r="I204" s="883"/>
      <c r="J204" s="884"/>
      <c r="K204" s="884"/>
      <c r="L204" s="884"/>
      <c r="M204" s="885"/>
      <c r="N204" s="883"/>
      <c r="O204" s="883"/>
      <c r="P204" s="883"/>
      <c r="Q204" s="886"/>
      <c r="R204" s="886"/>
      <c r="S204" s="886"/>
      <c r="T204" s="884"/>
      <c r="U204" s="884"/>
      <c r="V204" s="887"/>
      <c r="W204" s="883"/>
      <c r="X204" s="888"/>
      <c r="Y204" s="888"/>
      <c r="Z204" s="918"/>
      <c r="AA204" s="918"/>
      <c r="AC204" s="883"/>
      <c r="AD204" s="883"/>
      <c r="AE204" s="883"/>
      <c r="AF204" s="883"/>
      <c r="AG204" s="883"/>
      <c r="AH204" s="884"/>
      <c r="AI204" s="883"/>
      <c r="AJ204" s="883"/>
      <c r="AK204" s="886"/>
      <c r="AL204" s="886"/>
      <c r="AM204" s="883"/>
      <c r="AN204" s="883"/>
      <c r="AO204" s="883"/>
      <c r="AP204" s="883"/>
      <c r="AQ204" s="883"/>
      <c r="AR204" s="883"/>
      <c r="AS204" s="883"/>
      <c r="AT204" s="883"/>
      <c r="AU204" s="883"/>
      <c r="AV204" s="883"/>
      <c r="AW204" s="883"/>
      <c r="AX204" s="883"/>
    </row>
    <row r="205" spans="1:50" s="917" customFormat="1" x14ac:dyDescent="0.55000000000000004">
      <c r="A205" s="883"/>
      <c r="B205" s="883"/>
      <c r="C205" s="884"/>
      <c r="D205" s="884"/>
      <c r="E205" s="884"/>
      <c r="F205" s="884"/>
      <c r="G205" s="883"/>
      <c r="H205" s="883"/>
      <c r="I205" s="883"/>
      <c r="J205" s="884"/>
      <c r="K205" s="884"/>
      <c r="L205" s="884"/>
      <c r="M205" s="885"/>
      <c r="N205" s="883"/>
      <c r="O205" s="883"/>
      <c r="P205" s="883"/>
      <c r="Q205" s="886"/>
      <c r="R205" s="886"/>
      <c r="S205" s="886"/>
      <c r="T205" s="884"/>
      <c r="U205" s="884"/>
      <c r="V205" s="887"/>
      <c r="W205" s="883"/>
      <c r="X205" s="888"/>
      <c r="Y205" s="888"/>
      <c r="Z205" s="918"/>
      <c r="AA205" s="918"/>
      <c r="AC205" s="883"/>
      <c r="AD205" s="883"/>
      <c r="AE205" s="883"/>
      <c r="AF205" s="883"/>
      <c r="AG205" s="883"/>
      <c r="AH205" s="884"/>
      <c r="AI205" s="883"/>
      <c r="AJ205" s="883"/>
      <c r="AK205" s="886"/>
      <c r="AL205" s="886"/>
      <c r="AM205" s="883"/>
      <c r="AN205" s="883"/>
      <c r="AO205" s="883"/>
      <c r="AP205" s="883"/>
      <c r="AQ205" s="883"/>
      <c r="AR205" s="883"/>
      <c r="AS205" s="883"/>
      <c r="AT205" s="883"/>
      <c r="AU205" s="883"/>
      <c r="AV205" s="883"/>
      <c r="AW205" s="883"/>
      <c r="AX205" s="883"/>
    </row>
    <row r="206" spans="1:50" s="917" customFormat="1" x14ac:dyDescent="0.55000000000000004">
      <c r="A206" s="883"/>
      <c r="B206" s="883"/>
      <c r="C206" s="884"/>
      <c r="D206" s="884"/>
      <c r="E206" s="884"/>
      <c r="F206" s="884"/>
      <c r="G206" s="883"/>
      <c r="H206" s="883"/>
      <c r="I206" s="883"/>
      <c r="J206" s="884"/>
      <c r="K206" s="884"/>
      <c r="L206" s="884"/>
      <c r="M206" s="885"/>
      <c r="N206" s="883"/>
      <c r="O206" s="883"/>
      <c r="P206" s="883"/>
      <c r="Q206" s="886"/>
      <c r="R206" s="886"/>
      <c r="S206" s="886"/>
      <c r="T206" s="884"/>
      <c r="U206" s="884"/>
      <c r="V206" s="887"/>
      <c r="W206" s="883"/>
      <c r="X206" s="888"/>
      <c r="Y206" s="888"/>
      <c r="Z206" s="918"/>
      <c r="AA206" s="918"/>
      <c r="AC206" s="883"/>
      <c r="AD206" s="883"/>
      <c r="AE206" s="883"/>
      <c r="AF206" s="883"/>
      <c r="AG206" s="883"/>
      <c r="AH206" s="884"/>
      <c r="AI206" s="883"/>
      <c r="AJ206" s="883"/>
      <c r="AK206" s="886"/>
      <c r="AL206" s="886"/>
      <c r="AM206" s="883"/>
      <c r="AN206" s="883"/>
      <c r="AO206" s="883"/>
      <c r="AP206" s="883"/>
      <c r="AQ206" s="883"/>
      <c r="AR206" s="883"/>
      <c r="AS206" s="883"/>
      <c r="AT206" s="883"/>
      <c r="AU206" s="883"/>
      <c r="AV206" s="883"/>
      <c r="AW206" s="883"/>
      <c r="AX206" s="883"/>
    </row>
    <row r="207" spans="1:50" s="917" customFormat="1" x14ac:dyDescent="0.55000000000000004">
      <c r="A207" s="883"/>
      <c r="B207" s="883"/>
      <c r="C207" s="884"/>
      <c r="D207" s="884"/>
      <c r="E207" s="884"/>
      <c r="F207" s="884"/>
      <c r="G207" s="883"/>
      <c r="H207" s="883"/>
      <c r="I207" s="883"/>
      <c r="J207" s="884"/>
      <c r="K207" s="884"/>
      <c r="L207" s="884"/>
      <c r="M207" s="885"/>
      <c r="N207" s="883"/>
      <c r="O207" s="883"/>
      <c r="P207" s="883"/>
      <c r="Q207" s="886"/>
      <c r="R207" s="886"/>
      <c r="S207" s="886"/>
      <c r="T207" s="884"/>
      <c r="U207" s="884"/>
      <c r="V207" s="887"/>
      <c r="W207" s="883"/>
      <c r="X207" s="888"/>
      <c r="Y207" s="888"/>
      <c r="Z207" s="918"/>
      <c r="AA207" s="918"/>
      <c r="AC207" s="883"/>
      <c r="AD207" s="883"/>
      <c r="AE207" s="883"/>
      <c r="AF207" s="883"/>
      <c r="AG207" s="883"/>
      <c r="AH207" s="884"/>
      <c r="AI207" s="883"/>
      <c r="AJ207" s="883"/>
      <c r="AK207" s="886"/>
      <c r="AL207" s="886"/>
      <c r="AM207" s="883"/>
      <c r="AN207" s="883"/>
      <c r="AO207" s="883"/>
      <c r="AP207" s="883"/>
      <c r="AQ207" s="883"/>
      <c r="AR207" s="883"/>
      <c r="AS207" s="883"/>
      <c r="AT207" s="883"/>
      <c r="AU207" s="883"/>
      <c r="AV207" s="883"/>
      <c r="AW207" s="883"/>
      <c r="AX207" s="883"/>
    </row>
    <row r="208" spans="1:50" s="917" customFormat="1" x14ac:dyDescent="0.55000000000000004">
      <c r="A208" s="883"/>
      <c r="B208" s="883"/>
      <c r="C208" s="884"/>
      <c r="D208" s="884"/>
      <c r="E208" s="884"/>
      <c r="F208" s="884"/>
      <c r="G208" s="883"/>
      <c r="H208" s="883"/>
      <c r="I208" s="883"/>
      <c r="J208" s="884"/>
      <c r="K208" s="884"/>
      <c r="L208" s="884"/>
      <c r="M208" s="885"/>
      <c r="N208" s="883"/>
      <c r="O208" s="883"/>
      <c r="P208" s="883"/>
      <c r="Q208" s="886"/>
      <c r="R208" s="886"/>
      <c r="S208" s="886"/>
      <c r="T208" s="884"/>
      <c r="U208" s="884"/>
      <c r="V208" s="887"/>
      <c r="W208" s="883"/>
      <c r="X208" s="888"/>
      <c r="Y208" s="888"/>
      <c r="Z208" s="918"/>
      <c r="AA208" s="918"/>
      <c r="AC208" s="883"/>
      <c r="AD208" s="883"/>
      <c r="AE208" s="883"/>
      <c r="AF208" s="883"/>
      <c r="AG208" s="883"/>
      <c r="AH208" s="884"/>
      <c r="AI208" s="883"/>
      <c r="AJ208" s="883"/>
      <c r="AK208" s="886"/>
      <c r="AL208" s="886"/>
      <c r="AM208" s="883"/>
      <c r="AN208" s="883"/>
      <c r="AO208" s="883"/>
      <c r="AP208" s="883"/>
      <c r="AQ208" s="883"/>
      <c r="AR208" s="883"/>
      <c r="AS208" s="883"/>
      <c r="AT208" s="883"/>
      <c r="AU208" s="883"/>
      <c r="AV208" s="883"/>
      <c r="AW208" s="883"/>
      <c r="AX208" s="883"/>
    </row>
    <row r="209" spans="1:50" s="917" customFormat="1" x14ac:dyDescent="0.55000000000000004">
      <c r="A209" s="883"/>
      <c r="B209" s="883"/>
      <c r="C209" s="884"/>
      <c r="D209" s="884"/>
      <c r="E209" s="884"/>
      <c r="F209" s="884"/>
      <c r="G209" s="883"/>
      <c r="H209" s="883"/>
      <c r="I209" s="883"/>
      <c r="J209" s="884"/>
      <c r="K209" s="884"/>
      <c r="L209" s="884"/>
      <c r="M209" s="885"/>
      <c r="N209" s="883"/>
      <c r="O209" s="883"/>
      <c r="P209" s="883"/>
      <c r="Q209" s="886"/>
      <c r="R209" s="886"/>
      <c r="S209" s="886"/>
      <c r="T209" s="884"/>
      <c r="U209" s="884"/>
      <c r="V209" s="887"/>
      <c r="W209" s="883"/>
      <c r="X209" s="888"/>
      <c r="Y209" s="888"/>
      <c r="Z209" s="918"/>
      <c r="AA209" s="918"/>
      <c r="AC209" s="883"/>
      <c r="AD209" s="883"/>
      <c r="AE209" s="883"/>
      <c r="AF209" s="883"/>
      <c r="AG209" s="883"/>
      <c r="AH209" s="884"/>
      <c r="AI209" s="883"/>
      <c r="AJ209" s="883"/>
      <c r="AK209" s="886"/>
      <c r="AL209" s="886"/>
      <c r="AM209" s="883"/>
      <c r="AN209" s="883"/>
      <c r="AO209" s="883"/>
      <c r="AP209" s="883"/>
      <c r="AQ209" s="883"/>
      <c r="AR209" s="883"/>
      <c r="AS209" s="883"/>
      <c r="AT209" s="883"/>
      <c r="AU209" s="883"/>
      <c r="AV209" s="883"/>
      <c r="AW209" s="883"/>
      <c r="AX209" s="883"/>
    </row>
    <row r="210" spans="1:50" s="917" customFormat="1" x14ac:dyDescent="0.55000000000000004">
      <c r="A210" s="883"/>
      <c r="B210" s="883"/>
      <c r="C210" s="884"/>
      <c r="D210" s="884"/>
      <c r="E210" s="884"/>
      <c r="F210" s="884"/>
      <c r="G210" s="883"/>
      <c r="H210" s="883"/>
      <c r="I210" s="883"/>
      <c r="J210" s="884"/>
      <c r="K210" s="884"/>
      <c r="L210" s="884"/>
      <c r="M210" s="885"/>
      <c r="N210" s="883"/>
      <c r="O210" s="883"/>
      <c r="P210" s="883"/>
      <c r="Q210" s="886"/>
      <c r="R210" s="886"/>
      <c r="S210" s="886"/>
      <c r="T210" s="884"/>
      <c r="U210" s="884"/>
      <c r="V210" s="887"/>
      <c r="W210" s="883"/>
      <c r="X210" s="888"/>
      <c r="Y210" s="888"/>
      <c r="Z210" s="918"/>
      <c r="AA210" s="918"/>
      <c r="AC210" s="883"/>
      <c r="AD210" s="883"/>
      <c r="AE210" s="883"/>
      <c r="AF210" s="883"/>
      <c r="AG210" s="883"/>
      <c r="AH210" s="884"/>
      <c r="AI210" s="883"/>
      <c r="AJ210" s="883"/>
      <c r="AK210" s="886"/>
      <c r="AL210" s="886"/>
      <c r="AM210" s="883"/>
      <c r="AN210" s="883"/>
      <c r="AO210" s="883"/>
      <c r="AP210" s="883"/>
      <c r="AQ210" s="883"/>
      <c r="AR210" s="883"/>
      <c r="AS210" s="883"/>
      <c r="AT210" s="883"/>
      <c r="AU210" s="883"/>
      <c r="AV210" s="883"/>
      <c r="AW210" s="883"/>
      <c r="AX210" s="883"/>
    </row>
    <row r="211" spans="1:50" s="917" customFormat="1" x14ac:dyDescent="0.55000000000000004">
      <c r="A211" s="883"/>
      <c r="B211" s="883"/>
      <c r="C211" s="884"/>
      <c r="D211" s="884"/>
      <c r="E211" s="884"/>
      <c r="F211" s="884"/>
      <c r="G211" s="883"/>
      <c r="H211" s="883"/>
      <c r="I211" s="883"/>
      <c r="J211" s="884"/>
      <c r="K211" s="884"/>
      <c r="L211" s="884"/>
      <c r="M211" s="885"/>
      <c r="N211" s="883"/>
      <c r="O211" s="883"/>
      <c r="P211" s="883"/>
      <c r="Q211" s="886"/>
      <c r="R211" s="886"/>
      <c r="S211" s="886"/>
      <c r="T211" s="884"/>
      <c r="U211" s="884"/>
      <c r="V211" s="887"/>
      <c r="W211" s="883"/>
      <c r="X211" s="888"/>
      <c r="Y211" s="888"/>
      <c r="Z211" s="918"/>
      <c r="AA211" s="918"/>
      <c r="AC211" s="883"/>
      <c r="AD211" s="883"/>
      <c r="AE211" s="883"/>
      <c r="AF211" s="883"/>
      <c r="AG211" s="883"/>
      <c r="AH211" s="884"/>
      <c r="AI211" s="883"/>
      <c r="AJ211" s="883"/>
      <c r="AK211" s="886"/>
      <c r="AL211" s="886"/>
      <c r="AM211" s="883"/>
      <c r="AN211" s="883"/>
      <c r="AO211" s="883"/>
      <c r="AP211" s="883"/>
      <c r="AQ211" s="883"/>
      <c r="AR211" s="883"/>
      <c r="AS211" s="883"/>
      <c r="AT211" s="883"/>
      <c r="AU211" s="883"/>
      <c r="AV211" s="883"/>
      <c r="AW211" s="883"/>
      <c r="AX211" s="883"/>
    </row>
    <row r="212" spans="1:50" s="917" customFormat="1" x14ac:dyDescent="0.55000000000000004">
      <c r="A212" s="883"/>
      <c r="B212" s="883"/>
      <c r="C212" s="884"/>
      <c r="D212" s="884"/>
      <c r="E212" s="884"/>
      <c r="F212" s="884"/>
      <c r="G212" s="883"/>
      <c r="H212" s="883"/>
      <c r="I212" s="883"/>
      <c r="J212" s="884"/>
      <c r="K212" s="884"/>
      <c r="L212" s="884"/>
      <c r="M212" s="885"/>
      <c r="N212" s="883"/>
      <c r="O212" s="883"/>
      <c r="P212" s="883"/>
      <c r="Q212" s="886"/>
      <c r="R212" s="886"/>
      <c r="S212" s="886"/>
      <c r="T212" s="884"/>
      <c r="U212" s="884"/>
      <c r="V212" s="887"/>
      <c r="W212" s="883"/>
      <c r="X212" s="888"/>
      <c r="Y212" s="888"/>
      <c r="Z212" s="918"/>
      <c r="AA212" s="918"/>
      <c r="AC212" s="883"/>
      <c r="AD212" s="883"/>
      <c r="AE212" s="883"/>
      <c r="AF212" s="883"/>
      <c r="AG212" s="883"/>
      <c r="AH212" s="884"/>
      <c r="AI212" s="883"/>
      <c r="AJ212" s="883"/>
      <c r="AK212" s="886"/>
      <c r="AL212" s="886"/>
      <c r="AM212" s="883"/>
      <c r="AN212" s="883"/>
      <c r="AO212" s="883"/>
      <c r="AP212" s="883"/>
      <c r="AQ212" s="883"/>
      <c r="AR212" s="883"/>
      <c r="AS212" s="883"/>
      <c r="AT212" s="883"/>
      <c r="AU212" s="883"/>
      <c r="AV212" s="883"/>
      <c r="AW212" s="883"/>
      <c r="AX212" s="883"/>
    </row>
    <row r="213" spans="1:50" s="917" customFormat="1" x14ac:dyDescent="0.55000000000000004">
      <c r="A213" s="883"/>
      <c r="B213" s="883"/>
      <c r="C213" s="884"/>
      <c r="D213" s="884"/>
      <c r="E213" s="884"/>
      <c r="F213" s="884"/>
      <c r="G213" s="883"/>
      <c r="H213" s="883"/>
      <c r="I213" s="883"/>
      <c r="J213" s="884"/>
      <c r="K213" s="884"/>
      <c r="L213" s="884"/>
      <c r="M213" s="885"/>
      <c r="N213" s="883"/>
      <c r="O213" s="883"/>
      <c r="P213" s="883"/>
      <c r="Q213" s="886"/>
      <c r="R213" s="886"/>
      <c r="S213" s="886"/>
      <c r="T213" s="884"/>
      <c r="U213" s="884"/>
      <c r="V213" s="887"/>
      <c r="W213" s="883"/>
      <c r="X213" s="888"/>
      <c r="Y213" s="888"/>
      <c r="Z213" s="918"/>
      <c r="AA213" s="918"/>
      <c r="AC213" s="883"/>
      <c r="AD213" s="883"/>
      <c r="AE213" s="883"/>
      <c r="AF213" s="883"/>
      <c r="AG213" s="883"/>
      <c r="AH213" s="884"/>
      <c r="AI213" s="883"/>
      <c r="AJ213" s="883"/>
      <c r="AK213" s="886"/>
      <c r="AL213" s="886"/>
      <c r="AM213" s="883"/>
      <c r="AN213" s="883"/>
      <c r="AO213" s="883"/>
      <c r="AP213" s="883"/>
      <c r="AQ213" s="883"/>
      <c r="AR213" s="883"/>
      <c r="AS213" s="883"/>
      <c r="AT213" s="883"/>
      <c r="AU213" s="883"/>
      <c r="AV213" s="883"/>
      <c r="AW213" s="883"/>
      <c r="AX213" s="883"/>
    </row>
    <row r="214" spans="1:50" s="917" customFormat="1" x14ac:dyDescent="0.55000000000000004">
      <c r="A214" s="883"/>
      <c r="B214" s="883"/>
      <c r="C214" s="884"/>
      <c r="D214" s="884"/>
      <c r="E214" s="884"/>
      <c r="F214" s="884"/>
      <c r="G214" s="883"/>
      <c r="H214" s="883"/>
      <c r="I214" s="883"/>
      <c r="J214" s="884"/>
      <c r="K214" s="884"/>
      <c r="L214" s="884"/>
      <c r="M214" s="885"/>
      <c r="N214" s="883"/>
      <c r="O214" s="883"/>
      <c r="P214" s="883"/>
      <c r="Q214" s="886"/>
      <c r="R214" s="886"/>
      <c r="S214" s="886"/>
      <c r="T214" s="884"/>
      <c r="U214" s="884"/>
      <c r="V214" s="887"/>
      <c r="W214" s="883"/>
      <c r="X214" s="888"/>
      <c r="Y214" s="888"/>
      <c r="Z214" s="918"/>
      <c r="AA214" s="918"/>
      <c r="AC214" s="883"/>
      <c r="AD214" s="883"/>
      <c r="AE214" s="883"/>
      <c r="AF214" s="883"/>
      <c r="AG214" s="883"/>
      <c r="AH214" s="884"/>
      <c r="AI214" s="883"/>
      <c r="AJ214" s="883"/>
      <c r="AK214" s="886"/>
      <c r="AL214" s="886"/>
      <c r="AM214" s="883"/>
      <c r="AN214" s="883"/>
      <c r="AO214" s="883"/>
      <c r="AP214" s="883"/>
      <c r="AQ214" s="883"/>
      <c r="AR214" s="883"/>
      <c r="AS214" s="883"/>
      <c r="AT214" s="883"/>
      <c r="AU214" s="883"/>
      <c r="AV214" s="883"/>
      <c r="AW214" s="883"/>
      <c r="AX214" s="883"/>
    </row>
    <row r="215" spans="1:50" s="917" customFormat="1" x14ac:dyDescent="0.55000000000000004">
      <c r="A215" s="883"/>
      <c r="B215" s="883"/>
      <c r="C215" s="884"/>
      <c r="D215" s="884"/>
      <c r="E215" s="884"/>
      <c r="F215" s="884"/>
      <c r="G215" s="883"/>
      <c r="H215" s="883"/>
      <c r="I215" s="883"/>
      <c r="J215" s="884"/>
      <c r="K215" s="884"/>
      <c r="L215" s="884"/>
      <c r="M215" s="885"/>
      <c r="N215" s="883"/>
      <c r="O215" s="883"/>
      <c r="P215" s="883"/>
      <c r="Q215" s="886"/>
      <c r="R215" s="886"/>
      <c r="S215" s="886"/>
      <c r="T215" s="884"/>
      <c r="U215" s="884"/>
      <c r="V215" s="887"/>
      <c r="W215" s="883"/>
      <c r="X215" s="888"/>
      <c r="Y215" s="888"/>
      <c r="Z215" s="918"/>
      <c r="AA215" s="918"/>
      <c r="AC215" s="883"/>
      <c r="AD215" s="883"/>
      <c r="AE215" s="883"/>
      <c r="AF215" s="883"/>
      <c r="AG215" s="883"/>
      <c r="AH215" s="884"/>
      <c r="AI215" s="883"/>
      <c r="AJ215" s="883"/>
      <c r="AK215" s="886"/>
      <c r="AL215" s="886"/>
      <c r="AM215" s="883"/>
      <c r="AN215" s="883"/>
      <c r="AO215" s="883"/>
      <c r="AP215" s="883"/>
      <c r="AQ215" s="883"/>
      <c r="AR215" s="883"/>
      <c r="AS215" s="883"/>
      <c r="AT215" s="883"/>
      <c r="AU215" s="883"/>
      <c r="AV215" s="883"/>
      <c r="AW215" s="883"/>
      <c r="AX215" s="883"/>
    </row>
    <row r="216" spans="1:50" s="917" customFormat="1" x14ac:dyDescent="0.55000000000000004">
      <c r="A216" s="883"/>
      <c r="B216" s="883"/>
      <c r="C216" s="884"/>
      <c r="D216" s="884"/>
      <c r="E216" s="884"/>
      <c r="F216" s="884"/>
      <c r="G216" s="883"/>
      <c r="H216" s="883"/>
      <c r="I216" s="883"/>
      <c r="J216" s="884"/>
      <c r="K216" s="884"/>
      <c r="L216" s="884"/>
      <c r="M216" s="885"/>
      <c r="N216" s="883"/>
      <c r="O216" s="883"/>
      <c r="P216" s="883"/>
      <c r="Q216" s="886"/>
      <c r="R216" s="886"/>
      <c r="S216" s="886"/>
      <c r="T216" s="884"/>
      <c r="U216" s="884"/>
      <c r="V216" s="887"/>
      <c r="W216" s="883"/>
      <c r="X216" s="888"/>
      <c r="Y216" s="888"/>
      <c r="Z216" s="918"/>
      <c r="AA216" s="918"/>
      <c r="AC216" s="883"/>
      <c r="AD216" s="883"/>
      <c r="AE216" s="883"/>
      <c r="AF216" s="883"/>
      <c r="AG216" s="883"/>
      <c r="AH216" s="884"/>
      <c r="AI216" s="883"/>
      <c r="AJ216" s="883"/>
      <c r="AK216" s="886"/>
      <c r="AL216" s="886"/>
      <c r="AM216" s="883"/>
      <c r="AN216" s="883"/>
      <c r="AO216" s="883"/>
      <c r="AP216" s="883"/>
      <c r="AQ216" s="883"/>
      <c r="AR216" s="883"/>
      <c r="AS216" s="883"/>
      <c r="AT216" s="883"/>
      <c r="AU216" s="883"/>
      <c r="AV216" s="883"/>
      <c r="AW216" s="883"/>
      <c r="AX216" s="883"/>
    </row>
    <row r="217" spans="1:50" s="917" customFormat="1" x14ac:dyDescent="0.55000000000000004">
      <c r="A217" s="883"/>
      <c r="B217" s="883"/>
      <c r="C217" s="884"/>
      <c r="D217" s="884"/>
      <c r="E217" s="884"/>
      <c r="F217" s="884"/>
      <c r="G217" s="883"/>
      <c r="H217" s="883"/>
      <c r="I217" s="883"/>
      <c r="J217" s="884"/>
      <c r="K217" s="884"/>
      <c r="L217" s="884"/>
      <c r="M217" s="885"/>
      <c r="N217" s="883"/>
      <c r="O217" s="883"/>
      <c r="P217" s="883"/>
      <c r="Q217" s="886"/>
      <c r="R217" s="886"/>
      <c r="S217" s="886"/>
      <c r="T217" s="884"/>
      <c r="U217" s="884"/>
      <c r="V217" s="887"/>
      <c r="W217" s="883"/>
      <c r="X217" s="888"/>
      <c r="Y217" s="888"/>
      <c r="Z217" s="918"/>
      <c r="AA217" s="918"/>
      <c r="AC217" s="883"/>
      <c r="AD217" s="883"/>
      <c r="AE217" s="883"/>
      <c r="AF217" s="883"/>
      <c r="AG217" s="883"/>
      <c r="AH217" s="884"/>
      <c r="AI217" s="883"/>
      <c r="AJ217" s="883"/>
      <c r="AK217" s="886"/>
      <c r="AL217" s="886"/>
      <c r="AM217" s="883"/>
      <c r="AN217" s="883"/>
      <c r="AO217" s="883"/>
      <c r="AP217" s="883"/>
      <c r="AQ217" s="883"/>
      <c r="AR217" s="883"/>
      <c r="AS217" s="883"/>
      <c r="AT217" s="883"/>
      <c r="AU217" s="883"/>
      <c r="AV217" s="883"/>
      <c r="AW217" s="883"/>
      <c r="AX217" s="883"/>
    </row>
    <row r="218" spans="1:50" s="917" customFormat="1" x14ac:dyDescent="0.55000000000000004">
      <c r="A218" s="883"/>
      <c r="B218" s="883"/>
      <c r="C218" s="884"/>
      <c r="D218" s="884"/>
      <c r="E218" s="884"/>
      <c r="F218" s="884"/>
      <c r="G218" s="883"/>
      <c r="H218" s="883"/>
      <c r="I218" s="883"/>
      <c r="J218" s="884"/>
      <c r="K218" s="884"/>
      <c r="L218" s="884"/>
      <c r="M218" s="885"/>
      <c r="N218" s="883"/>
      <c r="O218" s="883"/>
      <c r="P218" s="883"/>
      <c r="Q218" s="886"/>
      <c r="R218" s="886"/>
      <c r="S218" s="886"/>
      <c r="T218" s="884"/>
      <c r="U218" s="884"/>
      <c r="V218" s="887"/>
      <c r="W218" s="883"/>
      <c r="X218" s="888"/>
      <c r="Y218" s="888"/>
      <c r="Z218" s="918"/>
      <c r="AA218" s="918"/>
      <c r="AC218" s="883"/>
      <c r="AD218" s="883"/>
      <c r="AE218" s="883"/>
      <c r="AF218" s="883"/>
      <c r="AG218" s="883"/>
      <c r="AH218" s="884"/>
      <c r="AI218" s="883"/>
      <c r="AJ218" s="883"/>
      <c r="AK218" s="886"/>
      <c r="AL218" s="886"/>
      <c r="AM218" s="883"/>
      <c r="AN218" s="883"/>
      <c r="AO218" s="883"/>
      <c r="AP218" s="883"/>
      <c r="AQ218" s="883"/>
      <c r="AR218" s="883"/>
      <c r="AS218" s="883"/>
      <c r="AT218" s="883"/>
      <c r="AU218" s="883"/>
      <c r="AV218" s="883"/>
      <c r="AW218" s="883"/>
      <c r="AX218" s="883"/>
    </row>
    <row r="219" spans="1:50" s="917" customFormat="1" x14ac:dyDescent="0.55000000000000004">
      <c r="A219" s="883"/>
      <c r="B219" s="883"/>
      <c r="C219" s="884"/>
      <c r="D219" s="884"/>
      <c r="E219" s="884"/>
      <c r="F219" s="884"/>
      <c r="G219" s="883"/>
      <c r="H219" s="883"/>
      <c r="I219" s="883"/>
      <c r="J219" s="884"/>
      <c r="K219" s="884"/>
      <c r="L219" s="884"/>
      <c r="M219" s="885"/>
      <c r="N219" s="883"/>
      <c r="O219" s="883"/>
      <c r="P219" s="883"/>
      <c r="Q219" s="886"/>
      <c r="R219" s="886"/>
      <c r="S219" s="886"/>
      <c r="T219" s="884"/>
      <c r="U219" s="884"/>
      <c r="V219" s="887"/>
      <c r="W219" s="883"/>
      <c r="X219" s="888"/>
      <c r="Y219" s="888"/>
      <c r="Z219" s="918"/>
      <c r="AA219" s="918"/>
      <c r="AC219" s="883"/>
      <c r="AD219" s="883"/>
      <c r="AE219" s="883"/>
      <c r="AF219" s="883"/>
      <c r="AG219" s="883"/>
      <c r="AH219" s="884"/>
      <c r="AI219" s="883"/>
      <c r="AJ219" s="883"/>
      <c r="AK219" s="886"/>
      <c r="AL219" s="886"/>
      <c r="AM219" s="883"/>
      <c r="AN219" s="883"/>
      <c r="AO219" s="883"/>
      <c r="AP219" s="883"/>
      <c r="AQ219" s="883"/>
      <c r="AR219" s="883"/>
      <c r="AS219" s="883"/>
      <c r="AT219" s="883"/>
      <c r="AU219" s="883"/>
      <c r="AV219" s="883"/>
      <c r="AW219" s="883"/>
      <c r="AX219" s="883"/>
    </row>
    <row r="220" spans="1:50" s="917" customFormat="1" x14ac:dyDescent="0.55000000000000004">
      <c r="A220" s="883"/>
      <c r="B220" s="883"/>
      <c r="C220" s="884"/>
      <c r="D220" s="884"/>
      <c r="E220" s="884"/>
      <c r="F220" s="884"/>
      <c r="G220" s="883"/>
      <c r="H220" s="883"/>
      <c r="I220" s="883"/>
      <c r="J220" s="884"/>
      <c r="K220" s="884"/>
      <c r="L220" s="884"/>
      <c r="M220" s="885"/>
      <c r="N220" s="883"/>
      <c r="O220" s="883"/>
      <c r="P220" s="883"/>
      <c r="Q220" s="886"/>
      <c r="R220" s="886"/>
      <c r="S220" s="886"/>
      <c r="T220" s="884"/>
      <c r="U220" s="884"/>
      <c r="V220" s="887"/>
      <c r="W220" s="883"/>
      <c r="X220" s="888"/>
      <c r="Y220" s="888"/>
      <c r="Z220" s="918"/>
      <c r="AA220" s="918"/>
      <c r="AC220" s="883"/>
      <c r="AD220" s="883"/>
      <c r="AE220" s="883"/>
      <c r="AF220" s="883"/>
      <c r="AG220" s="883"/>
      <c r="AH220" s="884"/>
      <c r="AI220" s="883"/>
      <c r="AJ220" s="883"/>
      <c r="AK220" s="886"/>
      <c r="AL220" s="886"/>
      <c r="AM220" s="883"/>
      <c r="AN220" s="883"/>
      <c r="AO220" s="883"/>
      <c r="AP220" s="883"/>
      <c r="AQ220" s="883"/>
      <c r="AR220" s="883"/>
      <c r="AS220" s="883"/>
      <c r="AT220" s="883"/>
      <c r="AU220" s="883"/>
      <c r="AV220" s="883"/>
      <c r="AW220" s="883"/>
      <c r="AX220" s="883"/>
    </row>
    <row r="221" spans="1:50" s="917" customFormat="1" x14ac:dyDescent="0.55000000000000004">
      <c r="A221" s="883"/>
      <c r="B221" s="883"/>
      <c r="C221" s="884"/>
      <c r="D221" s="884"/>
      <c r="E221" s="884"/>
      <c r="F221" s="884"/>
      <c r="G221" s="883"/>
      <c r="H221" s="883"/>
      <c r="I221" s="883"/>
      <c r="J221" s="884"/>
      <c r="K221" s="884"/>
      <c r="L221" s="884"/>
      <c r="M221" s="885"/>
      <c r="N221" s="883"/>
      <c r="O221" s="883"/>
      <c r="P221" s="883"/>
      <c r="Q221" s="886"/>
      <c r="R221" s="886"/>
      <c r="S221" s="886"/>
      <c r="T221" s="884"/>
      <c r="U221" s="884"/>
      <c r="V221" s="887"/>
      <c r="W221" s="883"/>
      <c r="X221" s="888"/>
      <c r="Y221" s="888"/>
      <c r="Z221" s="918"/>
      <c r="AA221" s="918"/>
      <c r="AC221" s="883"/>
      <c r="AD221" s="883"/>
      <c r="AE221" s="883"/>
      <c r="AF221" s="883"/>
      <c r="AG221" s="883"/>
      <c r="AH221" s="884"/>
      <c r="AI221" s="883"/>
      <c r="AJ221" s="883"/>
      <c r="AK221" s="886"/>
      <c r="AL221" s="886"/>
      <c r="AM221" s="883"/>
      <c r="AN221" s="883"/>
      <c r="AO221" s="883"/>
      <c r="AP221" s="883"/>
      <c r="AQ221" s="883"/>
      <c r="AR221" s="883"/>
      <c r="AS221" s="883"/>
      <c r="AT221" s="883"/>
      <c r="AU221" s="883"/>
      <c r="AV221" s="883"/>
      <c r="AW221" s="883"/>
      <c r="AX221" s="883"/>
    </row>
    <row r="222" spans="1:50" s="917" customFormat="1" x14ac:dyDescent="0.55000000000000004">
      <c r="A222" s="883"/>
      <c r="B222" s="883"/>
      <c r="C222" s="884"/>
      <c r="D222" s="884"/>
      <c r="E222" s="884"/>
      <c r="F222" s="884"/>
      <c r="G222" s="883"/>
      <c r="H222" s="883"/>
      <c r="I222" s="883"/>
      <c r="J222" s="884"/>
      <c r="K222" s="884"/>
      <c r="L222" s="884"/>
      <c r="M222" s="885"/>
      <c r="N222" s="883"/>
      <c r="O222" s="883"/>
      <c r="P222" s="883"/>
      <c r="Q222" s="886"/>
      <c r="R222" s="886"/>
      <c r="S222" s="886"/>
      <c r="T222" s="884"/>
      <c r="U222" s="884"/>
      <c r="V222" s="887"/>
      <c r="W222" s="883"/>
      <c r="X222" s="888"/>
      <c r="Y222" s="888"/>
      <c r="Z222" s="918"/>
      <c r="AA222" s="918"/>
      <c r="AC222" s="883"/>
      <c r="AD222" s="883"/>
      <c r="AE222" s="883"/>
      <c r="AF222" s="883"/>
      <c r="AG222" s="883"/>
      <c r="AH222" s="884"/>
      <c r="AI222" s="883"/>
      <c r="AJ222" s="883"/>
      <c r="AK222" s="886"/>
      <c r="AL222" s="886"/>
      <c r="AM222" s="883"/>
      <c r="AN222" s="883"/>
      <c r="AO222" s="883"/>
      <c r="AP222" s="883"/>
      <c r="AQ222" s="883"/>
      <c r="AR222" s="883"/>
      <c r="AS222" s="883"/>
      <c r="AT222" s="883"/>
      <c r="AU222" s="883"/>
      <c r="AV222" s="883"/>
      <c r="AW222" s="883"/>
      <c r="AX222" s="883"/>
    </row>
    <row r="223" spans="1:50" s="917" customFormat="1" x14ac:dyDescent="0.55000000000000004">
      <c r="A223" s="883"/>
      <c r="B223" s="883"/>
      <c r="C223" s="884"/>
      <c r="D223" s="884"/>
      <c r="E223" s="884"/>
      <c r="F223" s="884"/>
      <c r="G223" s="883"/>
      <c r="H223" s="883"/>
      <c r="I223" s="883"/>
      <c r="J223" s="884"/>
      <c r="K223" s="884"/>
      <c r="L223" s="884"/>
      <c r="M223" s="885"/>
      <c r="N223" s="883"/>
      <c r="O223" s="883"/>
      <c r="P223" s="883"/>
      <c r="Q223" s="886"/>
      <c r="R223" s="886"/>
      <c r="S223" s="886"/>
      <c r="T223" s="884"/>
      <c r="U223" s="884"/>
      <c r="V223" s="887"/>
      <c r="W223" s="883"/>
      <c r="X223" s="888"/>
      <c r="Y223" s="888"/>
      <c r="Z223" s="922"/>
      <c r="AA223" s="918"/>
      <c r="AC223" s="883"/>
      <c r="AD223" s="883"/>
      <c r="AE223" s="883"/>
      <c r="AF223" s="883"/>
      <c r="AG223" s="883"/>
      <c r="AH223" s="884"/>
      <c r="AI223" s="883"/>
      <c r="AJ223" s="883"/>
      <c r="AK223" s="886"/>
      <c r="AL223" s="886"/>
      <c r="AM223" s="883"/>
      <c r="AN223" s="883"/>
      <c r="AO223" s="883"/>
      <c r="AP223" s="883"/>
      <c r="AQ223" s="883"/>
      <c r="AR223" s="883"/>
      <c r="AS223" s="883"/>
      <c r="AT223" s="883"/>
      <c r="AU223" s="883"/>
      <c r="AV223" s="883"/>
      <c r="AW223" s="883"/>
      <c r="AX223" s="883"/>
    </row>
    <row r="224" spans="1:50" s="917" customFormat="1" x14ac:dyDescent="0.55000000000000004">
      <c r="A224" s="883"/>
      <c r="B224" s="883"/>
      <c r="C224" s="884"/>
      <c r="D224" s="884"/>
      <c r="E224" s="884"/>
      <c r="F224" s="884"/>
      <c r="G224" s="883"/>
      <c r="H224" s="883"/>
      <c r="I224" s="883"/>
      <c r="J224" s="884"/>
      <c r="K224" s="884"/>
      <c r="L224" s="884"/>
      <c r="M224" s="885"/>
      <c r="N224" s="883"/>
      <c r="O224" s="883"/>
      <c r="P224" s="883"/>
      <c r="Q224" s="886"/>
      <c r="R224" s="886"/>
      <c r="S224" s="886"/>
      <c r="T224" s="884"/>
      <c r="U224" s="884"/>
      <c r="V224" s="887"/>
      <c r="W224" s="883"/>
      <c r="X224" s="888"/>
      <c r="Y224" s="888"/>
      <c r="Z224" s="918"/>
      <c r="AA224" s="918"/>
      <c r="AC224" s="883"/>
      <c r="AD224" s="883"/>
      <c r="AE224" s="883"/>
      <c r="AF224" s="883"/>
      <c r="AG224" s="883"/>
      <c r="AH224" s="884"/>
      <c r="AI224" s="883"/>
      <c r="AJ224" s="883"/>
      <c r="AK224" s="886"/>
      <c r="AL224" s="886"/>
      <c r="AM224" s="883"/>
      <c r="AN224" s="883"/>
      <c r="AO224" s="883"/>
      <c r="AP224" s="883"/>
      <c r="AQ224" s="883"/>
      <c r="AR224" s="883"/>
      <c r="AS224" s="883"/>
      <c r="AT224" s="883"/>
      <c r="AU224" s="883"/>
      <c r="AV224" s="883"/>
      <c r="AW224" s="883"/>
      <c r="AX224" s="883"/>
    </row>
    <row r="225" spans="1:50" s="917" customFormat="1" x14ac:dyDescent="0.55000000000000004">
      <c r="A225" s="883"/>
      <c r="B225" s="883"/>
      <c r="C225" s="884"/>
      <c r="D225" s="884"/>
      <c r="E225" s="884"/>
      <c r="F225" s="884"/>
      <c r="G225" s="883"/>
      <c r="H225" s="883"/>
      <c r="I225" s="883"/>
      <c r="J225" s="884"/>
      <c r="K225" s="884"/>
      <c r="L225" s="884"/>
      <c r="M225" s="885"/>
      <c r="N225" s="883"/>
      <c r="O225" s="883"/>
      <c r="P225" s="883"/>
      <c r="Q225" s="886"/>
      <c r="R225" s="886"/>
      <c r="S225" s="886"/>
      <c r="T225" s="884"/>
      <c r="U225" s="884"/>
      <c r="V225" s="887"/>
      <c r="W225" s="883"/>
      <c r="X225" s="888"/>
      <c r="Y225" s="888"/>
      <c r="Z225" s="918"/>
      <c r="AA225" s="918"/>
      <c r="AC225" s="883"/>
      <c r="AD225" s="883"/>
      <c r="AE225" s="883"/>
      <c r="AF225" s="883"/>
      <c r="AG225" s="883"/>
      <c r="AH225" s="884"/>
      <c r="AI225" s="883"/>
      <c r="AJ225" s="883"/>
      <c r="AK225" s="886"/>
      <c r="AL225" s="886"/>
      <c r="AM225" s="883"/>
      <c r="AN225" s="883"/>
      <c r="AO225" s="883"/>
      <c r="AP225" s="883"/>
      <c r="AQ225" s="883"/>
      <c r="AR225" s="883"/>
      <c r="AS225" s="883"/>
      <c r="AT225" s="883"/>
      <c r="AU225" s="883"/>
      <c r="AV225" s="883"/>
      <c r="AW225" s="883"/>
      <c r="AX225" s="883"/>
    </row>
    <row r="226" spans="1:50" s="917" customFormat="1" x14ac:dyDescent="0.55000000000000004">
      <c r="A226" s="883"/>
      <c r="B226" s="883"/>
      <c r="C226" s="884"/>
      <c r="D226" s="884"/>
      <c r="E226" s="884"/>
      <c r="F226" s="884"/>
      <c r="G226" s="883"/>
      <c r="H226" s="883"/>
      <c r="I226" s="883"/>
      <c r="J226" s="884"/>
      <c r="K226" s="884"/>
      <c r="L226" s="884"/>
      <c r="M226" s="885"/>
      <c r="N226" s="883"/>
      <c r="O226" s="883"/>
      <c r="P226" s="883"/>
      <c r="Q226" s="886"/>
      <c r="R226" s="886"/>
      <c r="S226" s="886"/>
      <c r="T226" s="884"/>
      <c r="U226" s="884"/>
      <c r="V226" s="887"/>
      <c r="W226" s="883"/>
      <c r="X226" s="888"/>
      <c r="Y226" s="888"/>
      <c r="Z226" s="918"/>
      <c r="AA226" s="918"/>
      <c r="AC226" s="883"/>
      <c r="AD226" s="883"/>
      <c r="AE226" s="883"/>
      <c r="AF226" s="883"/>
      <c r="AG226" s="883"/>
      <c r="AH226" s="884"/>
      <c r="AI226" s="883"/>
      <c r="AJ226" s="883"/>
      <c r="AK226" s="886"/>
      <c r="AL226" s="886"/>
      <c r="AM226" s="883"/>
      <c r="AN226" s="883"/>
      <c r="AO226" s="883"/>
      <c r="AP226" s="883"/>
      <c r="AQ226" s="883"/>
      <c r="AR226" s="883"/>
      <c r="AS226" s="883"/>
      <c r="AT226" s="883"/>
      <c r="AU226" s="883"/>
      <c r="AV226" s="883"/>
      <c r="AW226" s="883"/>
      <c r="AX226" s="883"/>
    </row>
    <row r="227" spans="1:50" s="917" customFormat="1" x14ac:dyDescent="0.55000000000000004">
      <c r="A227" s="883"/>
      <c r="B227" s="883"/>
      <c r="C227" s="884"/>
      <c r="D227" s="884"/>
      <c r="E227" s="884"/>
      <c r="F227" s="884"/>
      <c r="G227" s="883"/>
      <c r="H227" s="883"/>
      <c r="I227" s="883"/>
      <c r="J227" s="884"/>
      <c r="K227" s="884"/>
      <c r="L227" s="884"/>
      <c r="M227" s="885"/>
      <c r="N227" s="883"/>
      <c r="O227" s="883"/>
      <c r="P227" s="883"/>
      <c r="Q227" s="886"/>
      <c r="R227" s="886"/>
      <c r="S227" s="886"/>
      <c r="T227" s="884"/>
      <c r="U227" s="884"/>
      <c r="V227" s="887"/>
      <c r="W227" s="883"/>
      <c r="X227" s="888"/>
      <c r="Y227" s="888"/>
      <c r="Z227" s="923"/>
      <c r="AA227" s="923"/>
      <c r="AC227" s="883"/>
      <c r="AD227" s="883"/>
      <c r="AE227" s="883"/>
      <c r="AF227" s="883"/>
      <c r="AG227" s="883"/>
      <c r="AH227" s="884"/>
      <c r="AI227" s="883"/>
      <c r="AJ227" s="883"/>
      <c r="AK227" s="886"/>
      <c r="AL227" s="886"/>
      <c r="AM227" s="883"/>
      <c r="AN227" s="883"/>
      <c r="AO227" s="883"/>
      <c r="AP227" s="883"/>
      <c r="AQ227" s="883"/>
      <c r="AR227" s="883"/>
      <c r="AS227" s="883"/>
      <c r="AT227" s="883"/>
      <c r="AU227" s="883"/>
      <c r="AV227" s="883"/>
      <c r="AW227" s="883"/>
      <c r="AX227" s="883"/>
    </row>
    <row r="228" spans="1:50" s="917" customFormat="1" x14ac:dyDescent="0.55000000000000004">
      <c r="A228" s="883"/>
      <c r="B228" s="883"/>
      <c r="C228" s="884"/>
      <c r="D228" s="884"/>
      <c r="E228" s="884"/>
      <c r="F228" s="884"/>
      <c r="G228" s="883"/>
      <c r="H228" s="883"/>
      <c r="I228" s="883"/>
      <c r="J228" s="884"/>
      <c r="K228" s="884"/>
      <c r="L228" s="884"/>
      <c r="M228" s="885"/>
      <c r="N228" s="883"/>
      <c r="O228" s="883"/>
      <c r="P228" s="883"/>
      <c r="Q228" s="886"/>
      <c r="R228" s="886"/>
      <c r="S228" s="886"/>
      <c r="T228" s="884"/>
      <c r="U228" s="884"/>
      <c r="V228" s="887"/>
      <c r="W228" s="883"/>
      <c r="X228" s="888"/>
      <c r="Y228" s="888"/>
      <c r="Z228" s="923"/>
      <c r="AA228" s="923"/>
      <c r="AC228" s="883"/>
      <c r="AD228" s="883"/>
      <c r="AE228" s="883"/>
      <c r="AF228" s="883"/>
      <c r="AG228" s="883"/>
      <c r="AH228" s="884"/>
      <c r="AI228" s="883"/>
      <c r="AJ228" s="883"/>
      <c r="AK228" s="886"/>
      <c r="AL228" s="886"/>
      <c r="AM228" s="883"/>
      <c r="AN228" s="883"/>
      <c r="AO228" s="883"/>
      <c r="AP228" s="883"/>
      <c r="AQ228" s="883"/>
      <c r="AR228" s="883"/>
      <c r="AS228" s="883"/>
      <c r="AT228" s="883"/>
      <c r="AU228" s="883"/>
      <c r="AV228" s="883"/>
      <c r="AW228" s="883"/>
      <c r="AX228" s="883"/>
    </row>
    <row r="229" spans="1:50" s="917" customFormat="1" x14ac:dyDescent="0.55000000000000004">
      <c r="A229" s="883"/>
      <c r="B229" s="883"/>
      <c r="C229" s="884"/>
      <c r="D229" s="884"/>
      <c r="E229" s="884"/>
      <c r="F229" s="884"/>
      <c r="G229" s="883"/>
      <c r="H229" s="883"/>
      <c r="I229" s="883"/>
      <c r="J229" s="884"/>
      <c r="K229" s="884"/>
      <c r="L229" s="884"/>
      <c r="M229" s="885"/>
      <c r="N229" s="883"/>
      <c r="O229" s="883"/>
      <c r="P229" s="883"/>
      <c r="Q229" s="886"/>
      <c r="R229" s="886"/>
      <c r="S229" s="886"/>
      <c r="T229" s="884"/>
      <c r="U229" s="884"/>
      <c r="V229" s="887"/>
      <c r="W229" s="883"/>
      <c r="X229" s="888"/>
      <c r="Y229" s="888"/>
      <c r="Z229" s="923"/>
      <c r="AA229" s="923"/>
      <c r="AC229" s="883"/>
      <c r="AD229" s="883"/>
      <c r="AE229" s="883"/>
      <c r="AF229" s="883"/>
      <c r="AG229" s="883"/>
      <c r="AH229" s="884"/>
      <c r="AI229" s="883"/>
      <c r="AJ229" s="883"/>
      <c r="AK229" s="886"/>
      <c r="AL229" s="886"/>
      <c r="AM229" s="883"/>
      <c r="AN229" s="883"/>
      <c r="AO229" s="883"/>
      <c r="AP229" s="883"/>
      <c r="AQ229" s="883"/>
      <c r="AR229" s="883"/>
      <c r="AS229" s="883"/>
      <c r="AT229" s="883"/>
      <c r="AU229" s="883"/>
      <c r="AV229" s="883"/>
      <c r="AW229" s="883"/>
      <c r="AX229" s="883"/>
    </row>
    <row r="230" spans="1:50" s="917" customFormat="1" x14ac:dyDescent="0.55000000000000004">
      <c r="A230" s="883"/>
      <c r="B230" s="883"/>
      <c r="C230" s="884"/>
      <c r="D230" s="884"/>
      <c r="E230" s="884"/>
      <c r="F230" s="884"/>
      <c r="G230" s="883"/>
      <c r="H230" s="883"/>
      <c r="I230" s="883"/>
      <c r="J230" s="884"/>
      <c r="K230" s="884"/>
      <c r="L230" s="884"/>
      <c r="M230" s="885"/>
      <c r="N230" s="883"/>
      <c r="O230" s="883"/>
      <c r="P230" s="883"/>
      <c r="Q230" s="886"/>
      <c r="R230" s="886"/>
      <c r="S230" s="886"/>
      <c r="T230" s="884"/>
      <c r="U230" s="884"/>
      <c r="V230" s="887"/>
      <c r="W230" s="883"/>
      <c r="X230" s="888"/>
      <c r="Y230" s="888"/>
      <c r="Z230" s="923"/>
      <c r="AA230" s="919">
        <v>20</v>
      </c>
      <c r="AC230" s="883"/>
      <c r="AD230" s="883"/>
      <c r="AE230" s="883"/>
      <c r="AF230" s="883"/>
      <c r="AG230" s="883"/>
      <c r="AH230" s="884"/>
      <c r="AI230" s="883"/>
      <c r="AJ230" s="883"/>
      <c r="AK230" s="886"/>
      <c r="AL230" s="886"/>
      <c r="AM230" s="883"/>
      <c r="AN230" s="883"/>
      <c r="AO230" s="883"/>
      <c r="AP230" s="883"/>
      <c r="AQ230" s="883"/>
      <c r="AR230" s="883"/>
      <c r="AS230" s="883"/>
      <c r="AT230" s="883"/>
      <c r="AU230" s="883"/>
      <c r="AV230" s="883"/>
      <c r="AW230" s="883"/>
      <c r="AX230" s="883"/>
    </row>
    <row r="231" spans="1:50" s="917" customFormat="1" x14ac:dyDescent="0.55000000000000004">
      <c r="A231" s="883"/>
      <c r="B231" s="883"/>
      <c r="C231" s="884"/>
      <c r="D231" s="884"/>
      <c r="E231" s="884"/>
      <c r="F231" s="884"/>
      <c r="G231" s="883"/>
      <c r="H231" s="883"/>
      <c r="I231" s="883"/>
      <c r="J231" s="884"/>
      <c r="K231" s="884"/>
      <c r="L231" s="884"/>
      <c r="M231" s="885"/>
      <c r="N231" s="883"/>
      <c r="O231" s="883"/>
      <c r="P231" s="883"/>
      <c r="Q231" s="886"/>
      <c r="R231" s="886"/>
      <c r="S231" s="886"/>
      <c r="T231" s="884"/>
      <c r="U231" s="884"/>
      <c r="V231" s="887"/>
      <c r="W231" s="883"/>
      <c r="X231" s="888"/>
      <c r="Y231" s="888"/>
      <c r="Z231" s="923"/>
      <c r="AA231" s="923"/>
      <c r="AC231" s="883"/>
      <c r="AD231" s="883"/>
      <c r="AE231" s="883"/>
      <c r="AF231" s="883"/>
      <c r="AG231" s="883"/>
      <c r="AH231" s="884"/>
      <c r="AI231" s="883"/>
      <c r="AJ231" s="883"/>
      <c r="AK231" s="886"/>
      <c r="AL231" s="886"/>
      <c r="AM231" s="883"/>
      <c r="AN231" s="883"/>
      <c r="AO231" s="883"/>
      <c r="AP231" s="883"/>
      <c r="AQ231" s="883"/>
      <c r="AR231" s="883"/>
      <c r="AS231" s="883"/>
      <c r="AT231" s="883"/>
      <c r="AU231" s="883"/>
      <c r="AV231" s="883"/>
      <c r="AW231" s="883"/>
      <c r="AX231" s="883"/>
    </row>
    <row r="232" spans="1:50" s="917" customFormat="1" x14ac:dyDescent="0.55000000000000004">
      <c r="A232" s="883"/>
      <c r="B232" s="883"/>
      <c r="C232" s="884"/>
      <c r="D232" s="884"/>
      <c r="E232" s="884"/>
      <c r="F232" s="884"/>
      <c r="G232" s="883"/>
      <c r="H232" s="883"/>
      <c r="I232" s="883"/>
      <c r="J232" s="884"/>
      <c r="K232" s="884"/>
      <c r="L232" s="884"/>
      <c r="M232" s="885"/>
      <c r="N232" s="883"/>
      <c r="O232" s="883"/>
      <c r="P232" s="883"/>
      <c r="Q232" s="886"/>
      <c r="R232" s="886"/>
      <c r="S232" s="886"/>
      <c r="T232" s="884"/>
      <c r="U232" s="884"/>
      <c r="V232" s="887"/>
      <c r="W232" s="883"/>
      <c r="X232" s="888"/>
      <c r="Y232" s="888"/>
      <c r="Z232" s="923"/>
      <c r="AA232" s="923"/>
      <c r="AC232" s="883"/>
      <c r="AD232" s="883"/>
      <c r="AE232" s="883"/>
      <c r="AF232" s="883"/>
      <c r="AG232" s="883"/>
      <c r="AH232" s="884"/>
      <c r="AI232" s="883"/>
      <c r="AJ232" s="883"/>
      <c r="AK232" s="886"/>
      <c r="AL232" s="886"/>
      <c r="AM232" s="883"/>
      <c r="AN232" s="883"/>
      <c r="AO232" s="883"/>
      <c r="AP232" s="883"/>
      <c r="AQ232" s="883"/>
      <c r="AR232" s="883"/>
      <c r="AS232" s="883"/>
      <c r="AT232" s="883"/>
      <c r="AU232" s="883"/>
      <c r="AV232" s="883"/>
      <c r="AW232" s="883"/>
      <c r="AX232" s="883"/>
    </row>
    <row r="233" spans="1:50" s="917" customFormat="1" x14ac:dyDescent="0.55000000000000004">
      <c r="A233" s="883"/>
      <c r="B233" s="883"/>
      <c r="C233" s="884"/>
      <c r="D233" s="884"/>
      <c r="E233" s="884"/>
      <c r="F233" s="884"/>
      <c r="G233" s="883"/>
      <c r="H233" s="883"/>
      <c r="I233" s="883"/>
      <c r="J233" s="884"/>
      <c r="K233" s="884"/>
      <c r="L233" s="884"/>
      <c r="M233" s="885"/>
      <c r="N233" s="883"/>
      <c r="O233" s="883"/>
      <c r="P233" s="883"/>
      <c r="Q233" s="886"/>
      <c r="R233" s="886"/>
      <c r="S233" s="886"/>
      <c r="T233" s="884"/>
      <c r="U233" s="884"/>
      <c r="V233" s="887"/>
      <c r="W233" s="883"/>
      <c r="X233" s="888"/>
      <c r="Y233" s="888"/>
      <c r="Z233" s="923">
        <v>8</v>
      </c>
      <c r="AA233" s="923"/>
      <c r="AC233" s="883"/>
      <c r="AD233" s="883"/>
      <c r="AE233" s="883"/>
      <c r="AF233" s="883"/>
      <c r="AG233" s="883"/>
      <c r="AH233" s="884"/>
      <c r="AI233" s="883"/>
      <c r="AJ233" s="883"/>
      <c r="AK233" s="886"/>
      <c r="AL233" s="886"/>
      <c r="AM233" s="883"/>
      <c r="AN233" s="883"/>
      <c r="AO233" s="883"/>
      <c r="AP233" s="883"/>
      <c r="AQ233" s="883"/>
      <c r="AR233" s="883"/>
      <c r="AS233" s="883"/>
      <c r="AT233" s="883"/>
      <c r="AU233" s="883"/>
      <c r="AV233" s="883"/>
      <c r="AW233" s="883"/>
      <c r="AX233" s="883"/>
    </row>
    <row r="234" spans="1:50" s="917" customFormat="1" x14ac:dyDescent="0.55000000000000004">
      <c r="A234" s="883"/>
      <c r="B234" s="883"/>
      <c r="C234" s="884"/>
      <c r="D234" s="884"/>
      <c r="E234" s="884"/>
      <c r="F234" s="884"/>
      <c r="G234" s="883"/>
      <c r="H234" s="883"/>
      <c r="I234" s="883"/>
      <c r="J234" s="884"/>
      <c r="K234" s="884"/>
      <c r="L234" s="884"/>
      <c r="M234" s="885"/>
      <c r="N234" s="883"/>
      <c r="O234" s="883"/>
      <c r="P234" s="883"/>
      <c r="Q234" s="886"/>
      <c r="R234" s="886"/>
      <c r="S234" s="886"/>
      <c r="T234" s="884"/>
      <c r="U234" s="884"/>
      <c r="V234" s="887"/>
      <c r="W234" s="883"/>
      <c r="X234" s="888"/>
      <c r="Y234" s="888"/>
      <c r="Z234" s="923">
        <v>8</v>
      </c>
      <c r="AA234" s="923"/>
      <c r="AC234" s="883"/>
      <c r="AD234" s="883"/>
      <c r="AE234" s="883"/>
      <c r="AF234" s="883"/>
      <c r="AG234" s="883"/>
      <c r="AH234" s="884"/>
      <c r="AI234" s="883"/>
      <c r="AJ234" s="883"/>
      <c r="AK234" s="886"/>
      <c r="AL234" s="886"/>
      <c r="AM234" s="883"/>
      <c r="AN234" s="883"/>
      <c r="AO234" s="883"/>
      <c r="AP234" s="883"/>
      <c r="AQ234" s="883"/>
      <c r="AR234" s="883"/>
      <c r="AS234" s="883"/>
      <c r="AT234" s="883"/>
      <c r="AU234" s="883"/>
      <c r="AV234" s="883"/>
      <c r="AW234" s="883"/>
      <c r="AX234" s="883"/>
    </row>
    <row r="235" spans="1:50" s="917" customFormat="1" x14ac:dyDescent="0.55000000000000004">
      <c r="A235" s="883"/>
      <c r="B235" s="883"/>
      <c r="C235" s="884"/>
      <c r="D235" s="884"/>
      <c r="E235" s="884"/>
      <c r="F235" s="884"/>
      <c r="G235" s="883"/>
      <c r="H235" s="883"/>
      <c r="I235" s="883"/>
      <c r="J235" s="884"/>
      <c r="K235" s="884"/>
      <c r="L235" s="884"/>
      <c r="M235" s="885"/>
      <c r="N235" s="883"/>
      <c r="O235" s="883"/>
      <c r="P235" s="883"/>
      <c r="Q235" s="886"/>
      <c r="R235" s="886"/>
      <c r="S235" s="886"/>
      <c r="T235" s="884"/>
      <c r="U235" s="884"/>
      <c r="V235" s="887"/>
      <c r="W235" s="883"/>
      <c r="X235" s="888"/>
      <c r="Y235" s="888"/>
      <c r="Z235" s="923">
        <v>8</v>
      </c>
      <c r="AA235" s="923"/>
      <c r="AC235" s="883"/>
      <c r="AD235" s="883"/>
      <c r="AE235" s="883"/>
      <c r="AF235" s="883"/>
      <c r="AG235" s="883"/>
      <c r="AH235" s="884"/>
      <c r="AI235" s="883"/>
      <c r="AJ235" s="883"/>
      <c r="AK235" s="886"/>
      <c r="AL235" s="886"/>
      <c r="AM235" s="883"/>
      <c r="AN235" s="883"/>
      <c r="AO235" s="883"/>
      <c r="AP235" s="883"/>
      <c r="AQ235" s="883"/>
      <c r="AR235" s="883"/>
      <c r="AS235" s="883"/>
      <c r="AT235" s="883"/>
      <c r="AU235" s="883"/>
      <c r="AV235" s="883"/>
      <c r="AW235" s="883"/>
      <c r="AX235" s="883"/>
    </row>
    <row r="236" spans="1:50" s="917" customFormat="1" x14ac:dyDescent="0.55000000000000004">
      <c r="A236" s="883"/>
      <c r="B236" s="883"/>
      <c r="C236" s="884"/>
      <c r="D236" s="884"/>
      <c r="E236" s="884"/>
      <c r="F236" s="884"/>
      <c r="G236" s="883"/>
      <c r="H236" s="883"/>
      <c r="I236" s="883"/>
      <c r="J236" s="884"/>
      <c r="K236" s="884"/>
      <c r="L236" s="884"/>
      <c r="M236" s="885"/>
      <c r="N236" s="883"/>
      <c r="O236" s="883"/>
      <c r="P236" s="883"/>
      <c r="Q236" s="886"/>
      <c r="R236" s="886"/>
      <c r="S236" s="886"/>
      <c r="T236" s="884"/>
      <c r="U236" s="884"/>
      <c r="V236" s="887"/>
      <c r="W236" s="883"/>
      <c r="X236" s="888"/>
      <c r="Y236" s="888"/>
      <c r="Z236" s="923"/>
      <c r="AA236" s="923"/>
      <c r="AC236" s="883"/>
      <c r="AD236" s="883"/>
      <c r="AE236" s="883"/>
      <c r="AF236" s="883"/>
      <c r="AG236" s="883"/>
      <c r="AH236" s="884"/>
      <c r="AI236" s="883"/>
      <c r="AJ236" s="883"/>
      <c r="AK236" s="886"/>
      <c r="AL236" s="886"/>
      <c r="AM236" s="883"/>
      <c r="AN236" s="883"/>
      <c r="AO236" s="883"/>
      <c r="AP236" s="883"/>
      <c r="AQ236" s="883"/>
      <c r="AR236" s="883"/>
      <c r="AS236" s="883"/>
      <c r="AT236" s="883"/>
      <c r="AU236" s="883"/>
      <c r="AV236" s="883"/>
      <c r="AW236" s="883"/>
      <c r="AX236" s="883"/>
    </row>
    <row r="237" spans="1:50" s="917" customFormat="1" x14ac:dyDescent="0.55000000000000004">
      <c r="A237" s="883"/>
      <c r="B237" s="883"/>
      <c r="C237" s="884"/>
      <c r="D237" s="884"/>
      <c r="E237" s="884"/>
      <c r="F237" s="884"/>
      <c r="G237" s="883"/>
      <c r="H237" s="883"/>
      <c r="I237" s="883"/>
      <c r="J237" s="884"/>
      <c r="K237" s="884"/>
      <c r="L237" s="884"/>
      <c r="M237" s="885"/>
      <c r="N237" s="883"/>
      <c r="O237" s="883"/>
      <c r="P237" s="883"/>
      <c r="Q237" s="886"/>
      <c r="R237" s="886"/>
      <c r="S237" s="886"/>
      <c r="T237" s="884"/>
      <c r="U237" s="884"/>
      <c r="V237" s="887"/>
      <c r="W237" s="883"/>
      <c r="X237" s="888"/>
      <c r="Y237" s="888"/>
      <c r="Z237" s="923"/>
      <c r="AA237" s="923"/>
      <c r="AC237" s="883"/>
      <c r="AD237" s="883"/>
      <c r="AE237" s="883"/>
      <c r="AF237" s="883"/>
      <c r="AG237" s="883"/>
      <c r="AH237" s="884"/>
      <c r="AI237" s="883"/>
      <c r="AJ237" s="883"/>
      <c r="AK237" s="886"/>
      <c r="AL237" s="886"/>
      <c r="AM237" s="883"/>
      <c r="AN237" s="883"/>
      <c r="AO237" s="883"/>
      <c r="AP237" s="883"/>
      <c r="AQ237" s="883"/>
      <c r="AR237" s="883"/>
      <c r="AS237" s="883"/>
      <c r="AT237" s="883"/>
      <c r="AU237" s="883"/>
      <c r="AV237" s="883"/>
      <c r="AW237" s="883"/>
      <c r="AX237" s="883"/>
    </row>
    <row r="238" spans="1:50" s="917" customFormat="1" x14ac:dyDescent="0.55000000000000004">
      <c r="A238" s="883"/>
      <c r="B238" s="883"/>
      <c r="C238" s="884"/>
      <c r="D238" s="884"/>
      <c r="E238" s="884"/>
      <c r="F238" s="884"/>
      <c r="G238" s="883"/>
      <c r="H238" s="883"/>
      <c r="I238" s="883"/>
      <c r="J238" s="884"/>
      <c r="K238" s="884"/>
      <c r="L238" s="884"/>
      <c r="M238" s="885"/>
      <c r="N238" s="883"/>
      <c r="O238" s="883"/>
      <c r="P238" s="883"/>
      <c r="Q238" s="886"/>
      <c r="R238" s="886"/>
      <c r="S238" s="886"/>
      <c r="T238" s="884"/>
      <c r="U238" s="884"/>
      <c r="V238" s="887"/>
      <c r="W238" s="883"/>
      <c r="X238" s="888"/>
      <c r="Y238" s="888"/>
      <c r="Z238" s="918">
        <v>30</v>
      </c>
      <c r="AA238" s="923"/>
      <c r="AC238" s="883"/>
      <c r="AD238" s="883"/>
      <c r="AE238" s="883"/>
      <c r="AF238" s="883"/>
      <c r="AG238" s="883"/>
      <c r="AH238" s="884"/>
      <c r="AI238" s="883"/>
      <c r="AJ238" s="883"/>
      <c r="AK238" s="886"/>
      <c r="AL238" s="886"/>
      <c r="AM238" s="883"/>
      <c r="AN238" s="883"/>
      <c r="AO238" s="883"/>
      <c r="AP238" s="883"/>
      <c r="AQ238" s="883"/>
      <c r="AR238" s="883"/>
      <c r="AS238" s="883"/>
      <c r="AT238" s="883"/>
      <c r="AU238" s="883"/>
      <c r="AV238" s="883"/>
      <c r="AW238" s="883"/>
      <c r="AX238" s="883"/>
    </row>
    <row r="239" spans="1:50" s="917" customFormat="1" x14ac:dyDescent="0.55000000000000004">
      <c r="A239" s="883"/>
      <c r="B239" s="883"/>
      <c r="C239" s="884"/>
      <c r="D239" s="884"/>
      <c r="E239" s="884"/>
      <c r="F239" s="884"/>
      <c r="G239" s="883"/>
      <c r="H239" s="883"/>
      <c r="I239" s="883"/>
      <c r="J239" s="884"/>
      <c r="K239" s="884"/>
      <c r="L239" s="884"/>
      <c r="M239" s="885"/>
      <c r="N239" s="883"/>
      <c r="O239" s="883"/>
      <c r="P239" s="883"/>
      <c r="Q239" s="886"/>
      <c r="R239" s="886"/>
      <c r="S239" s="886"/>
      <c r="T239" s="884"/>
      <c r="U239" s="884"/>
      <c r="V239" s="887"/>
      <c r="W239" s="883"/>
      <c r="X239" s="888"/>
      <c r="Y239" s="888"/>
      <c r="Z239" s="923"/>
      <c r="AA239" s="919">
        <v>72</v>
      </c>
      <c r="AC239" s="883"/>
      <c r="AD239" s="883"/>
      <c r="AE239" s="883"/>
      <c r="AF239" s="883"/>
      <c r="AG239" s="883"/>
      <c r="AH239" s="884"/>
      <c r="AI239" s="883"/>
      <c r="AJ239" s="883"/>
      <c r="AK239" s="886"/>
      <c r="AL239" s="886"/>
      <c r="AM239" s="883"/>
      <c r="AN239" s="883"/>
      <c r="AO239" s="883"/>
      <c r="AP239" s="883"/>
      <c r="AQ239" s="883"/>
      <c r="AR239" s="883"/>
      <c r="AS239" s="883"/>
      <c r="AT239" s="883"/>
      <c r="AU239" s="883"/>
      <c r="AV239" s="883"/>
      <c r="AW239" s="883"/>
      <c r="AX239" s="883"/>
    </row>
    <row r="240" spans="1:50" s="917" customFormat="1" x14ac:dyDescent="0.55000000000000004">
      <c r="A240" s="883"/>
      <c r="B240" s="883"/>
      <c r="C240" s="884"/>
      <c r="D240" s="884"/>
      <c r="E240" s="884"/>
      <c r="F240" s="884"/>
      <c r="G240" s="883"/>
      <c r="H240" s="883"/>
      <c r="I240" s="883"/>
      <c r="J240" s="884"/>
      <c r="K240" s="884"/>
      <c r="L240" s="884"/>
      <c r="M240" s="885"/>
      <c r="N240" s="883"/>
      <c r="O240" s="883"/>
      <c r="P240" s="883"/>
      <c r="Q240" s="886"/>
      <c r="R240" s="886"/>
      <c r="S240" s="886"/>
      <c r="T240" s="884"/>
      <c r="U240" s="884"/>
      <c r="V240" s="887"/>
      <c r="W240" s="883"/>
      <c r="X240" s="888"/>
      <c r="Y240" s="888"/>
      <c r="Z240" s="923"/>
      <c r="AA240" s="923"/>
      <c r="AC240" s="883"/>
      <c r="AD240" s="883"/>
      <c r="AE240" s="883"/>
      <c r="AF240" s="883"/>
      <c r="AG240" s="883"/>
      <c r="AH240" s="884"/>
      <c r="AI240" s="883"/>
      <c r="AJ240" s="883"/>
      <c r="AK240" s="886"/>
      <c r="AL240" s="886"/>
      <c r="AM240" s="883"/>
      <c r="AN240" s="883"/>
      <c r="AO240" s="883"/>
      <c r="AP240" s="883"/>
      <c r="AQ240" s="883"/>
      <c r="AR240" s="883"/>
      <c r="AS240" s="883"/>
      <c r="AT240" s="883"/>
      <c r="AU240" s="883"/>
      <c r="AV240" s="883"/>
      <c r="AW240" s="883"/>
      <c r="AX240" s="883"/>
    </row>
    <row r="241" spans="1:50" s="917" customFormat="1" x14ac:dyDescent="0.55000000000000004">
      <c r="A241" s="883"/>
      <c r="B241" s="883"/>
      <c r="C241" s="884"/>
      <c r="D241" s="884"/>
      <c r="E241" s="884"/>
      <c r="F241" s="884"/>
      <c r="G241" s="883"/>
      <c r="H241" s="883"/>
      <c r="I241" s="883"/>
      <c r="J241" s="884"/>
      <c r="K241" s="884"/>
      <c r="L241" s="884"/>
      <c r="M241" s="885"/>
      <c r="N241" s="883"/>
      <c r="O241" s="883"/>
      <c r="P241" s="883"/>
      <c r="Q241" s="886"/>
      <c r="R241" s="886"/>
      <c r="S241" s="886"/>
      <c r="T241" s="884"/>
      <c r="U241" s="884"/>
      <c r="V241" s="887"/>
      <c r="W241" s="883"/>
      <c r="X241" s="888"/>
      <c r="Y241" s="888"/>
      <c r="Z241" s="923"/>
      <c r="AA241" s="923"/>
      <c r="AC241" s="883"/>
      <c r="AD241" s="883"/>
      <c r="AE241" s="883"/>
      <c r="AF241" s="883"/>
      <c r="AG241" s="883"/>
      <c r="AH241" s="884"/>
      <c r="AI241" s="883"/>
      <c r="AJ241" s="883"/>
      <c r="AK241" s="886"/>
      <c r="AL241" s="886"/>
      <c r="AM241" s="883"/>
      <c r="AN241" s="883"/>
      <c r="AO241" s="883"/>
      <c r="AP241" s="883"/>
      <c r="AQ241" s="883"/>
      <c r="AR241" s="883"/>
      <c r="AS241" s="883"/>
      <c r="AT241" s="883"/>
      <c r="AU241" s="883"/>
      <c r="AV241" s="883"/>
      <c r="AW241" s="883"/>
      <c r="AX241" s="883"/>
    </row>
    <row r="242" spans="1:50" s="917" customFormat="1" x14ac:dyDescent="0.55000000000000004">
      <c r="A242" s="883"/>
      <c r="B242" s="883"/>
      <c r="C242" s="884"/>
      <c r="D242" s="884"/>
      <c r="E242" s="884"/>
      <c r="F242" s="884"/>
      <c r="G242" s="883"/>
      <c r="H242" s="883"/>
      <c r="I242" s="883"/>
      <c r="J242" s="884"/>
      <c r="K242" s="884"/>
      <c r="L242" s="884"/>
      <c r="M242" s="885"/>
      <c r="N242" s="883"/>
      <c r="O242" s="883"/>
      <c r="P242" s="883"/>
      <c r="Q242" s="886"/>
      <c r="R242" s="886"/>
      <c r="S242" s="886"/>
      <c r="T242" s="884"/>
      <c r="U242" s="884"/>
      <c r="V242" s="887"/>
      <c r="W242" s="883"/>
      <c r="X242" s="888"/>
      <c r="Y242" s="888"/>
      <c r="Z242" s="923"/>
      <c r="AA242" s="923"/>
      <c r="AC242" s="883"/>
      <c r="AD242" s="883"/>
      <c r="AE242" s="883"/>
      <c r="AF242" s="883"/>
      <c r="AG242" s="883"/>
      <c r="AH242" s="884"/>
      <c r="AI242" s="883"/>
      <c r="AJ242" s="883"/>
      <c r="AK242" s="886"/>
      <c r="AL242" s="886"/>
      <c r="AM242" s="883"/>
      <c r="AN242" s="883"/>
      <c r="AO242" s="883"/>
      <c r="AP242" s="883"/>
      <c r="AQ242" s="883"/>
      <c r="AR242" s="883"/>
      <c r="AS242" s="883"/>
      <c r="AT242" s="883"/>
      <c r="AU242" s="883"/>
      <c r="AV242" s="883"/>
      <c r="AW242" s="883"/>
      <c r="AX242" s="883"/>
    </row>
    <row r="243" spans="1:50" s="917" customFormat="1" x14ac:dyDescent="0.55000000000000004">
      <c r="A243" s="883"/>
      <c r="B243" s="883"/>
      <c r="C243" s="884"/>
      <c r="D243" s="884"/>
      <c r="E243" s="884"/>
      <c r="F243" s="884"/>
      <c r="G243" s="883"/>
      <c r="H243" s="883"/>
      <c r="I243" s="883"/>
      <c r="J243" s="884"/>
      <c r="K243" s="884"/>
      <c r="L243" s="884"/>
      <c r="M243" s="885"/>
      <c r="N243" s="883"/>
      <c r="O243" s="883"/>
      <c r="P243" s="883"/>
      <c r="Q243" s="886"/>
      <c r="R243" s="886"/>
      <c r="S243" s="886"/>
      <c r="T243" s="884"/>
      <c r="U243" s="884"/>
      <c r="V243" s="887"/>
      <c r="W243" s="883"/>
      <c r="X243" s="888"/>
      <c r="Y243" s="888"/>
      <c r="Z243" s="923"/>
      <c r="AA243" s="923"/>
      <c r="AC243" s="883"/>
      <c r="AD243" s="883"/>
      <c r="AE243" s="883"/>
      <c r="AF243" s="883"/>
      <c r="AG243" s="883"/>
      <c r="AH243" s="884"/>
      <c r="AI243" s="883"/>
      <c r="AJ243" s="883"/>
      <c r="AK243" s="886"/>
      <c r="AL243" s="886"/>
      <c r="AM243" s="883"/>
      <c r="AN243" s="883"/>
      <c r="AO243" s="883"/>
      <c r="AP243" s="883"/>
      <c r="AQ243" s="883"/>
      <c r="AR243" s="883"/>
      <c r="AS243" s="883"/>
      <c r="AT243" s="883"/>
      <c r="AU243" s="883"/>
      <c r="AV243" s="883"/>
      <c r="AW243" s="883"/>
      <c r="AX243" s="883"/>
    </row>
    <row r="244" spans="1:50" s="917" customFormat="1" x14ac:dyDescent="0.55000000000000004">
      <c r="A244" s="883"/>
      <c r="B244" s="883"/>
      <c r="C244" s="884"/>
      <c r="D244" s="884"/>
      <c r="E244" s="884"/>
      <c r="F244" s="884"/>
      <c r="G244" s="883"/>
      <c r="H244" s="883"/>
      <c r="I244" s="883"/>
      <c r="J244" s="884"/>
      <c r="K244" s="884"/>
      <c r="L244" s="884"/>
      <c r="M244" s="885"/>
      <c r="N244" s="883"/>
      <c r="O244" s="883"/>
      <c r="P244" s="883"/>
      <c r="Q244" s="886"/>
      <c r="R244" s="886"/>
      <c r="S244" s="886"/>
      <c r="T244" s="884"/>
      <c r="U244" s="884"/>
      <c r="V244" s="887"/>
      <c r="W244" s="883"/>
      <c r="X244" s="888"/>
      <c r="Y244" s="888"/>
      <c r="Z244" s="918">
        <v>8</v>
      </c>
      <c r="AA244" s="923"/>
      <c r="AC244" s="883"/>
      <c r="AD244" s="883"/>
      <c r="AE244" s="883"/>
      <c r="AF244" s="883"/>
      <c r="AG244" s="883"/>
      <c r="AH244" s="884"/>
      <c r="AI244" s="883"/>
      <c r="AJ244" s="883"/>
      <c r="AK244" s="886"/>
      <c r="AL244" s="886"/>
      <c r="AM244" s="883"/>
      <c r="AN244" s="883"/>
      <c r="AO244" s="883"/>
      <c r="AP244" s="883"/>
      <c r="AQ244" s="883"/>
      <c r="AR244" s="883"/>
      <c r="AS244" s="883"/>
      <c r="AT244" s="883"/>
      <c r="AU244" s="883"/>
      <c r="AV244" s="883"/>
      <c r="AW244" s="883"/>
      <c r="AX244" s="883"/>
    </row>
    <row r="245" spans="1:50" s="917" customFormat="1" x14ac:dyDescent="0.55000000000000004">
      <c r="A245" s="883"/>
      <c r="B245" s="883"/>
      <c r="C245" s="884"/>
      <c r="D245" s="884"/>
      <c r="E245" s="884"/>
      <c r="F245" s="884"/>
      <c r="G245" s="883"/>
      <c r="H245" s="883"/>
      <c r="I245" s="883"/>
      <c r="J245" s="884"/>
      <c r="K245" s="884"/>
      <c r="L245" s="884"/>
      <c r="M245" s="885"/>
      <c r="N245" s="883"/>
      <c r="O245" s="883"/>
      <c r="P245" s="883"/>
      <c r="Q245" s="886"/>
      <c r="R245" s="886"/>
      <c r="S245" s="886"/>
      <c r="T245" s="884"/>
      <c r="U245" s="884"/>
      <c r="V245" s="887"/>
      <c r="W245" s="883"/>
      <c r="X245" s="888"/>
      <c r="Y245" s="888"/>
      <c r="Z245" s="918">
        <f>30*0.4</f>
        <v>12</v>
      </c>
      <c r="AA245" s="923"/>
      <c r="AC245" s="883"/>
      <c r="AD245" s="883"/>
      <c r="AE245" s="883"/>
      <c r="AF245" s="883"/>
      <c r="AG245" s="883"/>
      <c r="AH245" s="884"/>
      <c r="AI245" s="883"/>
      <c r="AJ245" s="883"/>
      <c r="AK245" s="886"/>
      <c r="AL245" s="886"/>
      <c r="AM245" s="883"/>
      <c r="AN245" s="883"/>
      <c r="AO245" s="883"/>
      <c r="AP245" s="883"/>
      <c r="AQ245" s="883"/>
      <c r="AR245" s="883"/>
      <c r="AS245" s="883"/>
      <c r="AT245" s="883"/>
      <c r="AU245" s="883"/>
      <c r="AV245" s="883"/>
      <c r="AW245" s="883"/>
      <c r="AX245" s="883"/>
    </row>
    <row r="246" spans="1:50" s="917" customFormat="1" x14ac:dyDescent="0.55000000000000004">
      <c r="A246" s="883"/>
      <c r="B246" s="883"/>
      <c r="C246" s="884"/>
      <c r="D246" s="884"/>
      <c r="E246" s="884"/>
      <c r="F246" s="884"/>
      <c r="G246" s="883"/>
      <c r="H246" s="883"/>
      <c r="I246" s="883"/>
      <c r="J246" s="884"/>
      <c r="K246" s="884"/>
      <c r="L246" s="884"/>
      <c r="M246" s="885"/>
      <c r="N246" s="883"/>
      <c r="O246" s="883"/>
      <c r="P246" s="883"/>
      <c r="Q246" s="886"/>
      <c r="R246" s="886"/>
      <c r="S246" s="886"/>
      <c r="T246" s="884"/>
      <c r="U246" s="884"/>
      <c r="V246" s="887"/>
      <c r="W246" s="883"/>
      <c r="X246" s="888"/>
      <c r="Y246" s="888"/>
      <c r="Z246" s="918"/>
      <c r="AA246" s="923"/>
      <c r="AC246" s="883"/>
      <c r="AD246" s="883"/>
      <c r="AE246" s="883"/>
      <c r="AF246" s="883"/>
      <c r="AG246" s="883"/>
      <c r="AH246" s="884"/>
      <c r="AI246" s="883"/>
      <c r="AJ246" s="883"/>
      <c r="AK246" s="886"/>
      <c r="AL246" s="886"/>
      <c r="AM246" s="883"/>
      <c r="AN246" s="883"/>
      <c r="AO246" s="883"/>
      <c r="AP246" s="883"/>
      <c r="AQ246" s="883"/>
      <c r="AR246" s="883"/>
      <c r="AS246" s="883"/>
      <c r="AT246" s="883"/>
      <c r="AU246" s="883"/>
      <c r="AV246" s="883"/>
      <c r="AW246" s="883"/>
      <c r="AX246" s="883"/>
    </row>
    <row r="247" spans="1:50" s="917" customFormat="1" x14ac:dyDescent="0.55000000000000004">
      <c r="A247" s="883"/>
      <c r="B247" s="883"/>
      <c r="C247" s="884"/>
      <c r="D247" s="884"/>
      <c r="E247" s="884"/>
      <c r="F247" s="884"/>
      <c r="G247" s="883"/>
      <c r="H247" s="883"/>
      <c r="I247" s="883"/>
      <c r="J247" s="884"/>
      <c r="K247" s="884"/>
      <c r="L247" s="884"/>
      <c r="M247" s="885"/>
      <c r="N247" s="883"/>
      <c r="O247" s="883"/>
      <c r="P247" s="883"/>
      <c r="Q247" s="886"/>
      <c r="R247" s="886"/>
      <c r="S247" s="886"/>
      <c r="T247" s="884"/>
      <c r="U247" s="884"/>
      <c r="V247" s="887"/>
      <c r="W247" s="883"/>
      <c r="X247" s="888"/>
      <c r="Y247" s="888"/>
      <c r="Z247" s="918"/>
      <c r="AA247" s="923"/>
      <c r="AC247" s="883"/>
      <c r="AD247" s="883"/>
      <c r="AE247" s="883"/>
      <c r="AF247" s="883"/>
      <c r="AG247" s="883"/>
      <c r="AH247" s="884"/>
      <c r="AI247" s="883"/>
      <c r="AJ247" s="883"/>
      <c r="AK247" s="886"/>
      <c r="AL247" s="886"/>
      <c r="AM247" s="883"/>
      <c r="AN247" s="883"/>
      <c r="AO247" s="883"/>
      <c r="AP247" s="883"/>
      <c r="AQ247" s="883"/>
      <c r="AR247" s="883"/>
      <c r="AS247" s="883"/>
      <c r="AT247" s="883"/>
      <c r="AU247" s="883"/>
      <c r="AV247" s="883"/>
      <c r="AW247" s="883"/>
      <c r="AX247" s="883"/>
    </row>
    <row r="248" spans="1:50" s="917" customFormat="1" x14ac:dyDescent="0.55000000000000004">
      <c r="A248" s="883"/>
      <c r="B248" s="883"/>
      <c r="C248" s="884"/>
      <c r="D248" s="884"/>
      <c r="E248" s="884"/>
      <c r="F248" s="884"/>
      <c r="G248" s="883"/>
      <c r="H248" s="883"/>
      <c r="I248" s="883"/>
      <c r="J248" s="884"/>
      <c r="K248" s="884"/>
      <c r="L248" s="884"/>
      <c r="M248" s="885"/>
      <c r="N248" s="883"/>
      <c r="O248" s="883"/>
      <c r="P248" s="883"/>
      <c r="Q248" s="886"/>
      <c r="R248" s="886"/>
      <c r="S248" s="886"/>
      <c r="T248" s="884"/>
      <c r="U248" s="884"/>
      <c r="V248" s="887"/>
      <c r="W248" s="883"/>
      <c r="X248" s="888"/>
      <c r="Y248" s="888"/>
      <c r="Z248" s="918">
        <v>8</v>
      </c>
      <c r="AA248" s="923"/>
      <c r="AC248" s="883"/>
      <c r="AD248" s="883"/>
      <c r="AE248" s="883"/>
      <c r="AF248" s="883"/>
      <c r="AG248" s="883"/>
      <c r="AH248" s="884"/>
      <c r="AI248" s="883"/>
      <c r="AJ248" s="883"/>
      <c r="AK248" s="886"/>
      <c r="AL248" s="886"/>
      <c r="AM248" s="883"/>
      <c r="AN248" s="883"/>
      <c r="AO248" s="883"/>
      <c r="AP248" s="883"/>
      <c r="AQ248" s="883"/>
      <c r="AR248" s="883"/>
      <c r="AS248" s="883"/>
      <c r="AT248" s="883"/>
      <c r="AU248" s="883"/>
      <c r="AV248" s="883"/>
      <c r="AW248" s="883"/>
      <c r="AX248" s="883"/>
    </row>
    <row r="249" spans="1:50" s="917" customFormat="1" x14ac:dyDescent="0.55000000000000004">
      <c r="A249" s="883"/>
      <c r="B249" s="883"/>
      <c r="C249" s="884"/>
      <c r="D249" s="884"/>
      <c r="E249" s="884"/>
      <c r="F249" s="884"/>
      <c r="G249" s="883"/>
      <c r="H249" s="883"/>
      <c r="I249" s="883"/>
      <c r="J249" s="884"/>
      <c r="K249" s="884"/>
      <c r="L249" s="884"/>
      <c r="M249" s="885"/>
      <c r="N249" s="883"/>
      <c r="O249" s="883"/>
      <c r="P249" s="883"/>
      <c r="Q249" s="886"/>
      <c r="R249" s="886"/>
      <c r="S249" s="886"/>
      <c r="T249" s="884"/>
      <c r="U249" s="884"/>
      <c r="V249" s="887"/>
      <c r="W249" s="883"/>
      <c r="X249" s="888"/>
      <c r="Y249" s="888"/>
      <c r="Z249" s="923"/>
      <c r="AA249" s="923"/>
      <c r="AC249" s="883"/>
      <c r="AD249" s="883"/>
      <c r="AE249" s="883"/>
      <c r="AF249" s="883"/>
      <c r="AG249" s="883"/>
      <c r="AH249" s="884"/>
      <c r="AI249" s="883"/>
      <c r="AJ249" s="883"/>
      <c r="AK249" s="886"/>
      <c r="AL249" s="886"/>
      <c r="AM249" s="883"/>
      <c r="AN249" s="883"/>
      <c r="AO249" s="883"/>
      <c r="AP249" s="883"/>
      <c r="AQ249" s="883"/>
      <c r="AR249" s="883"/>
      <c r="AS249" s="883"/>
      <c r="AT249" s="883"/>
      <c r="AU249" s="883"/>
      <c r="AV249" s="883"/>
      <c r="AW249" s="883"/>
      <c r="AX249" s="883"/>
    </row>
    <row r="250" spans="1:50" s="917" customFormat="1" x14ac:dyDescent="0.55000000000000004">
      <c r="A250" s="883"/>
      <c r="B250" s="883"/>
      <c r="C250" s="884"/>
      <c r="D250" s="884"/>
      <c r="E250" s="884"/>
      <c r="F250" s="884"/>
      <c r="G250" s="883"/>
      <c r="H250" s="883"/>
      <c r="I250" s="883"/>
      <c r="J250" s="884"/>
      <c r="K250" s="884"/>
      <c r="L250" s="884"/>
      <c r="M250" s="885"/>
      <c r="N250" s="883"/>
      <c r="O250" s="883"/>
      <c r="P250" s="883"/>
      <c r="Q250" s="886"/>
      <c r="R250" s="886"/>
      <c r="S250" s="886"/>
      <c r="T250" s="884"/>
      <c r="U250" s="884"/>
      <c r="V250" s="887"/>
      <c r="W250" s="883"/>
      <c r="X250" s="888"/>
      <c r="Y250" s="888"/>
      <c r="Z250" s="923"/>
      <c r="AA250" s="923"/>
      <c r="AC250" s="883"/>
      <c r="AD250" s="883"/>
      <c r="AE250" s="883"/>
      <c r="AF250" s="883"/>
      <c r="AG250" s="883"/>
      <c r="AH250" s="884"/>
      <c r="AI250" s="883"/>
      <c r="AJ250" s="883"/>
      <c r="AK250" s="886"/>
      <c r="AL250" s="886"/>
      <c r="AM250" s="883"/>
      <c r="AN250" s="883"/>
      <c r="AO250" s="883"/>
      <c r="AP250" s="883"/>
      <c r="AQ250" s="883"/>
      <c r="AR250" s="883"/>
      <c r="AS250" s="883"/>
      <c r="AT250" s="883"/>
      <c r="AU250" s="883"/>
      <c r="AV250" s="883"/>
      <c r="AW250" s="883"/>
      <c r="AX250" s="883"/>
    </row>
    <row r="251" spans="1:50" s="917" customFormat="1" x14ac:dyDescent="0.55000000000000004">
      <c r="A251" s="883"/>
      <c r="B251" s="883"/>
      <c r="C251" s="884"/>
      <c r="D251" s="884"/>
      <c r="E251" s="884"/>
      <c r="F251" s="884"/>
      <c r="G251" s="883"/>
      <c r="H251" s="883"/>
      <c r="I251" s="883"/>
      <c r="J251" s="884"/>
      <c r="K251" s="884"/>
      <c r="L251" s="884"/>
      <c r="M251" s="885"/>
      <c r="N251" s="883"/>
      <c r="O251" s="883"/>
      <c r="P251" s="883"/>
      <c r="Q251" s="886"/>
      <c r="R251" s="886"/>
      <c r="S251" s="886"/>
      <c r="T251" s="884"/>
      <c r="U251" s="884"/>
      <c r="V251" s="887"/>
      <c r="W251" s="883"/>
      <c r="X251" s="888"/>
      <c r="Y251" s="888"/>
      <c r="Z251" s="923"/>
      <c r="AA251" s="923"/>
      <c r="AC251" s="883"/>
      <c r="AD251" s="883"/>
      <c r="AE251" s="883"/>
      <c r="AF251" s="883"/>
      <c r="AG251" s="883"/>
      <c r="AH251" s="884"/>
      <c r="AI251" s="883"/>
      <c r="AJ251" s="883"/>
      <c r="AK251" s="886"/>
      <c r="AL251" s="886"/>
      <c r="AM251" s="883"/>
      <c r="AN251" s="883"/>
      <c r="AO251" s="883"/>
      <c r="AP251" s="883"/>
      <c r="AQ251" s="883"/>
      <c r="AR251" s="883"/>
      <c r="AS251" s="883"/>
      <c r="AT251" s="883"/>
      <c r="AU251" s="883"/>
      <c r="AV251" s="883"/>
      <c r="AW251" s="883"/>
      <c r="AX251" s="883"/>
    </row>
    <row r="252" spans="1:50" s="917" customFormat="1" x14ac:dyDescent="0.55000000000000004">
      <c r="A252" s="883"/>
      <c r="B252" s="883"/>
      <c r="C252" s="884"/>
      <c r="D252" s="884"/>
      <c r="E252" s="884"/>
      <c r="F252" s="884"/>
      <c r="G252" s="883"/>
      <c r="H252" s="883"/>
      <c r="I252" s="883"/>
      <c r="J252" s="884"/>
      <c r="K252" s="884"/>
      <c r="L252" s="884"/>
      <c r="M252" s="885"/>
      <c r="N252" s="883"/>
      <c r="O252" s="883"/>
      <c r="P252" s="883"/>
      <c r="Q252" s="886"/>
      <c r="R252" s="886"/>
      <c r="S252" s="886"/>
      <c r="T252" s="884"/>
      <c r="U252" s="884"/>
      <c r="V252" s="887"/>
      <c r="W252" s="883"/>
      <c r="X252" s="888"/>
      <c r="Y252" s="888"/>
      <c r="Z252" s="923"/>
      <c r="AA252" s="923"/>
      <c r="AC252" s="883"/>
      <c r="AD252" s="883"/>
      <c r="AE252" s="883"/>
      <c r="AF252" s="883"/>
      <c r="AG252" s="883"/>
      <c r="AH252" s="884"/>
      <c r="AI252" s="883"/>
      <c r="AJ252" s="883"/>
      <c r="AK252" s="886"/>
      <c r="AL252" s="886"/>
      <c r="AM252" s="883"/>
      <c r="AN252" s="883"/>
      <c r="AO252" s="883"/>
      <c r="AP252" s="883"/>
      <c r="AQ252" s="883"/>
      <c r="AR252" s="883"/>
      <c r="AS252" s="883"/>
      <c r="AT252" s="883"/>
      <c r="AU252" s="883"/>
      <c r="AV252" s="883"/>
      <c r="AW252" s="883"/>
      <c r="AX252" s="883"/>
    </row>
    <row r="253" spans="1:50" s="917" customFormat="1" x14ac:dyDescent="0.55000000000000004">
      <c r="A253" s="883"/>
      <c r="B253" s="883"/>
      <c r="C253" s="884"/>
      <c r="D253" s="884"/>
      <c r="E253" s="884"/>
      <c r="F253" s="884"/>
      <c r="G253" s="883"/>
      <c r="H253" s="883"/>
      <c r="I253" s="883"/>
      <c r="J253" s="884"/>
      <c r="K253" s="884"/>
      <c r="L253" s="884"/>
      <c r="M253" s="885"/>
      <c r="N253" s="883"/>
      <c r="O253" s="883"/>
      <c r="P253" s="883"/>
      <c r="Q253" s="886"/>
      <c r="R253" s="886"/>
      <c r="S253" s="886"/>
      <c r="T253" s="884"/>
      <c r="U253" s="884"/>
      <c r="V253" s="887"/>
      <c r="W253" s="883"/>
      <c r="X253" s="888"/>
      <c r="Y253" s="888"/>
      <c r="Z253" s="923">
        <v>8</v>
      </c>
      <c r="AA253" s="923">
        <v>8</v>
      </c>
      <c r="AC253" s="883"/>
      <c r="AD253" s="883"/>
      <c r="AE253" s="883"/>
      <c r="AF253" s="883"/>
      <c r="AG253" s="883"/>
      <c r="AH253" s="884"/>
      <c r="AI253" s="883"/>
      <c r="AJ253" s="883"/>
      <c r="AK253" s="886"/>
      <c r="AL253" s="886"/>
      <c r="AM253" s="883"/>
      <c r="AN253" s="883"/>
      <c r="AO253" s="883"/>
      <c r="AP253" s="883"/>
      <c r="AQ253" s="883"/>
      <c r="AR253" s="883"/>
      <c r="AS253" s="883"/>
      <c r="AT253" s="883"/>
      <c r="AU253" s="883"/>
      <c r="AV253" s="883"/>
      <c r="AW253" s="883"/>
      <c r="AX253" s="883"/>
    </row>
    <row r="254" spans="1:50" s="917" customFormat="1" x14ac:dyDescent="0.55000000000000004">
      <c r="A254" s="883"/>
      <c r="B254" s="883"/>
      <c r="C254" s="884"/>
      <c r="D254" s="884"/>
      <c r="E254" s="884"/>
      <c r="F254" s="884"/>
      <c r="G254" s="883"/>
      <c r="H254" s="883"/>
      <c r="I254" s="883"/>
      <c r="J254" s="884"/>
      <c r="K254" s="884"/>
      <c r="L254" s="884"/>
      <c r="M254" s="885"/>
      <c r="N254" s="883"/>
      <c r="O254" s="883"/>
      <c r="P254" s="883"/>
      <c r="Q254" s="886"/>
      <c r="R254" s="886"/>
      <c r="S254" s="886"/>
      <c r="T254" s="884"/>
      <c r="U254" s="884"/>
      <c r="V254" s="887"/>
      <c r="W254" s="883"/>
      <c r="X254" s="888"/>
      <c r="Y254" s="888"/>
      <c r="Z254" s="923"/>
      <c r="AA254" s="923"/>
      <c r="AC254" s="883"/>
      <c r="AD254" s="883"/>
      <c r="AE254" s="883"/>
      <c r="AF254" s="883"/>
      <c r="AG254" s="883"/>
      <c r="AH254" s="884"/>
      <c r="AI254" s="883"/>
      <c r="AJ254" s="883"/>
      <c r="AK254" s="886"/>
      <c r="AL254" s="886"/>
      <c r="AM254" s="883"/>
      <c r="AN254" s="883"/>
      <c r="AO254" s="883"/>
      <c r="AP254" s="883"/>
      <c r="AQ254" s="883"/>
      <c r="AR254" s="883"/>
      <c r="AS254" s="883"/>
      <c r="AT254" s="883"/>
      <c r="AU254" s="883"/>
      <c r="AV254" s="883"/>
      <c r="AW254" s="883"/>
      <c r="AX254" s="883"/>
    </row>
    <row r="255" spans="1:50" s="917" customFormat="1" x14ac:dyDescent="0.55000000000000004">
      <c r="A255" s="883"/>
      <c r="B255" s="883"/>
      <c r="C255" s="884"/>
      <c r="D255" s="884"/>
      <c r="E255" s="884"/>
      <c r="F255" s="884"/>
      <c r="G255" s="883"/>
      <c r="H255" s="883"/>
      <c r="I255" s="883"/>
      <c r="J255" s="884"/>
      <c r="K255" s="884"/>
      <c r="L255" s="884"/>
      <c r="M255" s="885"/>
      <c r="N255" s="883"/>
      <c r="O255" s="883"/>
      <c r="P255" s="883"/>
      <c r="Q255" s="886"/>
      <c r="R255" s="886"/>
      <c r="S255" s="886"/>
      <c r="T255" s="884"/>
      <c r="U255" s="884"/>
      <c r="V255" s="887"/>
      <c r="W255" s="883"/>
      <c r="X255" s="888"/>
      <c r="Y255" s="888"/>
      <c r="Z255" s="923"/>
      <c r="AA255" s="923"/>
      <c r="AC255" s="883"/>
      <c r="AD255" s="883"/>
      <c r="AE255" s="883"/>
      <c r="AF255" s="883"/>
      <c r="AG255" s="883"/>
      <c r="AH255" s="884"/>
      <c r="AI255" s="883"/>
      <c r="AJ255" s="883"/>
      <c r="AK255" s="886"/>
      <c r="AL255" s="886"/>
      <c r="AM255" s="883"/>
      <c r="AN255" s="883"/>
      <c r="AO255" s="883"/>
      <c r="AP255" s="883"/>
      <c r="AQ255" s="883"/>
      <c r="AR255" s="883"/>
      <c r="AS255" s="883"/>
      <c r="AT255" s="883"/>
      <c r="AU255" s="883"/>
      <c r="AV255" s="883"/>
      <c r="AW255" s="883"/>
      <c r="AX255" s="883"/>
    </row>
    <row r="256" spans="1:50" s="917" customFormat="1" x14ac:dyDescent="0.55000000000000004">
      <c r="A256" s="883"/>
      <c r="B256" s="883"/>
      <c r="C256" s="884"/>
      <c r="D256" s="884"/>
      <c r="E256" s="884"/>
      <c r="F256" s="884"/>
      <c r="G256" s="883"/>
      <c r="H256" s="883"/>
      <c r="I256" s="883"/>
      <c r="J256" s="884"/>
      <c r="K256" s="884"/>
      <c r="L256" s="884"/>
      <c r="M256" s="885"/>
      <c r="N256" s="883"/>
      <c r="O256" s="883"/>
      <c r="P256" s="883"/>
      <c r="Q256" s="886"/>
      <c r="R256" s="886"/>
      <c r="S256" s="886"/>
      <c r="T256" s="884"/>
      <c r="U256" s="884"/>
      <c r="V256" s="887"/>
      <c r="W256" s="883"/>
      <c r="X256" s="888"/>
      <c r="Y256" s="888"/>
      <c r="Z256" s="923"/>
      <c r="AA256" s="923"/>
      <c r="AC256" s="883"/>
      <c r="AD256" s="883"/>
      <c r="AE256" s="883"/>
      <c r="AF256" s="883"/>
      <c r="AG256" s="883"/>
      <c r="AH256" s="884"/>
      <c r="AI256" s="883"/>
      <c r="AJ256" s="883"/>
      <c r="AK256" s="886"/>
      <c r="AL256" s="886"/>
      <c r="AM256" s="883"/>
      <c r="AN256" s="883"/>
      <c r="AO256" s="883"/>
      <c r="AP256" s="883"/>
      <c r="AQ256" s="883"/>
      <c r="AR256" s="883"/>
      <c r="AS256" s="883"/>
      <c r="AT256" s="883"/>
      <c r="AU256" s="883"/>
      <c r="AV256" s="883"/>
      <c r="AW256" s="883"/>
      <c r="AX256" s="883"/>
    </row>
    <row r="257" spans="1:50" s="917" customFormat="1" x14ac:dyDescent="0.55000000000000004">
      <c r="A257" s="883"/>
      <c r="B257" s="883"/>
      <c r="C257" s="884"/>
      <c r="D257" s="884"/>
      <c r="E257" s="884"/>
      <c r="F257" s="884"/>
      <c r="G257" s="883"/>
      <c r="H257" s="883"/>
      <c r="I257" s="883"/>
      <c r="J257" s="884"/>
      <c r="K257" s="884"/>
      <c r="L257" s="884"/>
      <c r="M257" s="885"/>
      <c r="N257" s="883"/>
      <c r="O257" s="883"/>
      <c r="P257" s="883"/>
      <c r="Q257" s="886"/>
      <c r="R257" s="886"/>
      <c r="S257" s="886"/>
      <c r="T257" s="884"/>
      <c r="U257" s="884"/>
      <c r="V257" s="887"/>
      <c r="W257" s="883"/>
      <c r="X257" s="888"/>
      <c r="Y257" s="888"/>
      <c r="Z257" s="923"/>
      <c r="AA257" s="923"/>
      <c r="AC257" s="883"/>
      <c r="AD257" s="883"/>
      <c r="AE257" s="883"/>
      <c r="AF257" s="883"/>
      <c r="AG257" s="883"/>
      <c r="AH257" s="884"/>
      <c r="AI257" s="883"/>
      <c r="AJ257" s="883"/>
      <c r="AK257" s="886"/>
      <c r="AL257" s="886"/>
      <c r="AM257" s="883"/>
      <c r="AN257" s="883"/>
      <c r="AO257" s="883"/>
      <c r="AP257" s="883"/>
      <c r="AQ257" s="883"/>
      <c r="AR257" s="883"/>
      <c r="AS257" s="883"/>
      <c r="AT257" s="883"/>
      <c r="AU257" s="883"/>
      <c r="AV257" s="883"/>
      <c r="AW257" s="883"/>
      <c r="AX257" s="883"/>
    </row>
    <row r="258" spans="1:50" s="917" customFormat="1" x14ac:dyDescent="0.55000000000000004">
      <c r="A258" s="883"/>
      <c r="B258" s="883"/>
      <c r="C258" s="884"/>
      <c r="D258" s="884"/>
      <c r="E258" s="884"/>
      <c r="F258" s="884"/>
      <c r="G258" s="883"/>
      <c r="H258" s="883"/>
      <c r="I258" s="883"/>
      <c r="J258" s="884"/>
      <c r="K258" s="884"/>
      <c r="L258" s="884"/>
      <c r="M258" s="885"/>
      <c r="N258" s="883"/>
      <c r="O258" s="883"/>
      <c r="P258" s="883"/>
      <c r="Q258" s="886"/>
      <c r="R258" s="886"/>
      <c r="S258" s="886"/>
      <c r="T258" s="884"/>
      <c r="U258" s="884"/>
      <c r="V258" s="887"/>
      <c r="W258" s="883"/>
      <c r="X258" s="888"/>
      <c r="Y258" s="888"/>
      <c r="Z258" s="923"/>
      <c r="AA258" s="923"/>
      <c r="AC258" s="883"/>
      <c r="AD258" s="883"/>
      <c r="AE258" s="883"/>
      <c r="AF258" s="883"/>
      <c r="AG258" s="883"/>
      <c r="AH258" s="884"/>
      <c r="AI258" s="883"/>
      <c r="AJ258" s="883"/>
      <c r="AK258" s="886"/>
      <c r="AL258" s="886"/>
      <c r="AM258" s="883"/>
      <c r="AN258" s="883"/>
      <c r="AO258" s="883"/>
      <c r="AP258" s="883"/>
      <c r="AQ258" s="883"/>
      <c r="AR258" s="883"/>
      <c r="AS258" s="883"/>
      <c r="AT258" s="883"/>
      <c r="AU258" s="883"/>
      <c r="AV258" s="883"/>
      <c r="AW258" s="883"/>
      <c r="AX258" s="883"/>
    </row>
    <row r="259" spans="1:50" s="917" customFormat="1" x14ac:dyDescent="0.55000000000000004">
      <c r="A259" s="883"/>
      <c r="B259" s="883"/>
      <c r="C259" s="884"/>
      <c r="D259" s="884"/>
      <c r="E259" s="884"/>
      <c r="F259" s="884"/>
      <c r="G259" s="883"/>
      <c r="H259" s="883"/>
      <c r="I259" s="883"/>
      <c r="J259" s="884"/>
      <c r="K259" s="884"/>
      <c r="L259" s="884"/>
      <c r="M259" s="885"/>
      <c r="N259" s="883"/>
      <c r="O259" s="883"/>
      <c r="P259" s="883"/>
      <c r="Q259" s="886"/>
      <c r="R259" s="886"/>
      <c r="S259" s="886"/>
      <c r="T259" s="884"/>
      <c r="U259" s="884"/>
      <c r="V259" s="887"/>
      <c r="W259" s="883"/>
      <c r="X259" s="888"/>
      <c r="Y259" s="888"/>
      <c r="Z259" s="923"/>
      <c r="AA259" s="923"/>
      <c r="AC259" s="883"/>
      <c r="AD259" s="883"/>
      <c r="AE259" s="883"/>
      <c r="AF259" s="883"/>
      <c r="AG259" s="883"/>
      <c r="AH259" s="884"/>
      <c r="AI259" s="883"/>
      <c r="AJ259" s="883"/>
      <c r="AK259" s="886"/>
      <c r="AL259" s="886"/>
      <c r="AM259" s="883"/>
      <c r="AN259" s="883"/>
      <c r="AO259" s="883"/>
      <c r="AP259" s="883"/>
      <c r="AQ259" s="883"/>
      <c r="AR259" s="883"/>
      <c r="AS259" s="883"/>
      <c r="AT259" s="883"/>
      <c r="AU259" s="883"/>
      <c r="AV259" s="883"/>
      <c r="AW259" s="883"/>
      <c r="AX259" s="883"/>
    </row>
    <row r="260" spans="1:50" s="917" customFormat="1" x14ac:dyDescent="0.55000000000000004">
      <c r="A260" s="883"/>
      <c r="B260" s="883"/>
      <c r="C260" s="884"/>
      <c r="D260" s="884"/>
      <c r="E260" s="884"/>
      <c r="F260" s="884"/>
      <c r="G260" s="883"/>
      <c r="H260" s="883"/>
      <c r="I260" s="883"/>
      <c r="J260" s="884"/>
      <c r="K260" s="884"/>
      <c r="L260" s="884"/>
      <c r="M260" s="885"/>
      <c r="N260" s="883"/>
      <c r="O260" s="883"/>
      <c r="P260" s="883"/>
      <c r="Q260" s="886"/>
      <c r="R260" s="886"/>
      <c r="S260" s="886"/>
      <c r="T260" s="884"/>
      <c r="U260" s="884"/>
      <c r="V260" s="887"/>
      <c r="W260" s="883"/>
      <c r="X260" s="888"/>
      <c r="Y260" s="888"/>
      <c r="Z260" s="923"/>
      <c r="AA260" s="921"/>
      <c r="AC260" s="883"/>
      <c r="AD260" s="883"/>
      <c r="AE260" s="883"/>
      <c r="AF260" s="883"/>
      <c r="AG260" s="883"/>
      <c r="AH260" s="884"/>
      <c r="AI260" s="883"/>
      <c r="AJ260" s="883"/>
      <c r="AK260" s="886"/>
      <c r="AL260" s="886"/>
      <c r="AM260" s="883"/>
      <c r="AN260" s="883"/>
      <c r="AO260" s="883"/>
      <c r="AP260" s="883"/>
      <c r="AQ260" s="883"/>
      <c r="AR260" s="883"/>
      <c r="AS260" s="883"/>
      <c r="AT260" s="883"/>
      <c r="AU260" s="883"/>
      <c r="AV260" s="883"/>
      <c r="AW260" s="883"/>
      <c r="AX260" s="883"/>
    </row>
    <row r="261" spans="1:50" s="917" customFormat="1" x14ac:dyDescent="0.55000000000000004">
      <c r="A261" s="883"/>
      <c r="B261" s="883"/>
      <c r="C261" s="884"/>
      <c r="D261" s="884"/>
      <c r="E261" s="884"/>
      <c r="F261" s="884"/>
      <c r="G261" s="883"/>
      <c r="H261" s="883"/>
      <c r="I261" s="883"/>
      <c r="J261" s="884"/>
      <c r="K261" s="884"/>
      <c r="L261" s="884"/>
      <c r="M261" s="885"/>
      <c r="N261" s="883"/>
      <c r="O261" s="883"/>
      <c r="P261" s="883"/>
      <c r="Q261" s="886"/>
      <c r="R261" s="886"/>
      <c r="S261" s="886"/>
      <c r="T261" s="884"/>
      <c r="U261" s="884"/>
      <c r="V261" s="887"/>
      <c r="W261" s="883"/>
      <c r="X261" s="888"/>
      <c r="Y261" s="888"/>
      <c r="Z261" s="923"/>
      <c r="AA261" s="923"/>
      <c r="AC261" s="883"/>
      <c r="AD261" s="883"/>
      <c r="AE261" s="883"/>
      <c r="AF261" s="883"/>
      <c r="AG261" s="883"/>
      <c r="AH261" s="884"/>
      <c r="AI261" s="883"/>
      <c r="AJ261" s="883"/>
      <c r="AK261" s="886"/>
      <c r="AL261" s="886"/>
      <c r="AM261" s="883"/>
      <c r="AN261" s="883"/>
      <c r="AO261" s="883"/>
      <c r="AP261" s="883"/>
      <c r="AQ261" s="883"/>
      <c r="AR261" s="883"/>
      <c r="AS261" s="883"/>
      <c r="AT261" s="883"/>
      <c r="AU261" s="883"/>
      <c r="AV261" s="883"/>
      <c r="AW261" s="883"/>
      <c r="AX261" s="883"/>
    </row>
    <row r="262" spans="1:50" s="917" customFormat="1" x14ac:dyDescent="0.55000000000000004">
      <c r="A262" s="883"/>
      <c r="B262" s="883"/>
      <c r="C262" s="884"/>
      <c r="D262" s="884"/>
      <c r="E262" s="884"/>
      <c r="F262" s="884"/>
      <c r="G262" s="883"/>
      <c r="H262" s="883"/>
      <c r="I262" s="883"/>
      <c r="J262" s="884"/>
      <c r="K262" s="884"/>
      <c r="L262" s="884"/>
      <c r="M262" s="885"/>
      <c r="N262" s="883"/>
      <c r="O262" s="883"/>
      <c r="P262" s="883"/>
      <c r="Q262" s="886"/>
      <c r="R262" s="886"/>
      <c r="S262" s="886"/>
      <c r="T262" s="884"/>
      <c r="U262" s="884"/>
      <c r="V262" s="887"/>
      <c r="W262" s="883"/>
      <c r="X262" s="888"/>
      <c r="Y262" s="888"/>
      <c r="Z262" s="923"/>
      <c r="AA262" s="923"/>
      <c r="AC262" s="883"/>
      <c r="AD262" s="883"/>
      <c r="AE262" s="883"/>
      <c r="AF262" s="883"/>
      <c r="AG262" s="883"/>
      <c r="AH262" s="884"/>
      <c r="AI262" s="883"/>
      <c r="AJ262" s="883"/>
      <c r="AK262" s="886"/>
      <c r="AL262" s="886"/>
      <c r="AM262" s="883"/>
      <c r="AN262" s="883"/>
      <c r="AO262" s="883"/>
      <c r="AP262" s="883"/>
      <c r="AQ262" s="883"/>
      <c r="AR262" s="883"/>
      <c r="AS262" s="883"/>
      <c r="AT262" s="883"/>
      <c r="AU262" s="883"/>
      <c r="AV262" s="883"/>
      <c r="AW262" s="883"/>
      <c r="AX262" s="883"/>
    </row>
    <row r="263" spans="1:50" s="917" customFormat="1" x14ac:dyDescent="0.55000000000000004">
      <c r="A263" s="883"/>
      <c r="B263" s="883"/>
      <c r="C263" s="884"/>
      <c r="D263" s="884"/>
      <c r="E263" s="884"/>
      <c r="F263" s="884"/>
      <c r="G263" s="883"/>
      <c r="H263" s="883"/>
      <c r="I263" s="883"/>
      <c r="J263" s="884"/>
      <c r="K263" s="884"/>
      <c r="L263" s="884"/>
      <c r="M263" s="885"/>
      <c r="N263" s="883"/>
      <c r="O263" s="883"/>
      <c r="P263" s="883"/>
      <c r="Q263" s="886"/>
      <c r="R263" s="886"/>
      <c r="S263" s="886"/>
      <c r="T263" s="884"/>
      <c r="U263" s="884"/>
      <c r="V263" s="887"/>
      <c r="W263" s="883"/>
      <c r="X263" s="888"/>
      <c r="Y263" s="888"/>
      <c r="Z263" s="923"/>
      <c r="AA263" s="923"/>
      <c r="AC263" s="883"/>
      <c r="AD263" s="883"/>
      <c r="AE263" s="883"/>
      <c r="AF263" s="883"/>
      <c r="AG263" s="883"/>
      <c r="AH263" s="884"/>
      <c r="AI263" s="883"/>
      <c r="AJ263" s="883"/>
      <c r="AK263" s="886"/>
      <c r="AL263" s="886"/>
      <c r="AM263" s="883"/>
      <c r="AN263" s="883"/>
      <c r="AO263" s="883"/>
      <c r="AP263" s="883"/>
      <c r="AQ263" s="883"/>
      <c r="AR263" s="883"/>
      <c r="AS263" s="883"/>
      <c r="AT263" s="883"/>
      <c r="AU263" s="883"/>
      <c r="AV263" s="883"/>
      <c r="AW263" s="883"/>
      <c r="AX263" s="883"/>
    </row>
    <row r="264" spans="1:50" s="917" customFormat="1" x14ac:dyDescent="0.55000000000000004">
      <c r="A264" s="883"/>
      <c r="B264" s="883"/>
      <c r="C264" s="884"/>
      <c r="D264" s="884"/>
      <c r="E264" s="884"/>
      <c r="F264" s="884"/>
      <c r="G264" s="883"/>
      <c r="H264" s="883"/>
      <c r="I264" s="883"/>
      <c r="J264" s="884"/>
      <c r="K264" s="884"/>
      <c r="L264" s="884"/>
      <c r="M264" s="885"/>
      <c r="N264" s="883"/>
      <c r="O264" s="883"/>
      <c r="P264" s="883"/>
      <c r="Q264" s="886"/>
      <c r="R264" s="886"/>
      <c r="S264" s="886"/>
      <c r="T264" s="884"/>
      <c r="U264" s="884"/>
      <c r="V264" s="887"/>
      <c r="W264" s="883"/>
      <c r="X264" s="888"/>
      <c r="Y264" s="888"/>
      <c r="Z264" s="923"/>
      <c r="AA264" s="923"/>
      <c r="AC264" s="883"/>
      <c r="AD264" s="883"/>
      <c r="AE264" s="883"/>
      <c r="AF264" s="883"/>
      <c r="AG264" s="883"/>
      <c r="AH264" s="884"/>
      <c r="AI264" s="883"/>
      <c r="AJ264" s="883"/>
      <c r="AK264" s="886"/>
      <c r="AL264" s="886"/>
      <c r="AM264" s="883"/>
      <c r="AN264" s="883"/>
      <c r="AO264" s="883"/>
      <c r="AP264" s="883"/>
      <c r="AQ264" s="883"/>
      <c r="AR264" s="883"/>
      <c r="AS264" s="883"/>
      <c r="AT264" s="883"/>
      <c r="AU264" s="883"/>
      <c r="AV264" s="883"/>
      <c r="AW264" s="883"/>
      <c r="AX264" s="883"/>
    </row>
    <row r="265" spans="1:50" s="917" customFormat="1" x14ac:dyDescent="0.55000000000000004">
      <c r="A265" s="883"/>
      <c r="B265" s="883"/>
      <c r="C265" s="884"/>
      <c r="D265" s="884"/>
      <c r="E265" s="884"/>
      <c r="F265" s="884"/>
      <c r="G265" s="883"/>
      <c r="H265" s="883"/>
      <c r="I265" s="883"/>
      <c r="J265" s="884"/>
      <c r="K265" s="884"/>
      <c r="L265" s="884"/>
      <c r="M265" s="885"/>
      <c r="N265" s="883"/>
      <c r="O265" s="883"/>
      <c r="P265" s="883"/>
      <c r="Q265" s="886"/>
      <c r="R265" s="886"/>
      <c r="S265" s="886"/>
      <c r="T265" s="884"/>
      <c r="U265" s="884"/>
      <c r="V265" s="887"/>
      <c r="W265" s="883"/>
      <c r="X265" s="888"/>
      <c r="Y265" s="888"/>
      <c r="Z265" s="923"/>
      <c r="AA265" s="923"/>
      <c r="AC265" s="883"/>
      <c r="AD265" s="883"/>
      <c r="AE265" s="883"/>
      <c r="AF265" s="883"/>
      <c r="AG265" s="883"/>
      <c r="AH265" s="884"/>
      <c r="AI265" s="883"/>
      <c r="AJ265" s="883"/>
      <c r="AK265" s="886"/>
      <c r="AL265" s="886"/>
      <c r="AM265" s="883"/>
      <c r="AN265" s="883"/>
      <c r="AO265" s="883"/>
      <c r="AP265" s="883"/>
      <c r="AQ265" s="883"/>
      <c r="AR265" s="883"/>
      <c r="AS265" s="883"/>
      <c r="AT265" s="883"/>
      <c r="AU265" s="883"/>
      <c r="AV265" s="883"/>
      <c r="AW265" s="883"/>
      <c r="AX265" s="883"/>
    </row>
    <row r="266" spans="1:50" s="917" customFormat="1" x14ac:dyDescent="0.55000000000000004">
      <c r="A266" s="883"/>
      <c r="B266" s="883"/>
      <c r="C266" s="884"/>
      <c r="D266" s="884"/>
      <c r="E266" s="884"/>
      <c r="F266" s="884"/>
      <c r="G266" s="883"/>
      <c r="H266" s="883"/>
      <c r="I266" s="883"/>
      <c r="J266" s="884"/>
      <c r="K266" s="884"/>
      <c r="L266" s="884"/>
      <c r="M266" s="885"/>
      <c r="N266" s="883"/>
      <c r="O266" s="883"/>
      <c r="P266" s="883"/>
      <c r="Q266" s="886"/>
      <c r="R266" s="886"/>
      <c r="S266" s="886"/>
      <c r="T266" s="884"/>
      <c r="U266" s="884"/>
      <c r="V266" s="887"/>
      <c r="W266" s="883"/>
      <c r="X266" s="888"/>
      <c r="Y266" s="888"/>
      <c r="Z266" s="923"/>
      <c r="AA266" s="923"/>
      <c r="AC266" s="883"/>
      <c r="AD266" s="883"/>
      <c r="AE266" s="883"/>
      <c r="AF266" s="883"/>
      <c r="AG266" s="883"/>
      <c r="AH266" s="884"/>
      <c r="AI266" s="883"/>
      <c r="AJ266" s="883"/>
      <c r="AK266" s="886"/>
      <c r="AL266" s="886"/>
      <c r="AM266" s="883"/>
      <c r="AN266" s="883"/>
      <c r="AO266" s="883"/>
      <c r="AP266" s="883"/>
      <c r="AQ266" s="883"/>
      <c r="AR266" s="883"/>
      <c r="AS266" s="883"/>
      <c r="AT266" s="883"/>
      <c r="AU266" s="883"/>
      <c r="AV266" s="883"/>
      <c r="AW266" s="883"/>
      <c r="AX266" s="883"/>
    </row>
    <row r="267" spans="1:50" s="917" customFormat="1" x14ac:dyDescent="0.55000000000000004">
      <c r="A267" s="883"/>
      <c r="B267" s="883"/>
      <c r="C267" s="884"/>
      <c r="D267" s="884"/>
      <c r="E267" s="884"/>
      <c r="F267" s="884"/>
      <c r="G267" s="883"/>
      <c r="H267" s="883"/>
      <c r="I267" s="883"/>
      <c r="J267" s="884"/>
      <c r="K267" s="884"/>
      <c r="L267" s="884"/>
      <c r="M267" s="885"/>
      <c r="N267" s="883"/>
      <c r="O267" s="883"/>
      <c r="P267" s="883"/>
      <c r="Q267" s="886"/>
      <c r="R267" s="886"/>
      <c r="S267" s="886"/>
      <c r="T267" s="884"/>
      <c r="U267" s="884"/>
      <c r="V267" s="887"/>
      <c r="W267" s="883"/>
      <c r="X267" s="888"/>
      <c r="Y267" s="888"/>
      <c r="Z267" s="923"/>
      <c r="AA267" s="923"/>
      <c r="AC267" s="883"/>
      <c r="AD267" s="883"/>
      <c r="AE267" s="883"/>
      <c r="AF267" s="883"/>
      <c r="AG267" s="883"/>
      <c r="AH267" s="884"/>
      <c r="AI267" s="883"/>
      <c r="AJ267" s="883"/>
      <c r="AK267" s="886"/>
      <c r="AL267" s="886"/>
      <c r="AM267" s="883"/>
      <c r="AN267" s="883"/>
      <c r="AO267" s="883"/>
      <c r="AP267" s="883"/>
      <c r="AQ267" s="883"/>
      <c r="AR267" s="883"/>
      <c r="AS267" s="883"/>
      <c r="AT267" s="883"/>
      <c r="AU267" s="883"/>
      <c r="AV267" s="883"/>
      <c r="AW267" s="883"/>
      <c r="AX267" s="883"/>
    </row>
    <row r="268" spans="1:50" s="917" customFormat="1" x14ac:dyDescent="0.55000000000000004">
      <c r="A268" s="883"/>
      <c r="B268" s="883"/>
      <c r="C268" s="884"/>
      <c r="D268" s="884"/>
      <c r="E268" s="884"/>
      <c r="F268" s="884"/>
      <c r="G268" s="883"/>
      <c r="H268" s="883"/>
      <c r="I268" s="883"/>
      <c r="J268" s="884"/>
      <c r="K268" s="884"/>
      <c r="L268" s="884"/>
      <c r="M268" s="885"/>
      <c r="N268" s="883"/>
      <c r="O268" s="883"/>
      <c r="P268" s="883"/>
      <c r="Q268" s="886"/>
      <c r="R268" s="886"/>
      <c r="S268" s="886"/>
      <c r="T268" s="884"/>
      <c r="U268" s="884"/>
      <c r="V268" s="887"/>
      <c r="W268" s="883"/>
      <c r="X268" s="888"/>
      <c r="Y268" s="888"/>
      <c r="Z268" s="923"/>
      <c r="AA268" s="923"/>
      <c r="AC268" s="883"/>
      <c r="AD268" s="883"/>
      <c r="AE268" s="883"/>
      <c r="AF268" s="883"/>
      <c r="AG268" s="883"/>
      <c r="AH268" s="884"/>
      <c r="AI268" s="883"/>
      <c r="AJ268" s="883"/>
      <c r="AK268" s="886"/>
      <c r="AL268" s="886"/>
      <c r="AM268" s="883"/>
      <c r="AN268" s="883"/>
      <c r="AO268" s="883"/>
      <c r="AP268" s="883"/>
      <c r="AQ268" s="883"/>
      <c r="AR268" s="883"/>
      <c r="AS268" s="883"/>
      <c r="AT268" s="883"/>
      <c r="AU268" s="883"/>
      <c r="AV268" s="883"/>
      <c r="AW268" s="883"/>
      <c r="AX268" s="883"/>
    </row>
    <row r="269" spans="1:50" s="917" customFormat="1" x14ac:dyDescent="0.55000000000000004">
      <c r="A269" s="883"/>
      <c r="B269" s="883"/>
      <c r="C269" s="884"/>
      <c r="D269" s="884"/>
      <c r="E269" s="884"/>
      <c r="F269" s="884"/>
      <c r="G269" s="883"/>
      <c r="H269" s="883"/>
      <c r="I269" s="883"/>
      <c r="J269" s="884"/>
      <c r="K269" s="884"/>
      <c r="L269" s="884"/>
      <c r="M269" s="885"/>
      <c r="N269" s="883"/>
      <c r="O269" s="883"/>
      <c r="P269" s="883"/>
      <c r="Q269" s="886"/>
      <c r="R269" s="886"/>
      <c r="S269" s="886"/>
      <c r="T269" s="884"/>
      <c r="U269" s="884"/>
      <c r="V269" s="887"/>
      <c r="W269" s="883"/>
      <c r="X269" s="888"/>
      <c r="Y269" s="888"/>
      <c r="Z269" s="923"/>
      <c r="AA269" s="923"/>
      <c r="AC269" s="883"/>
      <c r="AD269" s="883"/>
      <c r="AE269" s="883"/>
      <c r="AF269" s="883"/>
      <c r="AG269" s="883"/>
      <c r="AH269" s="884"/>
      <c r="AI269" s="883"/>
      <c r="AJ269" s="883"/>
      <c r="AK269" s="886"/>
      <c r="AL269" s="886"/>
      <c r="AM269" s="883"/>
      <c r="AN269" s="883"/>
      <c r="AO269" s="883"/>
      <c r="AP269" s="883"/>
      <c r="AQ269" s="883"/>
      <c r="AR269" s="883"/>
      <c r="AS269" s="883"/>
      <c r="AT269" s="883"/>
      <c r="AU269" s="883"/>
      <c r="AV269" s="883"/>
      <c r="AW269" s="883"/>
      <c r="AX269" s="883"/>
    </row>
    <row r="270" spans="1:50" s="917" customFormat="1" x14ac:dyDescent="0.55000000000000004">
      <c r="A270" s="883"/>
      <c r="B270" s="883"/>
      <c r="C270" s="884"/>
      <c r="D270" s="884"/>
      <c r="E270" s="884"/>
      <c r="F270" s="884"/>
      <c r="G270" s="883"/>
      <c r="H270" s="883"/>
      <c r="I270" s="883"/>
      <c r="J270" s="884"/>
      <c r="K270" s="884"/>
      <c r="L270" s="884"/>
      <c r="M270" s="885"/>
      <c r="N270" s="883"/>
      <c r="O270" s="883"/>
      <c r="P270" s="883"/>
      <c r="Q270" s="886"/>
      <c r="R270" s="886"/>
      <c r="S270" s="886"/>
      <c r="T270" s="884"/>
      <c r="U270" s="884"/>
      <c r="V270" s="887"/>
      <c r="W270" s="883"/>
      <c r="X270" s="888"/>
      <c r="Y270" s="888"/>
      <c r="Z270" s="923"/>
      <c r="AA270" s="923"/>
      <c r="AC270" s="883"/>
      <c r="AD270" s="883"/>
      <c r="AE270" s="883"/>
      <c r="AF270" s="883"/>
      <c r="AG270" s="883"/>
      <c r="AH270" s="884"/>
      <c r="AI270" s="883"/>
      <c r="AJ270" s="883"/>
      <c r="AK270" s="886"/>
      <c r="AL270" s="886"/>
      <c r="AM270" s="883"/>
      <c r="AN270" s="883"/>
      <c r="AO270" s="883"/>
      <c r="AP270" s="883"/>
      <c r="AQ270" s="883"/>
      <c r="AR270" s="883"/>
      <c r="AS270" s="883"/>
      <c r="AT270" s="883"/>
      <c r="AU270" s="883"/>
      <c r="AV270" s="883"/>
      <c r="AW270" s="883"/>
      <c r="AX270" s="883"/>
    </row>
    <row r="271" spans="1:50" s="917" customFormat="1" x14ac:dyDescent="0.55000000000000004">
      <c r="A271" s="883"/>
      <c r="B271" s="883"/>
      <c r="C271" s="884"/>
      <c r="D271" s="884"/>
      <c r="E271" s="884"/>
      <c r="F271" s="884"/>
      <c r="G271" s="883"/>
      <c r="H271" s="883"/>
      <c r="I271" s="883"/>
      <c r="J271" s="884"/>
      <c r="K271" s="884"/>
      <c r="L271" s="884"/>
      <c r="M271" s="885"/>
      <c r="N271" s="883"/>
      <c r="O271" s="883"/>
      <c r="P271" s="883"/>
      <c r="Q271" s="886"/>
      <c r="R271" s="886"/>
      <c r="S271" s="886"/>
      <c r="T271" s="884"/>
      <c r="U271" s="884"/>
      <c r="V271" s="887"/>
      <c r="W271" s="883"/>
      <c r="X271" s="888"/>
      <c r="Y271" s="888"/>
      <c r="Z271" s="923"/>
      <c r="AA271" s="923"/>
      <c r="AC271" s="883"/>
      <c r="AD271" s="883"/>
      <c r="AE271" s="883"/>
      <c r="AF271" s="883"/>
      <c r="AG271" s="883"/>
      <c r="AH271" s="884"/>
      <c r="AI271" s="883"/>
      <c r="AJ271" s="883"/>
      <c r="AK271" s="886"/>
      <c r="AL271" s="886"/>
      <c r="AM271" s="883"/>
      <c r="AN271" s="883"/>
      <c r="AO271" s="883"/>
      <c r="AP271" s="883"/>
      <c r="AQ271" s="883"/>
      <c r="AR271" s="883"/>
      <c r="AS271" s="883"/>
      <c r="AT271" s="883"/>
      <c r="AU271" s="883"/>
      <c r="AV271" s="883"/>
      <c r="AW271" s="883"/>
      <c r="AX271" s="883"/>
    </row>
    <row r="272" spans="1:50" s="917" customFormat="1" x14ac:dyDescent="0.55000000000000004">
      <c r="A272" s="883"/>
      <c r="B272" s="883"/>
      <c r="C272" s="884"/>
      <c r="D272" s="884"/>
      <c r="E272" s="884"/>
      <c r="F272" s="884"/>
      <c r="G272" s="883"/>
      <c r="H272" s="883"/>
      <c r="I272" s="883"/>
      <c r="J272" s="884"/>
      <c r="K272" s="884"/>
      <c r="L272" s="884"/>
      <c r="M272" s="885"/>
      <c r="N272" s="883"/>
      <c r="O272" s="883"/>
      <c r="P272" s="883"/>
      <c r="Q272" s="886"/>
      <c r="R272" s="886"/>
      <c r="S272" s="886"/>
      <c r="T272" s="884"/>
      <c r="U272" s="884"/>
      <c r="V272" s="887"/>
      <c r="W272" s="883"/>
      <c r="X272" s="888"/>
      <c r="Y272" s="888"/>
      <c r="Z272" s="923"/>
      <c r="AA272" s="923"/>
      <c r="AC272" s="883"/>
      <c r="AD272" s="883"/>
      <c r="AE272" s="883"/>
      <c r="AF272" s="883"/>
      <c r="AG272" s="883"/>
      <c r="AH272" s="884"/>
      <c r="AI272" s="883"/>
      <c r="AJ272" s="883"/>
      <c r="AK272" s="886"/>
      <c r="AL272" s="886"/>
      <c r="AM272" s="883"/>
      <c r="AN272" s="883"/>
      <c r="AO272" s="883"/>
      <c r="AP272" s="883"/>
      <c r="AQ272" s="883"/>
      <c r="AR272" s="883"/>
      <c r="AS272" s="883"/>
      <c r="AT272" s="883"/>
      <c r="AU272" s="883"/>
      <c r="AV272" s="883"/>
      <c r="AW272" s="883"/>
      <c r="AX272" s="883"/>
    </row>
    <row r="273" spans="1:50" s="917" customFormat="1" x14ac:dyDescent="0.55000000000000004">
      <c r="A273" s="883"/>
      <c r="B273" s="883"/>
      <c r="C273" s="884"/>
      <c r="D273" s="884"/>
      <c r="E273" s="884"/>
      <c r="F273" s="884"/>
      <c r="G273" s="883"/>
      <c r="H273" s="883"/>
      <c r="I273" s="883"/>
      <c r="J273" s="884"/>
      <c r="K273" s="884"/>
      <c r="L273" s="884"/>
      <c r="M273" s="885"/>
      <c r="N273" s="883"/>
      <c r="O273" s="883"/>
      <c r="P273" s="883"/>
      <c r="Q273" s="886"/>
      <c r="R273" s="886"/>
      <c r="S273" s="886"/>
      <c r="T273" s="884"/>
      <c r="U273" s="884"/>
      <c r="V273" s="887"/>
      <c r="W273" s="883"/>
      <c r="X273" s="888"/>
      <c r="Y273" s="888"/>
      <c r="Z273" s="923"/>
      <c r="AA273" s="923"/>
      <c r="AC273" s="883"/>
      <c r="AD273" s="883"/>
      <c r="AE273" s="883"/>
      <c r="AF273" s="883"/>
      <c r="AG273" s="883"/>
      <c r="AH273" s="884"/>
      <c r="AI273" s="883"/>
      <c r="AJ273" s="883"/>
      <c r="AK273" s="886"/>
      <c r="AL273" s="886"/>
      <c r="AM273" s="883"/>
      <c r="AN273" s="883"/>
      <c r="AO273" s="883"/>
      <c r="AP273" s="883"/>
      <c r="AQ273" s="883"/>
      <c r="AR273" s="883"/>
      <c r="AS273" s="883"/>
      <c r="AT273" s="883"/>
      <c r="AU273" s="883"/>
      <c r="AV273" s="883"/>
      <c r="AW273" s="883"/>
      <c r="AX273" s="883"/>
    </row>
    <row r="274" spans="1:50" s="917" customFormat="1" x14ac:dyDescent="0.55000000000000004">
      <c r="A274" s="883"/>
      <c r="B274" s="883"/>
      <c r="C274" s="884"/>
      <c r="D274" s="884"/>
      <c r="E274" s="884"/>
      <c r="F274" s="884"/>
      <c r="G274" s="883"/>
      <c r="H274" s="883"/>
      <c r="I274" s="883"/>
      <c r="J274" s="884"/>
      <c r="K274" s="884"/>
      <c r="L274" s="884"/>
      <c r="M274" s="885"/>
      <c r="N274" s="883"/>
      <c r="O274" s="883"/>
      <c r="P274" s="883"/>
      <c r="Q274" s="886"/>
      <c r="R274" s="886"/>
      <c r="S274" s="886"/>
      <c r="T274" s="884"/>
      <c r="U274" s="884"/>
      <c r="V274" s="887"/>
      <c r="W274" s="883"/>
      <c r="X274" s="888"/>
      <c r="Y274" s="888"/>
      <c r="Z274" s="921"/>
      <c r="AA274" s="923"/>
      <c r="AC274" s="883"/>
      <c r="AD274" s="883"/>
      <c r="AE274" s="883"/>
      <c r="AF274" s="883"/>
      <c r="AG274" s="883"/>
      <c r="AH274" s="884"/>
      <c r="AI274" s="883"/>
      <c r="AJ274" s="883"/>
      <c r="AK274" s="886"/>
      <c r="AL274" s="886"/>
      <c r="AM274" s="883"/>
      <c r="AN274" s="883"/>
      <c r="AO274" s="883"/>
      <c r="AP274" s="883"/>
      <c r="AQ274" s="883"/>
      <c r="AR274" s="883"/>
      <c r="AS274" s="883"/>
      <c r="AT274" s="883"/>
      <c r="AU274" s="883"/>
      <c r="AV274" s="883"/>
      <c r="AW274" s="883"/>
      <c r="AX274" s="883"/>
    </row>
    <row r="275" spans="1:50" s="917" customFormat="1" x14ac:dyDescent="0.55000000000000004">
      <c r="A275" s="883"/>
      <c r="B275" s="883"/>
      <c r="C275" s="884"/>
      <c r="D275" s="884"/>
      <c r="E275" s="884"/>
      <c r="F275" s="884"/>
      <c r="G275" s="883"/>
      <c r="H275" s="883"/>
      <c r="I275" s="883"/>
      <c r="J275" s="884"/>
      <c r="K275" s="884"/>
      <c r="L275" s="884"/>
      <c r="M275" s="885"/>
      <c r="N275" s="883"/>
      <c r="O275" s="883"/>
      <c r="P275" s="883"/>
      <c r="Q275" s="886"/>
      <c r="R275" s="886"/>
      <c r="S275" s="886"/>
      <c r="T275" s="884"/>
      <c r="U275" s="884"/>
      <c r="V275" s="887"/>
      <c r="W275" s="883"/>
      <c r="X275" s="888"/>
      <c r="Y275" s="888"/>
      <c r="Z275" s="923">
        <f>61*0.4</f>
        <v>24.400000000000002</v>
      </c>
      <c r="AA275" s="923"/>
      <c r="AC275" s="883"/>
      <c r="AD275" s="883"/>
      <c r="AE275" s="883"/>
      <c r="AF275" s="883"/>
      <c r="AG275" s="883"/>
      <c r="AH275" s="884"/>
      <c r="AI275" s="883"/>
      <c r="AJ275" s="883"/>
      <c r="AK275" s="886"/>
      <c r="AL275" s="886"/>
      <c r="AM275" s="883"/>
      <c r="AN275" s="883"/>
      <c r="AO275" s="883"/>
      <c r="AP275" s="883"/>
      <c r="AQ275" s="883"/>
      <c r="AR275" s="883"/>
      <c r="AS275" s="883"/>
      <c r="AT275" s="883"/>
      <c r="AU275" s="883"/>
      <c r="AV275" s="883"/>
      <c r="AW275" s="883"/>
      <c r="AX275" s="883"/>
    </row>
    <row r="276" spans="1:50" s="917" customFormat="1" x14ac:dyDescent="0.55000000000000004">
      <c r="A276" s="883"/>
      <c r="B276" s="883"/>
      <c r="C276" s="884"/>
      <c r="D276" s="884"/>
      <c r="E276" s="884"/>
      <c r="F276" s="884"/>
      <c r="G276" s="883"/>
      <c r="H276" s="883"/>
      <c r="I276" s="883"/>
      <c r="J276" s="884"/>
      <c r="K276" s="884"/>
      <c r="L276" s="884"/>
      <c r="M276" s="885"/>
      <c r="N276" s="883"/>
      <c r="O276" s="883"/>
      <c r="P276" s="883"/>
      <c r="Q276" s="886"/>
      <c r="R276" s="886"/>
      <c r="S276" s="886"/>
      <c r="T276" s="884"/>
      <c r="U276" s="884"/>
      <c r="V276" s="887"/>
      <c r="W276" s="883"/>
      <c r="X276" s="888"/>
      <c r="Y276" s="888"/>
      <c r="Z276" s="923"/>
      <c r="AA276" s="923"/>
      <c r="AC276" s="883"/>
      <c r="AD276" s="883"/>
      <c r="AE276" s="883"/>
      <c r="AF276" s="883"/>
      <c r="AG276" s="883"/>
      <c r="AH276" s="884"/>
      <c r="AI276" s="883"/>
      <c r="AJ276" s="883"/>
      <c r="AK276" s="886"/>
      <c r="AL276" s="886"/>
      <c r="AM276" s="883"/>
      <c r="AN276" s="883"/>
      <c r="AO276" s="883"/>
      <c r="AP276" s="883"/>
      <c r="AQ276" s="883"/>
      <c r="AR276" s="883"/>
      <c r="AS276" s="883"/>
      <c r="AT276" s="883"/>
      <c r="AU276" s="883"/>
      <c r="AV276" s="883"/>
      <c r="AW276" s="883"/>
      <c r="AX276" s="883"/>
    </row>
    <row r="277" spans="1:50" s="917" customFormat="1" x14ac:dyDescent="0.55000000000000004">
      <c r="A277" s="883"/>
      <c r="B277" s="883"/>
      <c r="C277" s="884"/>
      <c r="D277" s="884"/>
      <c r="E277" s="884"/>
      <c r="F277" s="884"/>
      <c r="G277" s="883"/>
      <c r="H277" s="883"/>
      <c r="I277" s="883"/>
      <c r="J277" s="884"/>
      <c r="K277" s="884"/>
      <c r="L277" s="884"/>
      <c r="M277" s="885"/>
      <c r="N277" s="883"/>
      <c r="O277" s="883"/>
      <c r="P277" s="883"/>
      <c r="Q277" s="886"/>
      <c r="R277" s="886"/>
      <c r="S277" s="886"/>
      <c r="T277" s="884"/>
      <c r="U277" s="884"/>
      <c r="V277" s="887"/>
      <c r="W277" s="883"/>
      <c r="X277" s="888"/>
      <c r="Y277" s="888"/>
      <c r="Z277" s="923"/>
      <c r="AA277" s="923"/>
      <c r="AC277" s="883"/>
      <c r="AD277" s="883"/>
      <c r="AE277" s="883"/>
      <c r="AF277" s="883"/>
      <c r="AG277" s="883"/>
      <c r="AH277" s="884"/>
      <c r="AI277" s="883"/>
      <c r="AJ277" s="883"/>
      <c r="AK277" s="886"/>
      <c r="AL277" s="886"/>
      <c r="AM277" s="883"/>
      <c r="AN277" s="883"/>
      <c r="AO277" s="883"/>
      <c r="AP277" s="883"/>
      <c r="AQ277" s="883"/>
      <c r="AR277" s="883"/>
      <c r="AS277" s="883"/>
      <c r="AT277" s="883"/>
      <c r="AU277" s="883"/>
      <c r="AV277" s="883"/>
      <c r="AW277" s="883"/>
      <c r="AX277" s="883"/>
    </row>
    <row r="278" spans="1:50" s="917" customFormat="1" x14ac:dyDescent="0.55000000000000004">
      <c r="A278" s="883"/>
      <c r="B278" s="883"/>
      <c r="C278" s="884"/>
      <c r="D278" s="884"/>
      <c r="E278" s="884"/>
      <c r="F278" s="884"/>
      <c r="G278" s="883"/>
      <c r="H278" s="883"/>
      <c r="I278" s="883"/>
      <c r="J278" s="884"/>
      <c r="K278" s="884"/>
      <c r="L278" s="884"/>
      <c r="M278" s="885"/>
      <c r="N278" s="883"/>
      <c r="O278" s="883"/>
      <c r="P278" s="883"/>
      <c r="Q278" s="886"/>
      <c r="R278" s="886"/>
      <c r="S278" s="886"/>
      <c r="T278" s="884"/>
      <c r="U278" s="884"/>
      <c r="V278" s="887"/>
      <c r="W278" s="883"/>
      <c r="X278" s="888"/>
      <c r="Y278" s="888"/>
      <c r="Z278" s="923"/>
      <c r="AA278" s="923"/>
      <c r="AC278" s="883"/>
      <c r="AD278" s="883"/>
      <c r="AE278" s="883"/>
      <c r="AF278" s="883"/>
      <c r="AG278" s="883"/>
      <c r="AH278" s="884"/>
      <c r="AI278" s="883"/>
      <c r="AJ278" s="883"/>
      <c r="AK278" s="886"/>
      <c r="AL278" s="886"/>
      <c r="AM278" s="883"/>
      <c r="AN278" s="883"/>
      <c r="AO278" s="883"/>
      <c r="AP278" s="883"/>
      <c r="AQ278" s="883"/>
      <c r="AR278" s="883"/>
      <c r="AS278" s="883"/>
      <c r="AT278" s="883"/>
      <c r="AU278" s="883"/>
      <c r="AV278" s="883"/>
      <c r="AW278" s="883"/>
      <c r="AX278" s="883"/>
    </row>
    <row r="279" spans="1:50" s="917" customFormat="1" x14ac:dyDescent="0.55000000000000004">
      <c r="A279" s="883"/>
      <c r="B279" s="883"/>
      <c r="C279" s="884"/>
      <c r="D279" s="884"/>
      <c r="E279" s="884"/>
      <c r="F279" s="884"/>
      <c r="G279" s="883"/>
      <c r="H279" s="883"/>
      <c r="I279" s="883"/>
      <c r="J279" s="884"/>
      <c r="K279" s="884"/>
      <c r="L279" s="884"/>
      <c r="M279" s="885"/>
      <c r="N279" s="883"/>
      <c r="O279" s="883"/>
      <c r="P279" s="883"/>
      <c r="Q279" s="886"/>
      <c r="R279" s="886"/>
      <c r="S279" s="886"/>
      <c r="T279" s="884"/>
      <c r="U279" s="884"/>
      <c r="V279" s="887"/>
      <c r="W279" s="883"/>
      <c r="X279" s="888"/>
      <c r="Y279" s="888"/>
      <c r="Z279" s="923"/>
      <c r="AA279" s="923"/>
      <c r="AC279" s="883"/>
      <c r="AD279" s="883"/>
      <c r="AE279" s="883"/>
      <c r="AF279" s="883"/>
      <c r="AG279" s="883"/>
      <c r="AH279" s="884"/>
      <c r="AI279" s="883"/>
      <c r="AJ279" s="883"/>
      <c r="AK279" s="886"/>
      <c r="AL279" s="886"/>
      <c r="AM279" s="883"/>
      <c r="AN279" s="883"/>
      <c r="AO279" s="883"/>
      <c r="AP279" s="883"/>
      <c r="AQ279" s="883"/>
      <c r="AR279" s="883"/>
      <c r="AS279" s="883"/>
      <c r="AT279" s="883"/>
      <c r="AU279" s="883"/>
      <c r="AV279" s="883"/>
      <c r="AW279" s="883"/>
      <c r="AX279" s="883"/>
    </row>
    <row r="280" spans="1:50" s="917" customFormat="1" x14ac:dyDescent="0.55000000000000004">
      <c r="A280" s="883"/>
      <c r="B280" s="883"/>
      <c r="C280" s="884"/>
      <c r="D280" s="884"/>
      <c r="E280" s="884"/>
      <c r="F280" s="884"/>
      <c r="G280" s="883"/>
      <c r="H280" s="883"/>
      <c r="I280" s="883"/>
      <c r="J280" s="884"/>
      <c r="K280" s="884"/>
      <c r="L280" s="884"/>
      <c r="M280" s="885"/>
      <c r="N280" s="883"/>
      <c r="O280" s="883"/>
      <c r="P280" s="883"/>
      <c r="Q280" s="886"/>
      <c r="R280" s="886"/>
      <c r="S280" s="886"/>
      <c r="T280" s="884"/>
      <c r="U280" s="884"/>
      <c r="V280" s="887"/>
      <c r="W280" s="883"/>
      <c r="X280" s="888"/>
      <c r="Y280" s="888"/>
      <c r="Z280" s="923"/>
      <c r="AA280" s="923"/>
      <c r="AC280" s="883"/>
      <c r="AD280" s="883"/>
      <c r="AE280" s="883"/>
      <c r="AF280" s="883"/>
      <c r="AG280" s="883"/>
      <c r="AH280" s="884"/>
      <c r="AI280" s="883"/>
      <c r="AJ280" s="883"/>
      <c r="AK280" s="886"/>
      <c r="AL280" s="886"/>
      <c r="AM280" s="883"/>
      <c r="AN280" s="883"/>
      <c r="AO280" s="883"/>
      <c r="AP280" s="883"/>
      <c r="AQ280" s="883"/>
      <c r="AR280" s="883"/>
      <c r="AS280" s="883"/>
      <c r="AT280" s="883"/>
      <c r="AU280" s="883"/>
      <c r="AV280" s="883"/>
      <c r="AW280" s="883"/>
      <c r="AX280" s="883"/>
    </row>
    <row r="281" spans="1:50" s="917" customFormat="1" x14ac:dyDescent="0.55000000000000004">
      <c r="A281" s="883"/>
      <c r="B281" s="883"/>
      <c r="C281" s="884"/>
      <c r="D281" s="884"/>
      <c r="E281" s="884"/>
      <c r="F281" s="884"/>
      <c r="G281" s="883"/>
      <c r="H281" s="883"/>
      <c r="I281" s="883"/>
      <c r="J281" s="884"/>
      <c r="K281" s="884"/>
      <c r="L281" s="884"/>
      <c r="M281" s="885"/>
      <c r="N281" s="883"/>
      <c r="O281" s="883"/>
      <c r="P281" s="883"/>
      <c r="Q281" s="886"/>
      <c r="R281" s="886"/>
      <c r="S281" s="886"/>
      <c r="T281" s="884"/>
      <c r="U281" s="884"/>
      <c r="V281" s="887"/>
      <c r="W281" s="883"/>
      <c r="X281" s="888"/>
      <c r="Y281" s="888"/>
      <c r="Z281" s="918">
        <v>92</v>
      </c>
      <c r="AA281" s="923"/>
      <c r="AC281" s="883"/>
      <c r="AD281" s="883"/>
      <c r="AE281" s="883"/>
      <c r="AF281" s="883"/>
      <c r="AG281" s="883"/>
      <c r="AH281" s="884"/>
      <c r="AI281" s="883"/>
      <c r="AJ281" s="883"/>
      <c r="AK281" s="886"/>
      <c r="AL281" s="886"/>
      <c r="AM281" s="883"/>
      <c r="AN281" s="883"/>
      <c r="AO281" s="883"/>
      <c r="AP281" s="883"/>
      <c r="AQ281" s="883"/>
      <c r="AR281" s="883"/>
      <c r="AS281" s="883"/>
      <c r="AT281" s="883"/>
      <c r="AU281" s="883"/>
      <c r="AV281" s="883"/>
      <c r="AW281" s="883"/>
      <c r="AX281" s="883"/>
    </row>
  </sheetData>
  <mergeCells count="86">
    <mergeCell ref="L57:P57"/>
    <mergeCell ref="H64:I64"/>
    <mergeCell ref="H65:I65"/>
    <mergeCell ref="K65:L65"/>
    <mergeCell ref="H66:I66"/>
    <mergeCell ref="AC53:AD53"/>
    <mergeCell ref="AF53:AH53"/>
    <mergeCell ref="AB55:AD55"/>
    <mergeCell ref="I56:K56"/>
    <mergeCell ref="L56:P56"/>
    <mergeCell ref="AB56:AD56"/>
    <mergeCell ref="L51:P51"/>
    <mergeCell ref="AC51:AD51"/>
    <mergeCell ref="AE51:AH51"/>
    <mergeCell ref="H52:I52"/>
    <mergeCell ref="AC52:AD52"/>
    <mergeCell ref="AE52:AH52"/>
    <mergeCell ref="W47:X47"/>
    <mergeCell ref="Y49:Z49"/>
    <mergeCell ref="AC49:AD49"/>
    <mergeCell ref="AE49:AH49"/>
    <mergeCell ref="L50:P50"/>
    <mergeCell ref="AC50:AD50"/>
    <mergeCell ref="AE50:AH50"/>
    <mergeCell ref="O44:P44"/>
    <mergeCell ref="AC44:AD44"/>
    <mergeCell ref="AF46:AH46"/>
    <mergeCell ref="D45:F45"/>
    <mergeCell ref="G45:H45"/>
    <mergeCell ref="J45:M45"/>
    <mergeCell ref="O45:P45"/>
    <mergeCell ref="AC45:AD45"/>
    <mergeCell ref="AE45:AH45"/>
    <mergeCell ref="D46:F46"/>
    <mergeCell ref="G46:H46"/>
    <mergeCell ref="J46:M46"/>
    <mergeCell ref="O46:P46"/>
    <mergeCell ref="AC46:AD46"/>
    <mergeCell ref="AE44:AH44"/>
    <mergeCell ref="D44:F44"/>
    <mergeCell ref="AC42:AD42"/>
    <mergeCell ref="AE42:AH42"/>
    <mergeCell ref="D43:F43"/>
    <mergeCell ref="G43:H43"/>
    <mergeCell ref="J43:M43"/>
    <mergeCell ref="O43:P43"/>
    <mergeCell ref="AC43:AD43"/>
    <mergeCell ref="AE43:AH43"/>
    <mergeCell ref="D42:F42"/>
    <mergeCell ref="G42:H42"/>
    <mergeCell ref="J42:M42"/>
    <mergeCell ref="O42:P42"/>
    <mergeCell ref="R42:S42"/>
    <mergeCell ref="G44:H44"/>
    <mergeCell ref="D41:F41"/>
    <mergeCell ref="G41:H41"/>
    <mergeCell ref="J41:M41"/>
    <mergeCell ref="J44:M44"/>
    <mergeCell ref="O41:P41"/>
    <mergeCell ref="R41:S41"/>
    <mergeCell ref="AK5:AK8"/>
    <mergeCell ref="AM5:AM8"/>
    <mergeCell ref="AN5:AN8"/>
    <mergeCell ref="AO5:AO8"/>
    <mergeCell ref="C6:F7"/>
    <mergeCell ref="G6:M7"/>
    <mergeCell ref="N6:N8"/>
    <mergeCell ref="O6:O8"/>
    <mergeCell ref="P6:P8"/>
    <mergeCell ref="Q6:S7"/>
    <mergeCell ref="AC5:AE7"/>
    <mergeCell ref="AF5:AF8"/>
    <mergeCell ref="AG5:AG8"/>
    <mergeCell ref="AH5:AH8"/>
    <mergeCell ref="AI5:AI8"/>
    <mergeCell ref="AJ5:AJ8"/>
    <mergeCell ref="AB5:AB8"/>
    <mergeCell ref="B5:B8"/>
    <mergeCell ref="C5:P5"/>
    <mergeCell ref="Q5:Y5"/>
    <mergeCell ref="Z5:Z8"/>
    <mergeCell ref="AA5:AA8"/>
    <mergeCell ref="T6:X7"/>
    <mergeCell ref="Y6:Y8"/>
    <mergeCell ref="H8:I8"/>
    <mergeCell ref="K8:L8"/>
  </mergeCells>
  <conditionalFormatting sqref="O10">
    <cfRule type="colorScale" priority="11">
      <colorScale>
        <cfvo type="min"/>
        <cfvo type="max"/>
        <color theme="0"/>
        <color theme="0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9 O1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1:O12 O9">
    <cfRule type="colorScale" priority="23">
      <colorScale>
        <cfvo type="min"/>
        <cfvo type="max"/>
        <color theme="0"/>
        <color theme="0"/>
      </colorScale>
    </cfRule>
  </conditionalFormatting>
  <conditionalFormatting sqref="O13">
    <cfRule type="colorScale" priority="10">
      <colorScale>
        <cfvo type="min"/>
        <cfvo type="max"/>
        <color theme="0"/>
        <color theme="0"/>
      </colorScale>
    </cfRule>
  </conditionalFormatting>
  <conditionalFormatting sqref="O14">
    <cfRule type="colorScale" priority="9">
      <colorScale>
        <cfvo type="min"/>
        <cfvo type="max"/>
        <color theme="0"/>
        <color theme="0"/>
      </colorScale>
    </cfRule>
  </conditionalFormatting>
  <conditionalFormatting sqref="O15">
    <cfRule type="colorScale" priority="8">
      <colorScale>
        <cfvo type="min"/>
        <cfvo type="max"/>
        <color theme="0"/>
        <color theme="0"/>
      </colorScale>
    </cfRule>
  </conditionalFormatting>
  <conditionalFormatting sqref="O16">
    <cfRule type="colorScale" priority="22">
      <colorScale>
        <cfvo type="min"/>
        <cfvo type="max"/>
        <color theme="0"/>
        <color theme="0"/>
      </colorScale>
    </cfRule>
  </conditionalFormatting>
  <conditionalFormatting sqref="O17">
    <cfRule type="colorScale" priority="7">
      <colorScale>
        <cfvo type="min"/>
        <cfvo type="max"/>
        <color theme="0"/>
        <color theme="0"/>
      </colorScale>
    </cfRule>
  </conditionalFormatting>
  <conditionalFormatting sqref="O18:O19">
    <cfRule type="colorScale" priority="6">
      <colorScale>
        <cfvo type="min"/>
        <cfvo type="max"/>
        <color theme="0"/>
        <color theme="0"/>
      </colorScale>
    </cfRule>
  </conditionalFormatting>
  <conditionalFormatting sqref="O20">
    <cfRule type="colorScale" priority="5">
      <colorScale>
        <cfvo type="min"/>
        <cfvo type="max"/>
        <color theme="0"/>
        <color theme="0"/>
      </colorScale>
    </cfRule>
  </conditionalFormatting>
  <conditionalFormatting sqref="O21">
    <cfRule type="colorScale" priority="4">
      <colorScale>
        <cfvo type="min"/>
        <cfvo type="max"/>
        <color theme="0"/>
        <color theme="0"/>
      </colorScale>
    </cfRule>
  </conditionalFormatting>
  <conditionalFormatting sqref="O22">
    <cfRule type="colorScale" priority="3">
      <colorScale>
        <cfvo type="min"/>
        <cfvo type="max"/>
        <color theme="0"/>
        <color theme="0"/>
      </colorScale>
    </cfRule>
  </conditionalFormatting>
  <conditionalFormatting sqref="O23">
    <cfRule type="colorScale" priority="2">
      <colorScale>
        <cfvo type="min"/>
        <cfvo type="max"/>
        <color theme="0"/>
        <color theme="0"/>
      </colorScale>
    </cfRule>
  </conditionalFormatting>
  <conditionalFormatting sqref="O24">
    <cfRule type="colorScale" priority="21">
      <colorScale>
        <cfvo type="min"/>
        <cfvo type="max"/>
        <color theme="0"/>
        <color theme="0"/>
      </colorScale>
    </cfRule>
  </conditionalFormatting>
  <conditionalFormatting sqref="O25">
    <cfRule type="colorScale" priority="20">
      <colorScale>
        <cfvo type="min"/>
        <cfvo type="max"/>
        <color theme="0"/>
        <color theme="0"/>
      </colorScale>
    </cfRule>
  </conditionalFormatting>
  <conditionalFormatting sqref="O26">
    <cfRule type="colorScale" priority="1">
      <colorScale>
        <cfvo type="min"/>
        <cfvo type="max"/>
        <color theme="0"/>
        <color theme="0"/>
      </colorScale>
    </cfRule>
  </conditionalFormatting>
  <conditionalFormatting sqref="O27">
    <cfRule type="colorScale" priority="19">
      <colorScale>
        <cfvo type="min"/>
        <cfvo type="max"/>
        <color theme="0"/>
        <color theme="0"/>
      </colorScale>
    </cfRule>
  </conditionalFormatting>
  <conditionalFormatting sqref="O28">
    <cfRule type="colorScale" priority="18">
      <colorScale>
        <cfvo type="min"/>
        <cfvo type="max"/>
        <color theme="0"/>
        <color theme="0"/>
      </colorScale>
    </cfRule>
  </conditionalFormatting>
  <conditionalFormatting sqref="O29">
    <cfRule type="colorScale" priority="16">
      <colorScale>
        <cfvo type="min"/>
        <cfvo type="max"/>
        <color theme="0"/>
        <color theme="0"/>
      </colorScale>
    </cfRule>
  </conditionalFormatting>
  <conditionalFormatting sqref="O30">
    <cfRule type="colorScale" priority="17">
      <colorScale>
        <cfvo type="min"/>
        <cfvo type="max"/>
        <color theme="0"/>
        <color theme="0"/>
      </colorScale>
    </cfRule>
  </conditionalFormatting>
  <conditionalFormatting sqref="O31">
    <cfRule type="colorScale" priority="15">
      <colorScale>
        <cfvo type="min"/>
        <cfvo type="max"/>
        <color theme="0"/>
        <color theme="0"/>
      </colorScale>
    </cfRule>
  </conditionalFormatting>
  <conditionalFormatting sqref="O32:O37">
    <cfRule type="colorScale" priority="14">
      <colorScale>
        <cfvo type="min"/>
        <cfvo type="max"/>
        <color theme="0"/>
        <color theme="0"/>
      </colorScale>
    </cfRule>
  </conditionalFormatting>
  <conditionalFormatting sqref="O38">
    <cfRule type="colorScale" priority="13">
      <colorScale>
        <cfvo type="min"/>
        <cfvo type="max"/>
        <color theme="0"/>
        <color theme="0"/>
      </colorScale>
    </cfRule>
  </conditionalFormatting>
  <printOptions horizontalCentered="1"/>
  <pageMargins left="0.11811023622047245" right="0.11811023622047245" top="0.15748031496062992" bottom="0.19685039370078741" header="0.31496062992125984" footer="0.31496062992125984"/>
  <pageSetup paperSize="8" scale="28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2:K62"/>
  <sheetViews>
    <sheetView workbookViewId="0">
      <selection activeCell="H15" sqref="H15"/>
    </sheetView>
  </sheetViews>
  <sheetFormatPr defaultRowHeight="14.4" x14ac:dyDescent="0.55000000000000004"/>
  <cols>
    <col min="5" max="5" width="8" bestFit="1" customWidth="1"/>
    <col min="9" max="9" width="12.15625" bestFit="1" customWidth="1"/>
  </cols>
  <sheetData>
    <row r="12" spans="4:11" x14ac:dyDescent="0.55000000000000004">
      <c r="E12" s="665"/>
      <c r="F12" s="665"/>
      <c r="G12" s="665"/>
      <c r="I12" s="665"/>
      <c r="J12" s="665"/>
      <c r="K12" s="665"/>
    </row>
    <row r="13" spans="4:11" x14ac:dyDescent="0.55000000000000004">
      <c r="D13" s="704" t="s">
        <v>185</v>
      </c>
      <c r="E13" s="705">
        <v>30</v>
      </c>
      <c r="F13" s="665"/>
      <c r="G13" s="665"/>
      <c r="H13" s="839">
        <v>720000</v>
      </c>
    </row>
    <row r="14" spans="4:11" x14ac:dyDescent="0.55000000000000004">
      <c r="D14" s="704" t="s">
        <v>185</v>
      </c>
      <c r="E14" s="705">
        <v>30</v>
      </c>
      <c r="H14">
        <f>H13/29</f>
        <v>24827.586206896551</v>
      </c>
    </row>
    <row r="15" spans="4:11" x14ac:dyDescent="0.55000000000000004">
      <c r="D15" s="704" t="s">
        <v>185</v>
      </c>
      <c r="E15" s="705">
        <v>30</v>
      </c>
      <c r="H15" s="784"/>
    </row>
    <row r="16" spans="4:11" x14ac:dyDescent="0.55000000000000004">
      <c r="D16" s="704" t="s">
        <v>185</v>
      </c>
      <c r="E16" s="705">
        <v>30</v>
      </c>
      <c r="H16" s="784"/>
    </row>
    <row r="17" spans="4:9" x14ac:dyDescent="0.55000000000000004">
      <c r="D17" s="704" t="s">
        <v>185</v>
      </c>
      <c r="E17" s="705">
        <v>30</v>
      </c>
    </row>
    <row r="18" spans="4:9" x14ac:dyDescent="0.55000000000000004">
      <c r="D18" s="704" t="s">
        <v>185</v>
      </c>
      <c r="E18" s="705">
        <v>30</v>
      </c>
    </row>
    <row r="19" spans="4:9" x14ac:dyDescent="0.55000000000000004">
      <c r="D19" s="704" t="s">
        <v>185</v>
      </c>
      <c r="E19" s="705">
        <v>30</v>
      </c>
      <c r="F19" s="665"/>
    </row>
    <row r="20" spans="4:9" x14ac:dyDescent="0.55000000000000004">
      <c r="D20" s="704" t="s">
        <v>185</v>
      </c>
      <c r="E20" s="705">
        <v>30</v>
      </c>
      <c r="F20" s="665"/>
    </row>
    <row r="21" spans="4:9" x14ac:dyDescent="0.55000000000000004">
      <c r="D21" s="704" t="s">
        <v>185</v>
      </c>
      <c r="E21" s="705">
        <v>30</v>
      </c>
      <c r="F21" s="665"/>
      <c r="H21" s="665"/>
      <c r="I21" s="785"/>
    </row>
    <row r="22" spans="4:9" x14ac:dyDescent="0.55000000000000004">
      <c r="D22" s="704" t="s">
        <v>185</v>
      </c>
      <c r="E22" s="705">
        <v>30</v>
      </c>
      <c r="F22" s="665"/>
    </row>
    <row r="23" spans="4:9" x14ac:dyDescent="0.55000000000000004">
      <c r="D23" s="704" t="s">
        <v>185</v>
      </c>
      <c r="E23" s="705">
        <v>30</v>
      </c>
      <c r="F23" s="665"/>
    </row>
    <row r="24" spans="4:9" x14ac:dyDescent="0.55000000000000004">
      <c r="D24" s="704" t="s">
        <v>185</v>
      </c>
      <c r="E24" s="705">
        <v>30</v>
      </c>
      <c r="F24" s="665"/>
    </row>
    <row r="25" spans="4:9" x14ac:dyDescent="0.55000000000000004">
      <c r="D25" s="704" t="s">
        <v>185</v>
      </c>
      <c r="E25" s="705">
        <v>30</v>
      </c>
      <c r="F25" s="665"/>
    </row>
    <row r="26" spans="4:9" x14ac:dyDescent="0.55000000000000004">
      <c r="D26" s="704" t="s">
        <v>184</v>
      </c>
      <c r="E26" s="705">
        <v>30</v>
      </c>
    </row>
    <row r="27" spans="4:9" x14ac:dyDescent="0.55000000000000004">
      <c r="D27" s="704" t="s">
        <v>184</v>
      </c>
      <c r="E27" s="705">
        <v>30</v>
      </c>
    </row>
    <row r="28" spans="4:9" x14ac:dyDescent="0.55000000000000004">
      <c r="D28" s="704" t="s">
        <v>184</v>
      </c>
      <c r="E28" s="705">
        <v>30</v>
      </c>
    </row>
    <row r="29" spans="4:9" x14ac:dyDescent="0.55000000000000004">
      <c r="D29" s="704" t="s">
        <v>184</v>
      </c>
      <c r="E29" s="705">
        <v>30</v>
      </c>
    </row>
    <row r="30" spans="4:9" x14ac:dyDescent="0.55000000000000004">
      <c r="D30" s="704" t="s">
        <v>184</v>
      </c>
      <c r="E30" s="705">
        <v>30</v>
      </c>
    </row>
    <row r="31" spans="4:9" x14ac:dyDescent="0.55000000000000004">
      <c r="D31" s="704" t="s">
        <v>184</v>
      </c>
      <c r="E31" s="705">
        <v>30</v>
      </c>
    </row>
    <row r="32" spans="4:9" x14ac:dyDescent="0.55000000000000004">
      <c r="D32" s="704" t="s">
        <v>184</v>
      </c>
      <c r="E32" s="705">
        <v>30</v>
      </c>
    </row>
    <row r="33" spans="4:5" x14ac:dyDescent="0.55000000000000004">
      <c r="D33" s="704" t="s">
        <v>184</v>
      </c>
      <c r="E33" s="705">
        <v>30</v>
      </c>
    </row>
    <row r="34" spans="4:5" x14ac:dyDescent="0.55000000000000004">
      <c r="D34" s="704" t="s">
        <v>184</v>
      </c>
      <c r="E34" s="705">
        <v>30</v>
      </c>
    </row>
    <row r="35" spans="4:5" x14ac:dyDescent="0.55000000000000004">
      <c r="D35" s="704" t="s">
        <v>184</v>
      </c>
      <c r="E35" s="705">
        <v>30</v>
      </c>
    </row>
    <row r="36" spans="4:5" x14ac:dyDescent="0.55000000000000004">
      <c r="D36" s="704" t="s">
        <v>184</v>
      </c>
      <c r="E36" s="705">
        <v>30</v>
      </c>
    </row>
    <row r="37" spans="4:5" x14ac:dyDescent="0.55000000000000004">
      <c r="D37" s="704" t="s">
        <v>184</v>
      </c>
      <c r="E37" s="705">
        <v>30</v>
      </c>
    </row>
    <row r="38" spans="4:5" x14ac:dyDescent="0.55000000000000004">
      <c r="D38" s="704" t="s">
        <v>184</v>
      </c>
      <c r="E38" s="705">
        <v>30</v>
      </c>
    </row>
    <row r="39" spans="4:5" x14ac:dyDescent="0.55000000000000004">
      <c r="D39" s="704" t="s">
        <v>184</v>
      </c>
      <c r="E39" s="705">
        <v>30</v>
      </c>
    </row>
    <row r="40" spans="4:5" x14ac:dyDescent="0.55000000000000004">
      <c r="D40" s="704" t="s">
        <v>183</v>
      </c>
      <c r="E40" s="705">
        <v>30</v>
      </c>
    </row>
    <row r="41" spans="4:5" x14ac:dyDescent="0.55000000000000004">
      <c r="D41" s="704" t="s">
        <v>183</v>
      </c>
      <c r="E41" s="705">
        <v>30</v>
      </c>
    </row>
    <row r="42" spans="4:5" x14ac:dyDescent="0.55000000000000004">
      <c r="D42" s="704" t="s">
        <v>183</v>
      </c>
      <c r="E42" s="705">
        <v>30</v>
      </c>
    </row>
    <row r="43" spans="4:5" x14ac:dyDescent="0.55000000000000004">
      <c r="D43" s="704" t="s">
        <v>183</v>
      </c>
      <c r="E43" s="705">
        <v>30</v>
      </c>
    </row>
    <row r="44" spans="4:5" x14ac:dyDescent="0.55000000000000004">
      <c r="D44" s="704" t="s">
        <v>183</v>
      </c>
      <c r="E44" s="705">
        <v>30</v>
      </c>
    </row>
    <row r="45" spans="4:5" x14ac:dyDescent="0.55000000000000004">
      <c r="D45" s="704" t="s">
        <v>183</v>
      </c>
      <c r="E45" s="705">
        <v>30</v>
      </c>
    </row>
    <row r="46" spans="4:5" x14ac:dyDescent="0.55000000000000004">
      <c r="D46" s="704" t="s">
        <v>183</v>
      </c>
      <c r="E46" s="705">
        <v>30</v>
      </c>
    </row>
    <row r="47" spans="4:5" x14ac:dyDescent="0.55000000000000004">
      <c r="D47" s="704" t="s">
        <v>183</v>
      </c>
      <c r="E47" s="705">
        <v>30</v>
      </c>
    </row>
    <row r="48" spans="4:5" x14ac:dyDescent="0.55000000000000004">
      <c r="D48" s="704" t="s">
        <v>183</v>
      </c>
      <c r="E48" s="705">
        <v>30</v>
      </c>
    </row>
    <row r="49" spans="4:5" x14ac:dyDescent="0.55000000000000004">
      <c r="D49" s="704" t="s">
        <v>183</v>
      </c>
      <c r="E49" s="705">
        <v>30</v>
      </c>
    </row>
    <row r="50" spans="4:5" x14ac:dyDescent="0.55000000000000004">
      <c r="D50" s="704" t="s">
        <v>183</v>
      </c>
      <c r="E50" s="705">
        <v>30</v>
      </c>
    </row>
    <row r="51" spans="4:5" x14ac:dyDescent="0.55000000000000004">
      <c r="D51" s="704" t="s">
        <v>183</v>
      </c>
      <c r="E51" s="705">
        <v>30</v>
      </c>
    </row>
    <row r="52" spans="4:5" x14ac:dyDescent="0.55000000000000004">
      <c r="D52" s="704" t="s">
        <v>183</v>
      </c>
      <c r="E52" s="705">
        <v>30</v>
      </c>
    </row>
    <row r="53" spans="4:5" x14ac:dyDescent="0.55000000000000004">
      <c r="D53" s="704" t="s">
        <v>183</v>
      </c>
      <c r="E53" s="705">
        <v>30</v>
      </c>
    </row>
    <row r="54" spans="4:5" x14ac:dyDescent="0.55000000000000004">
      <c r="D54" s="704" t="s">
        <v>183</v>
      </c>
      <c r="E54" s="705">
        <v>30</v>
      </c>
    </row>
    <row r="55" spans="4:5" x14ac:dyDescent="0.55000000000000004">
      <c r="D55" s="704" t="s">
        <v>183</v>
      </c>
      <c r="E55" s="705">
        <v>30</v>
      </c>
    </row>
    <row r="59" spans="4:5" x14ac:dyDescent="0.55000000000000004">
      <c r="D59" s="665"/>
    </row>
    <row r="60" spans="4:5" x14ac:dyDescent="0.55000000000000004">
      <c r="D60" s="665"/>
    </row>
    <row r="61" spans="4:5" x14ac:dyDescent="0.55000000000000004">
      <c r="D61" s="665"/>
    </row>
    <row r="62" spans="4:5" x14ac:dyDescent="0.55000000000000004">
      <c r="D62" s="665"/>
    </row>
  </sheetData>
  <sortState ref="D12:D59">
    <sortCondition ref="D11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8</vt:i4>
      </vt:variant>
    </vt:vector>
  </HeadingPairs>
  <TitlesOfParts>
    <vt:vector size="23" baseType="lpstr">
      <vt:lpstr>Daily All PIT</vt:lpstr>
      <vt:lpstr>Fleet.1</vt:lpstr>
      <vt:lpstr>PIT GAR 42</vt:lpstr>
      <vt:lpstr>Sheet1</vt:lpstr>
      <vt:lpstr>Sheet2</vt:lpstr>
      <vt:lpstr>Sheet4</vt:lpstr>
      <vt:lpstr>42</vt:lpstr>
      <vt:lpstr>Sheet3</vt:lpstr>
      <vt:lpstr>Sheet5</vt:lpstr>
      <vt:lpstr>Sheet6</vt:lpstr>
      <vt:lpstr>55 REV-</vt:lpstr>
      <vt:lpstr>50 REV</vt:lpstr>
      <vt:lpstr>50 -ed</vt:lpstr>
      <vt:lpstr>55 -ed</vt:lpstr>
      <vt:lpstr>Sheet7</vt:lpstr>
      <vt:lpstr>'42'!Print_Area</vt:lpstr>
      <vt:lpstr>'50 -ed'!Print_Area</vt:lpstr>
      <vt:lpstr>'50 REV'!Print_Area</vt:lpstr>
      <vt:lpstr>'55 -ed'!Print_Area</vt:lpstr>
      <vt:lpstr>'55 REV-'!Print_Area</vt:lpstr>
      <vt:lpstr>'Daily All PIT'!Print_Area</vt:lpstr>
      <vt:lpstr>Fleet.1!Print_Area</vt:lpstr>
      <vt:lpstr>'PIT GAR 42'!Print_Area</vt:lpstr>
    </vt:vector>
  </TitlesOfParts>
  <Company>home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meeting room</cp:lastModifiedBy>
  <cp:lastPrinted>2024-08-13T02:36:57Z</cp:lastPrinted>
  <dcterms:created xsi:type="dcterms:W3CDTF">2015-08-13T09:11:52Z</dcterms:created>
  <dcterms:modified xsi:type="dcterms:W3CDTF">2024-08-13T04:08:41Z</dcterms:modified>
</cp:coreProperties>
</file>