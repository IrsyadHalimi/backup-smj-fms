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1970" yWindow="0" windowWidth="12030" windowHeight="9660" firstSheet="2" activeTab="4"/>
  </bookViews>
  <sheets>
    <sheet name="Sheet1" sheetId="4" state="hidden" r:id="rId1"/>
    <sheet name="Sheet3" sheetId="3" state="hidden" r:id="rId2"/>
    <sheet name="fleet" sheetId="7" r:id="rId3"/>
    <sheet name="12" sheetId="1" r:id="rId4"/>
    <sheet name="SUMMARY" sheetId="8" r:id="rId5"/>
    <sheet name="Sheet2" sheetId="9" r:id="rId6"/>
  </sheets>
  <externalReferences>
    <externalReference r:id="rId7"/>
  </externalReferences>
  <definedNames>
    <definedName name="_xlnm._FilterDatabase" localSheetId="3" hidden="1">'12'!$A$1:$AA$2</definedName>
    <definedName name="_xlnm.Print_Area" localSheetId="3">'12'!$A$3:$Z$49</definedName>
    <definedName name="_xlnm.Print_Area" localSheetId="1">Sheet3!$A$1:$V$35</definedName>
  </definedNames>
  <calcPr calcId="144525" calcMode="manual"/>
</workbook>
</file>

<file path=xl/calcChain.xml><?xml version="1.0" encoding="utf-8"?>
<calcChain xmlns="http://schemas.openxmlformats.org/spreadsheetml/2006/main">
  <c r="J28" i="1" l="1"/>
  <c r="G35" i="7"/>
  <c r="J30" i="1"/>
  <c r="G33" i="7"/>
  <c r="J35" i="1"/>
  <c r="G39" i="7"/>
  <c r="J23" i="1"/>
  <c r="G31" i="7"/>
  <c r="Y33" i="1"/>
  <c r="B34" i="1"/>
  <c r="J33" i="1"/>
  <c r="G40" i="7"/>
  <c r="J16" i="1"/>
  <c r="G21" i="7"/>
  <c r="J18" i="1"/>
  <c r="G17" i="7"/>
  <c r="J14" i="1"/>
  <c r="G16" i="7"/>
  <c r="J12" i="1"/>
  <c r="G19" i="7"/>
  <c r="J8" i="1"/>
  <c r="G11" i="7"/>
  <c r="A10" i="7" l="1"/>
  <c r="A11" i="7"/>
  <c r="A12" i="7"/>
  <c r="A13" i="7"/>
  <c r="A14" i="7"/>
  <c r="A15" i="7"/>
  <c r="A16" i="7"/>
  <c r="A17" i="7"/>
  <c r="A18" i="7"/>
  <c r="A19" i="7"/>
  <c r="A20" i="7"/>
  <c r="A21" i="7"/>
  <c r="A9" i="7" l="1"/>
  <c r="A28" i="7" l="1"/>
  <c r="A29" i="7"/>
  <c r="A30" i="7"/>
  <c r="A31" i="7"/>
  <c r="A32" i="7"/>
  <c r="A33" i="7"/>
  <c r="A34" i="7"/>
  <c r="A35" i="7"/>
  <c r="A36" i="7"/>
  <c r="A37" i="7"/>
  <c r="A38" i="7"/>
  <c r="A39" i="7"/>
  <c r="A40" i="7"/>
  <c r="A27" i="7"/>
  <c r="P33" i="8" l="1"/>
  <c r="F21" i="8" l="1"/>
  <c r="G21" i="8"/>
  <c r="F6" i="8"/>
  <c r="G6" i="8"/>
  <c r="F10" i="8"/>
  <c r="F9" i="8"/>
  <c r="F7" i="8"/>
  <c r="F14" i="8"/>
  <c r="F8" i="8"/>
  <c r="G22" i="7" l="1"/>
  <c r="G41" i="7" l="1"/>
  <c r="G28" i="8" l="1"/>
  <c r="F28" i="8"/>
  <c r="G22" i="8"/>
  <c r="F22" i="8"/>
  <c r="G25" i="8"/>
  <c r="F25" i="8"/>
  <c r="G24" i="8"/>
  <c r="F24" i="8"/>
  <c r="G29" i="8"/>
  <c r="F29" i="8"/>
  <c r="G23" i="8"/>
  <c r="F23" i="8"/>
  <c r="G9" i="8"/>
  <c r="G7" i="8"/>
  <c r="G14" i="8"/>
  <c r="G10" i="8"/>
  <c r="G13" i="8"/>
  <c r="G8" i="8"/>
  <c r="G26" i="8" l="1"/>
  <c r="G11" i="8"/>
  <c r="G30" i="8"/>
  <c r="G15" i="8"/>
  <c r="F31" i="7" l="1"/>
  <c r="K23" i="1" s="1"/>
  <c r="H22" i="8" l="1"/>
  <c r="J37" i="1"/>
  <c r="J20" i="1" l="1"/>
  <c r="D10" i="1" l="1"/>
  <c r="K13" i="8" s="1"/>
  <c r="B11" i="1"/>
  <c r="D16" i="1"/>
  <c r="B17" i="1"/>
  <c r="D18" i="1"/>
  <c r="B19" i="1"/>
  <c r="D8" i="1"/>
  <c r="B9" i="1"/>
  <c r="D12" i="1"/>
  <c r="B13" i="1"/>
  <c r="D14" i="1"/>
  <c r="K14" i="8" s="1"/>
  <c r="B15" i="1"/>
  <c r="D6" i="1"/>
  <c r="K6" i="8" s="1"/>
  <c r="B7" i="1"/>
  <c r="I6" i="8" l="1"/>
  <c r="K15" i="8"/>
  <c r="K10" i="8"/>
  <c r="I10" i="8" s="1"/>
  <c r="I13" i="8"/>
  <c r="K8" i="8"/>
  <c r="I8" i="8" s="1"/>
  <c r="I14" i="8"/>
  <c r="K7" i="8"/>
  <c r="K9" i="8"/>
  <c r="I9" i="8" s="1"/>
  <c r="C37" i="1"/>
  <c r="I7" i="8" l="1"/>
  <c r="K11" i="8"/>
  <c r="D4" i="9"/>
  <c r="I15" i="8" l="1"/>
  <c r="G31" i="8" l="1"/>
  <c r="G16" i="8"/>
  <c r="I11" i="8"/>
  <c r="I16" i="8" s="1"/>
  <c r="M15" i="8"/>
  <c r="G33" i="8" l="1"/>
  <c r="K16" i="8"/>
  <c r="R6" i="8" s="1"/>
  <c r="M11" i="8"/>
  <c r="M16" i="8" l="1"/>
  <c r="I37" i="1" l="1"/>
  <c r="L37" i="1"/>
  <c r="M37" i="1"/>
  <c r="N37" i="1"/>
  <c r="H37" i="1"/>
  <c r="F35" i="7" l="1"/>
  <c r="K28" i="1" s="1"/>
  <c r="H29" i="8" s="1"/>
  <c r="J29" i="8" s="1"/>
  <c r="F11" i="7" l="1"/>
  <c r="K8" i="1" s="1"/>
  <c r="H7" i="8" s="1"/>
  <c r="F14" i="7"/>
  <c r="K10" i="1" s="1"/>
  <c r="H13" i="8" s="1"/>
  <c r="J7" i="8" l="1"/>
  <c r="R18" i="1"/>
  <c r="D35" i="1"/>
  <c r="B36" i="1"/>
  <c r="R35" i="1"/>
  <c r="K24" i="8" l="1"/>
  <c r="I24" i="8" s="1"/>
  <c r="L7" i="8"/>
  <c r="P18" i="1"/>
  <c r="M8" i="8" s="1"/>
  <c r="S35" i="1"/>
  <c r="W35" i="1"/>
  <c r="E35" i="1"/>
  <c r="O35" i="1"/>
  <c r="G35" i="1"/>
  <c r="P35" i="1"/>
  <c r="M24" i="8" s="1"/>
  <c r="S18" i="1"/>
  <c r="W18" i="1"/>
  <c r="E18" i="1"/>
  <c r="O18" i="1"/>
  <c r="G18" i="1"/>
  <c r="Y18" i="1" l="1"/>
  <c r="O8" i="8" s="1"/>
  <c r="Y35" i="1"/>
  <c r="O24" i="8" s="1"/>
  <c r="F40" i="7" l="1"/>
  <c r="K33" i="1" s="1"/>
  <c r="H23" i="8" s="1"/>
  <c r="F39" i="7"/>
  <c r="K35" i="1" s="1"/>
  <c r="H24" i="8" s="1"/>
  <c r="F38" i="7"/>
  <c r="F37" i="7"/>
  <c r="F36" i="7"/>
  <c r="F34" i="7"/>
  <c r="K25" i="1" s="1"/>
  <c r="H28" i="8" s="1"/>
  <c r="J28" i="8" s="1"/>
  <c r="F33" i="7"/>
  <c r="K30" i="1" s="1"/>
  <c r="H25" i="8" s="1"/>
  <c r="J25" i="8" s="1"/>
  <c r="F32" i="7"/>
  <c r="F30" i="7"/>
  <c r="F29" i="7"/>
  <c r="F28" i="7"/>
  <c r="F27" i="7"/>
  <c r="K21" i="1" s="1"/>
  <c r="H21" i="8" s="1"/>
  <c r="J21" i="8" s="1"/>
  <c r="H26" i="8" l="1"/>
  <c r="H30" i="8"/>
  <c r="J24" i="8"/>
  <c r="L24" i="8" s="1"/>
  <c r="J23" i="8"/>
  <c r="J30" i="8"/>
  <c r="J22" i="8"/>
  <c r="F41" i="7"/>
  <c r="Q35" i="1"/>
  <c r="N24" i="8" s="1"/>
  <c r="X35" i="1"/>
  <c r="J26" i="8" l="1"/>
  <c r="J31" i="8" s="1"/>
  <c r="H31" i="8"/>
  <c r="T35" i="1"/>
  <c r="U35" i="1" s="1"/>
  <c r="F9" i="7"/>
  <c r="F10" i="7"/>
  <c r="F12" i="7"/>
  <c r="F13" i="7"/>
  <c r="F15" i="7"/>
  <c r="F16" i="7"/>
  <c r="F17" i="7"/>
  <c r="K18" i="1" s="1"/>
  <c r="H8" i="8" s="1"/>
  <c r="F18" i="7"/>
  <c r="F19" i="7"/>
  <c r="K12" i="1" s="1"/>
  <c r="F20" i="7"/>
  <c r="F21" i="7"/>
  <c r="K16" i="1" s="1"/>
  <c r="F8" i="7"/>
  <c r="K6" i="1" s="1"/>
  <c r="H6" i="8" s="1"/>
  <c r="J6" i="8" s="1"/>
  <c r="L6" i="8" s="1"/>
  <c r="H10" i="8" l="1"/>
  <c r="J10" i="8" s="1"/>
  <c r="L10" i="8" s="1"/>
  <c r="H9" i="8"/>
  <c r="J9" i="8" s="1"/>
  <c r="L9" i="8" s="1"/>
  <c r="K14" i="1"/>
  <c r="H14" i="8" s="1"/>
  <c r="J14" i="8" s="1"/>
  <c r="L14" i="8" s="1"/>
  <c r="F22" i="7"/>
  <c r="J8" i="8"/>
  <c r="J13" i="8"/>
  <c r="L13" i="8" s="1"/>
  <c r="T18" i="1"/>
  <c r="U18" i="1" s="1"/>
  <c r="Q18" i="1"/>
  <c r="N8" i="8" s="1"/>
  <c r="X18" i="1"/>
  <c r="T16" i="1"/>
  <c r="D33" i="1"/>
  <c r="K23" i="8" s="1"/>
  <c r="D30" i="1"/>
  <c r="K25" i="8" s="1"/>
  <c r="D28" i="1"/>
  <c r="K29" i="8" s="1"/>
  <c r="D25" i="1"/>
  <c r="D23" i="1"/>
  <c r="D21" i="1"/>
  <c r="K21" i="8" s="1"/>
  <c r="B31" i="1"/>
  <c r="B29" i="1"/>
  <c r="B26" i="1"/>
  <c r="B24" i="1"/>
  <c r="B22" i="1"/>
  <c r="K28" i="8" l="1"/>
  <c r="I28" i="8" s="1"/>
  <c r="O25" i="1"/>
  <c r="K22" i="8"/>
  <c r="I22" i="8" s="1"/>
  <c r="Q23" i="1"/>
  <c r="L21" i="8"/>
  <c r="I21" i="8"/>
  <c r="L8" i="8"/>
  <c r="J11" i="8"/>
  <c r="H11" i="8"/>
  <c r="N11" i="8" s="1"/>
  <c r="H15" i="8"/>
  <c r="N15" i="8" s="1"/>
  <c r="I29" i="8"/>
  <c r="L29" i="8"/>
  <c r="K30" i="8"/>
  <c r="J15" i="8"/>
  <c r="L15" i="8" s="1"/>
  <c r="L28" i="8"/>
  <c r="I25" i="8"/>
  <c r="L25" i="8"/>
  <c r="I23" i="8"/>
  <c r="L23" i="8"/>
  <c r="K37" i="1"/>
  <c r="D37" i="1"/>
  <c r="D20" i="1"/>
  <c r="X28" i="1"/>
  <c r="L22" i="8" l="1"/>
  <c r="K26" i="8"/>
  <c r="M26" i="8" s="1"/>
  <c r="I26" i="8"/>
  <c r="H16" i="8"/>
  <c r="H33" i="8" s="1"/>
  <c r="I30" i="8"/>
  <c r="N30" i="8"/>
  <c r="M30" i="8"/>
  <c r="L30" i="8"/>
  <c r="N26" i="8"/>
  <c r="J16" i="8"/>
  <c r="L11" i="8"/>
  <c r="X10" i="1"/>
  <c r="K31" i="8" l="1"/>
  <c r="R21" i="8" s="1"/>
  <c r="L26" i="8"/>
  <c r="I31" i="8"/>
  <c r="I33" i="8" s="1"/>
  <c r="N16" i="8"/>
  <c r="M31" i="8"/>
  <c r="L31" i="8"/>
  <c r="N31" i="8"/>
  <c r="K33" i="8"/>
  <c r="R33" i="8" s="1"/>
  <c r="J33" i="8"/>
  <c r="L16" i="8"/>
  <c r="X21" i="1"/>
  <c r="M33" i="8" l="1"/>
  <c r="L33" i="8"/>
  <c r="N33" i="8"/>
  <c r="X25" i="1"/>
  <c r="X33" i="1"/>
  <c r="X30" i="1"/>
  <c r="L24" i="3" l="1"/>
  <c r="I24" i="3"/>
  <c r="H24" i="3"/>
  <c r="G24" i="3"/>
  <c r="E24" i="3"/>
  <c r="C24" i="3"/>
  <c r="M21" i="3"/>
  <c r="Q21" i="3" s="1"/>
  <c r="J21" i="3"/>
  <c r="D21" i="3"/>
  <c r="O20" i="3"/>
  <c r="M19" i="3"/>
  <c r="Q19" i="3" s="1"/>
  <c r="J19" i="3"/>
  <c r="D19" i="3"/>
  <c r="O18" i="3"/>
  <c r="M17" i="3"/>
  <c r="Q17" i="3" s="1"/>
  <c r="J17" i="3"/>
  <c r="D17" i="3"/>
  <c r="X15" i="3"/>
  <c r="T15" i="3"/>
  <c r="P15" i="3"/>
  <c r="U15" i="3" s="1"/>
  <c r="O15" i="3"/>
  <c r="N15" i="3"/>
  <c r="M15" i="3"/>
  <c r="Q15" i="3" s="1"/>
  <c r="F15" i="3"/>
  <c r="K14" i="3"/>
  <c r="G14" i="3"/>
  <c r="E14" i="3"/>
  <c r="C14" i="3"/>
  <c r="M14" i="3" s="1"/>
  <c r="M12" i="3"/>
  <c r="Q12" i="3" s="1"/>
  <c r="J12" i="3"/>
  <c r="D12" i="3"/>
  <c r="F11" i="3"/>
  <c r="M10" i="3"/>
  <c r="Q10" i="3" s="1"/>
  <c r="J10" i="3"/>
  <c r="D10" i="3"/>
  <c r="T8" i="3"/>
  <c r="P8" i="3"/>
  <c r="U8" i="3" s="1"/>
  <c r="O8" i="3"/>
  <c r="N8" i="3"/>
  <c r="M8" i="3"/>
  <c r="Q8" i="3" s="1"/>
  <c r="R8" i="3" s="1"/>
  <c r="F8" i="3"/>
  <c r="F7" i="3"/>
  <c r="M6" i="3"/>
  <c r="Q6" i="3" s="1"/>
  <c r="J6" i="3"/>
  <c r="D6" i="3"/>
  <c r="J35" i="4"/>
  <c r="J34" i="4"/>
  <c r="J33" i="4"/>
  <c r="J32" i="4"/>
  <c r="J31" i="4"/>
  <c r="J30" i="4"/>
  <c r="J29" i="4"/>
  <c r="J28" i="4"/>
  <c r="J27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M10" i="4"/>
  <c r="J10" i="4"/>
  <c r="J9" i="4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J8" i="4"/>
  <c r="D5" i="4"/>
  <c r="T33" i="1"/>
  <c r="R33" i="1"/>
  <c r="P33" i="1"/>
  <c r="M23" i="8" s="1"/>
  <c r="T30" i="1"/>
  <c r="U30" i="1" s="1"/>
  <c r="Q30" i="1"/>
  <c r="N25" i="8" s="1"/>
  <c r="W30" i="1"/>
  <c r="T28" i="1"/>
  <c r="U28" i="1" s="1"/>
  <c r="R28" i="1"/>
  <c r="S28" i="1" s="1"/>
  <c r="Q28" i="1"/>
  <c r="N29" i="8" s="1"/>
  <c r="P28" i="1"/>
  <c r="M29" i="8" s="1"/>
  <c r="O28" i="1"/>
  <c r="E28" i="1"/>
  <c r="T25" i="1"/>
  <c r="R25" i="1"/>
  <c r="P25" i="1"/>
  <c r="M28" i="8" s="1"/>
  <c r="R23" i="1"/>
  <c r="P23" i="1"/>
  <c r="M22" i="8" s="1"/>
  <c r="O23" i="1"/>
  <c r="E23" i="1"/>
  <c r="F37" i="1"/>
  <c r="T21" i="1"/>
  <c r="R21" i="1"/>
  <c r="P21" i="1"/>
  <c r="M21" i="8" s="1"/>
  <c r="M20" i="1"/>
  <c r="L20" i="1"/>
  <c r="K20" i="1"/>
  <c r="I20" i="1"/>
  <c r="H20" i="1"/>
  <c r="F20" i="1"/>
  <c r="U16" i="1"/>
  <c r="R16" i="1"/>
  <c r="X16" i="1"/>
  <c r="C16" i="1"/>
  <c r="C20" i="1" s="1"/>
  <c r="Q15" i="1"/>
  <c r="P15" i="1"/>
  <c r="N15" i="1"/>
  <c r="R15" i="1" s="1"/>
  <c r="S15" i="1" s="1"/>
  <c r="T14" i="1"/>
  <c r="U14" i="1" s="1"/>
  <c r="T12" i="1"/>
  <c r="R12" i="1"/>
  <c r="P12" i="1"/>
  <c r="M10" i="8" s="1"/>
  <c r="T10" i="1"/>
  <c r="R10" i="1"/>
  <c r="T8" i="1"/>
  <c r="R8" i="1"/>
  <c r="P8" i="1"/>
  <c r="M7" i="8" s="1"/>
  <c r="T6" i="1"/>
  <c r="R6" i="1"/>
  <c r="M24" i="3" l="1"/>
  <c r="Q14" i="3"/>
  <c r="J37" i="4"/>
  <c r="Y28" i="1"/>
  <c r="O29" i="8" s="1"/>
  <c r="O23" i="8"/>
  <c r="Y25" i="1"/>
  <c r="O28" i="8" s="1"/>
  <c r="Y21" i="1"/>
  <c r="O21" i="8" s="1"/>
  <c r="Y23" i="1"/>
  <c r="O22" i="8" s="1"/>
  <c r="Y8" i="1"/>
  <c r="O7" i="8" s="1"/>
  <c r="Y12" i="1"/>
  <c r="O10" i="8" s="1"/>
  <c r="Q24" i="3"/>
  <c r="R15" i="3"/>
  <c r="R21" i="3"/>
  <c r="R17" i="3"/>
  <c r="N20" i="1"/>
  <c r="G16" i="1"/>
  <c r="G23" i="1"/>
  <c r="G28" i="1"/>
  <c r="W23" i="1"/>
  <c r="W28" i="1"/>
  <c r="P19" i="3"/>
  <c r="U19" i="3" s="1"/>
  <c r="T10" i="3"/>
  <c r="T12" i="3"/>
  <c r="P21" i="3"/>
  <c r="U21" i="3" s="1"/>
  <c r="S23" i="1"/>
  <c r="Q6" i="1"/>
  <c r="N6" i="8" s="1"/>
  <c r="W10" i="1"/>
  <c r="P16" i="1"/>
  <c r="M9" i="8" s="1"/>
  <c r="W25" i="1"/>
  <c r="W8" i="1"/>
  <c r="W12" i="1"/>
  <c r="E16" i="1"/>
  <c r="Q16" i="1"/>
  <c r="N9" i="8" s="1"/>
  <c r="W16" i="1"/>
  <c r="W21" i="1"/>
  <c r="G30" i="1"/>
  <c r="W33" i="1"/>
  <c r="P6" i="3"/>
  <c r="U6" i="3" s="1"/>
  <c r="J24" i="3"/>
  <c r="D24" i="3"/>
  <c r="O24" i="3" s="1"/>
  <c r="U6" i="1"/>
  <c r="P10" i="1"/>
  <c r="M13" i="8" s="1"/>
  <c r="U10" i="1"/>
  <c r="P6" i="1"/>
  <c r="M6" i="8" s="1"/>
  <c r="E6" i="1"/>
  <c r="W6" i="1"/>
  <c r="E10" i="1"/>
  <c r="Q10" i="1"/>
  <c r="N13" i="8" s="1"/>
  <c r="G6" i="1"/>
  <c r="G10" i="1"/>
  <c r="Q20" i="1"/>
  <c r="P20" i="1"/>
  <c r="O20" i="1"/>
  <c r="S12" i="1"/>
  <c r="O6" i="1"/>
  <c r="S6" i="1"/>
  <c r="X6" i="1"/>
  <c r="G8" i="1"/>
  <c r="Q8" i="1"/>
  <c r="N7" i="8" s="1"/>
  <c r="U8" i="1"/>
  <c r="O10" i="1"/>
  <c r="S10" i="1"/>
  <c r="G12" i="1"/>
  <c r="Q12" i="1"/>
  <c r="N10" i="8" s="1"/>
  <c r="U12" i="1"/>
  <c r="W14" i="1"/>
  <c r="O16" i="1"/>
  <c r="S16" i="1"/>
  <c r="G21" i="1"/>
  <c r="Q21" i="1"/>
  <c r="N21" i="8" s="1"/>
  <c r="U21" i="1"/>
  <c r="G25" i="1"/>
  <c r="Q25" i="1"/>
  <c r="N28" i="8" s="1"/>
  <c r="U25" i="1"/>
  <c r="E30" i="1"/>
  <c r="G33" i="1"/>
  <c r="Q33" i="1"/>
  <c r="N23" i="8" s="1"/>
  <c r="U33" i="1"/>
  <c r="P10" i="3"/>
  <c r="U10" i="3" s="1"/>
  <c r="P12" i="3"/>
  <c r="U12" i="3" s="1"/>
  <c r="F17" i="3"/>
  <c r="O17" i="3"/>
  <c r="T17" i="3"/>
  <c r="F19" i="3"/>
  <c r="O19" i="3"/>
  <c r="T19" i="3"/>
  <c r="F21" i="3"/>
  <c r="O21" i="3"/>
  <c r="T21" i="3"/>
  <c r="O14" i="1"/>
  <c r="X14" i="1"/>
  <c r="N6" i="3"/>
  <c r="R6" i="3"/>
  <c r="P17" i="3"/>
  <c r="U17" i="3" s="1"/>
  <c r="S8" i="1"/>
  <c r="X8" i="1"/>
  <c r="E14" i="1"/>
  <c r="O21" i="1"/>
  <c r="S21" i="1"/>
  <c r="S25" i="1"/>
  <c r="O33" i="1"/>
  <c r="S33" i="1"/>
  <c r="F6" i="3"/>
  <c r="O6" i="3"/>
  <c r="T6" i="3"/>
  <c r="N10" i="3"/>
  <c r="R10" i="3"/>
  <c r="N12" i="3"/>
  <c r="R12" i="3"/>
  <c r="D14" i="3"/>
  <c r="O8" i="1"/>
  <c r="O12" i="1"/>
  <c r="X12" i="1"/>
  <c r="E8" i="1"/>
  <c r="E12" i="1"/>
  <c r="G14" i="1"/>
  <c r="Q14" i="1"/>
  <c r="N14" i="8" s="1"/>
  <c r="E21" i="1"/>
  <c r="E25" i="1"/>
  <c r="O30" i="1"/>
  <c r="E33" i="1"/>
  <c r="F10" i="3"/>
  <c r="O10" i="3"/>
  <c r="F12" i="3"/>
  <c r="O12" i="3"/>
  <c r="N17" i="3"/>
  <c r="N19" i="3"/>
  <c r="R19" i="3"/>
  <c r="N21" i="3"/>
  <c r="Y6" i="1" l="1"/>
  <c r="O6" i="8" s="1"/>
  <c r="Y16" i="1"/>
  <c r="O9" i="8" s="1"/>
  <c r="Y10" i="1"/>
  <c r="O13" i="8" s="1"/>
  <c r="G37" i="1"/>
  <c r="O37" i="1"/>
  <c r="R24" i="3"/>
  <c r="E20" i="1"/>
  <c r="P24" i="3"/>
  <c r="F24" i="3"/>
  <c r="N24" i="3"/>
  <c r="P14" i="3"/>
  <c r="O14" i="3"/>
  <c r="N14" i="3"/>
  <c r="R14" i="3"/>
  <c r="E37" i="1"/>
  <c r="F14" i="3"/>
  <c r="X23" i="1" l="1"/>
  <c r="T23" i="1"/>
  <c r="U23" i="1" s="1"/>
  <c r="N22" i="8"/>
  <c r="P30" i="1"/>
  <c r="M25" i="8" s="1"/>
  <c r="R30" i="1"/>
  <c r="R37" i="1" s="1"/>
  <c r="P14" i="1"/>
  <c r="M14" i="8" s="1"/>
  <c r="R14" i="1"/>
  <c r="S14" i="1" s="1"/>
  <c r="S20" i="1" s="1"/>
  <c r="P37" i="1" l="1"/>
  <c r="Q37" i="1"/>
  <c r="Y14" i="1"/>
  <c r="O14" i="8" s="1"/>
  <c r="Y30" i="1"/>
  <c r="O25" i="8" s="1"/>
  <c r="S30" i="1"/>
  <c r="S37" i="1" s="1"/>
  <c r="R20" i="1"/>
</calcChain>
</file>

<file path=xl/sharedStrings.xml><?xml version="1.0" encoding="utf-8"?>
<sst xmlns="http://schemas.openxmlformats.org/spreadsheetml/2006/main" count="510" uniqueCount="226">
  <si>
    <t>MONITORING HARIAN PRODUKSI</t>
  </si>
  <si>
    <t>EXCAVATOR</t>
  </si>
  <si>
    <t>OB</t>
  </si>
  <si>
    <t>KEBUTUHAN HD</t>
  </si>
  <si>
    <t>PRODUCTIVITY/JAM</t>
  </si>
  <si>
    <t>DEVIASI</t>
  </si>
  <si>
    <t>JARAK</t>
  </si>
  <si>
    <t>REMARK</t>
  </si>
  <si>
    <t>PLAN</t>
  </si>
  <si>
    <t>ACTUAL</t>
  </si>
  <si>
    <t>PLAN JAM</t>
  </si>
  <si>
    <t>KM</t>
  </si>
  <si>
    <t>Dari Jam effective</t>
  </si>
  <si>
    <t>MATERIAL SEAM</t>
  </si>
  <si>
    <t>Dari HM</t>
  </si>
  <si>
    <t xml:space="preserve">Jam Effective </t>
  </si>
  <si>
    <t>Produksi yang harus di capai sesuai jam effective</t>
  </si>
  <si>
    <t>RIT HD/JAM</t>
  </si>
  <si>
    <t>PC 1250 01</t>
  </si>
  <si>
    <t>SIANG</t>
  </si>
  <si>
    <t>MALAM</t>
  </si>
  <si>
    <t>Total Shift MALAM</t>
  </si>
  <si>
    <t>Total Shift SIANG</t>
  </si>
  <si>
    <t>rit/hd</t>
  </si>
  <si>
    <t>PIT 55 GAR</t>
  </si>
  <si>
    <t>Prepare By</t>
  </si>
  <si>
    <t>Approve By</t>
  </si>
  <si>
    <t>Project Manager</t>
  </si>
  <si>
    <t>Total Shift malam</t>
  </si>
  <si>
    <t>HM engine</t>
  </si>
  <si>
    <t>PC 1250 11</t>
  </si>
  <si>
    <t>jam Available</t>
  </si>
  <si>
    <t>dari jam available</t>
  </si>
  <si>
    <t>SMJ(B)-S-MA-PR-V-02</t>
  </si>
  <si>
    <t>PIT 50 GAR</t>
  </si>
  <si>
    <t>Seam G-6</t>
  </si>
  <si>
    <t xml:space="preserve"> </t>
  </si>
  <si>
    <t>EC 750 - 02</t>
  </si>
  <si>
    <t>PC 1250 - 05</t>
  </si>
  <si>
    <t>PC 1250-09</t>
  </si>
  <si>
    <t>PC 1250-02</t>
  </si>
  <si>
    <t>PC 1250 - 02</t>
  </si>
  <si>
    <t>PC 1250 - 09</t>
  </si>
  <si>
    <t>PC 1250-05</t>
  </si>
  <si>
    <t>Winarno</t>
  </si>
  <si>
    <t>yohanis</t>
  </si>
  <si>
    <t>SL-5 Utara</t>
  </si>
  <si>
    <t>SM-1 Utara</t>
  </si>
  <si>
    <t>star loading awal shift jam 08:37, general perbaikan jalan jam 08:00 - 08:30 = 30 menit, perbaikan front jam 08:30 - 08:37 = 7 menit, isi fuel jam 09:55 - 10:05 = 10 menit, stop loading menjelang istirahat jam 11:50 = 10 menit, star loading setelah istirahat jam 13:08, perbaikan front jam 13:00 - 13:08 = 8 menit, stop loadinng karena breakdown jam 14:53 - 19:00 = 4 jam 7 menit, total loss time tidak normal = 5 jam 12 menit</t>
  </si>
  <si>
    <t>lasarus rampa</t>
  </si>
  <si>
    <t>star loading awal shift jam 15:01, standby No. hd jam 08:00 - 15:01 = 6 jam 1 menit, stop loading akhir shift jam 18:40 = 20 menit, total loss time tidak normal = 6 jam 21 menit</t>
  </si>
  <si>
    <t>star loading awal shift jam 08:47, perbaikan jalan jam 08:00 - 08:47 = 47 menit, 08:47 - 09:36 = 49 menit, stop loading menjelang istirahat jam 11:50 = 10 menit, star loading setelah istirahat jam 13:11, perbaikan front jam 13:00 - 13:11 = 11 menit, stop loading akhir shift jam 18:50 = 10 menit, total loss time tidak normal = 2 jam 7 menit</t>
  </si>
  <si>
    <t>star loading awal shift jam 20:05, perbaikan front jam 20:00 - 20:05 = 5 menit, hujan jam 21:08 - 21:23 = 15 menit, stop loading menjelang istirahat jam 23:45 = 15 menit, standby menunggu fuel jam 01:00 - 02:30 = 1 jam 30 menit, kemudian digantikan dengan PC.1250-02, karena PC 1250-05 tidak ada fuel jam 02:30 - 07:00 = 4 jam 30 menit, total loss time tidak normal = 6 jam 35 menit</t>
  </si>
  <si>
    <t>star loading awal shift jam 02:30, standby No. hd jam 20:00 - 02:30 = 5 jam 30 menit, stop loading karena hujan jam 03:19 - 04:45 = 1 jam 26 menit, slippery jam 04:50 - 07:00 = 2 jam 10 menit, total loss time tidak normal = 9 jam 16 menit</t>
  </si>
  <si>
    <t>star loading awal shift jam 19:39, greassing jam 19:58 - 20:08 = 8 menit, hujan jam 21:08 - 21:23 = 15 menit, stop loading karena fuel habis jam 23:30 = 30 menit, tunggu fuel jam 01:00 - 02:30 = 1 jam 30 menit, isi fuel jam 02:30 - 02:45 = 15 menit, general front baru jam 02:50 - 03:15 = 25 menit, hujan jam 03:19 - 04:50 = 1 jam 31 menit, slippery jam 04:55 - 07:00 = 2 jam 5 menit, total loss time tidak normal = 7 jam 39 menit</t>
  </si>
  <si>
    <t>TANGGAL 15 mei 2023</t>
  </si>
  <si>
    <t>KTT</t>
  </si>
  <si>
    <t>PC 1250 09</t>
  </si>
  <si>
    <t>Dibuat oleh</t>
  </si>
  <si>
    <t>Diperiksa oleh</t>
  </si>
  <si>
    <t>SPI Produksi</t>
  </si>
  <si>
    <t>Hadinoor</t>
  </si>
  <si>
    <t>Manager Engineering</t>
  </si>
  <si>
    <t>=IF($D13="","",IF($D13&gt;$C13,$D13-$C13,H9-$C13+$D13)/H8)</t>
  </si>
  <si>
    <t>=HOUR(D11-C11+24)+MINUTE(D11-C11+60)/60</t>
  </si>
  <si>
    <t>No</t>
  </si>
  <si>
    <t>Losstime</t>
  </si>
  <si>
    <t>Start</t>
  </si>
  <si>
    <t>Stop</t>
  </si>
  <si>
    <t>Time (Hour)</t>
  </si>
  <si>
    <t>Base Time Calculation</t>
  </si>
  <si>
    <t>Tunggu Alat Angkut</t>
  </si>
  <si>
    <t>Tunggu Rippingan</t>
  </si>
  <si>
    <t>Traveling/ Pindah Front Loading</t>
  </si>
  <si>
    <t>Mulai Operasi Awal Shift</t>
  </si>
  <si>
    <t>Stop Operasi menjelang istirahat</t>
  </si>
  <si>
    <t>isi BBM Solar</t>
  </si>
  <si>
    <t>Lubrikasi</t>
  </si>
  <si>
    <t>Greasing</t>
  </si>
  <si>
    <t>Isi Air Radiator</t>
  </si>
  <si>
    <t>Mulai Operasi setelah istirahat</t>
  </si>
  <si>
    <t>Stop Operasi Akhir Shift</t>
  </si>
  <si>
    <t>Standby kurang alat angkut (HD)</t>
  </si>
  <si>
    <t>Standby tidak ada operator</t>
  </si>
  <si>
    <t>Standby tidak ada dozer</t>
  </si>
  <si>
    <t>Tunggu penyiraman jalan</t>
  </si>
  <si>
    <t>Distop safety</t>
  </si>
  <si>
    <t>Pengukuran team survey</t>
  </si>
  <si>
    <t>Tunggu Blasting</t>
  </si>
  <si>
    <t>Kerusakan Unit (BD)</t>
  </si>
  <si>
    <t>Reaksi RM</t>
  </si>
  <si>
    <t>Maintenance</t>
  </si>
  <si>
    <t xml:space="preserve">Hujan </t>
  </si>
  <si>
    <t>Slippery</t>
  </si>
  <si>
    <t>Perawatan Jalan</t>
  </si>
  <si>
    <t>Perbaikan Front Loading</t>
  </si>
  <si>
    <t>Perawatan Disposal</t>
  </si>
  <si>
    <t>Total</t>
  </si>
  <si>
    <t>Seam ST-1</t>
  </si>
  <si>
    <t>Manager Produksi</t>
  </si>
  <si>
    <t>Bonar Sari monang  Naibaho</t>
  </si>
  <si>
    <t>Deddy Darmawan</t>
  </si>
  <si>
    <t>Berto</t>
  </si>
  <si>
    <t>Forman MCC</t>
  </si>
  <si>
    <t>PC 1250 06</t>
  </si>
  <si>
    <t>%</t>
  </si>
  <si>
    <t>Seam X-5</t>
  </si>
  <si>
    <t>SHIFT</t>
  </si>
  <si>
    <t>Produksi yang harus di capai sesuai HM</t>
  </si>
  <si>
    <t>DEV BY EWH</t>
  </si>
  <si>
    <t>DEV BY HM</t>
  </si>
  <si>
    <t>SELATAN</t>
  </si>
  <si>
    <t>Unit</t>
  </si>
  <si>
    <t>Jarak</t>
  </si>
  <si>
    <t>Target Rit/jam</t>
  </si>
  <si>
    <t>Jumlah HD</t>
  </si>
  <si>
    <t>JAM Efektif</t>
  </si>
  <si>
    <t>HM Engine</t>
  </si>
  <si>
    <t>Aktual Ritase</t>
  </si>
  <si>
    <t>Aktual BCM</t>
  </si>
  <si>
    <t>Prod by EWH</t>
  </si>
  <si>
    <t>Prod by HM</t>
  </si>
  <si>
    <t>Rit / Jam</t>
  </si>
  <si>
    <t>1250-01</t>
  </si>
  <si>
    <t>1250-06</t>
  </si>
  <si>
    <t>1250-08</t>
  </si>
  <si>
    <t>TOTAL</t>
  </si>
  <si>
    <t>UTARA</t>
  </si>
  <si>
    <t>1250-09</t>
  </si>
  <si>
    <t>1250-11</t>
  </si>
  <si>
    <t>TOTAL SHIFT PAGI</t>
  </si>
  <si>
    <t>TOTAL SHIFT MALAM</t>
  </si>
  <si>
    <t>TOTAL SIANG MALAM</t>
  </si>
  <si>
    <t>BATU BARA</t>
  </si>
  <si>
    <t>SR</t>
  </si>
  <si>
    <t>SHIFT MALAM</t>
  </si>
  <si>
    <t>SHIFT SIANG</t>
  </si>
  <si>
    <t>CAT.395-01</t>
  </si>
  <si>
    <t>PC.1250-01</t>
  </si>
  <si>
    <t>PC 1250 08</t>
  </si>
  <si>
    <t>PC 1250-08</t>
  </si>
  <si>
    <t>EC750-01</t>
  </si>
  <si>
    <t>CAT 395-01</t>
  </si>
  <si>
    <t>CAT395-01</t>
  </si>
  <si>
    <t>PT. SUMBER MITRA JAYA</t>
  </si>
  <si>
    <t>Lampiran</t>
  </si>
  <si>
    <t>FLEET PERFORMANCE</t>
  </si>
  <si>
    <t>PAGI</t>
  </si>
  <si>
    <t>TGL</t>
  </si>
  <si>
    <t>NAMA OPERATOR</t>
  </si>
  <si>
    <t>HM                     AWAL</t>
  </si>
  <si>
    <t>HM                                     AKHIR</t>
  </si>
  <si>
    <t>TOTAL                                          HM</t>
  </si>
  <si>
    <t>PRODUKSI</t>
  </si>
  <si>
    <t>LOKASI KERJA</t>
  </si>
  <si>
    <t>PRODUKTIVITAS</t>
  </si>
  <si>
    <t>JARAK             (KM)</t>
  </si>
  <si>
    <t>JML                                DT</t>
  </si>
  <si>
    <t>SUPPORT</t>
  </si>
  <si>
    <t>Aktivitas</t>
  </si>
  <si>
    <t>HM Awal</t>
  </si>
  <si>
    <t>HM Akhir</t>
  </si>
  <si>
    <t>KETERANGAN</t>
  </si>
  <si>
    <t>PIT</t>
  </si>
  <si>
    <t>SEAM/                    BLOK</t>
  </si>
  <si>
    <t>DOZER</t>
  </si>
  <si>
    <t>Pit GAR 50</t>
  </si>
  <si>
    <t/>
  </si>
  <si>
    <t>PC.1250-02</t>
  </si>
  <si>
    <t>Pit GAR 55</t>
  </si>
  <si>
    <t>breakdown</t>
  </si>
  <si>
    <t>CAT.395-02</t>
  </si>
  <si>
    <t>No. hd</t>
  </si>
  <si>
    <t>PC.1250-06</t>
  </si>
  <si>
    <t>PC.1250-07</t>
  </si>
  <si>
    <t>PC.1250-05</t>
  </si>
  <si>
    <t>PC.1250-08</t>
  </si>
  <si>
    <t>stanby No. hd</t>
  </si>
  <si>
    <t>PC.1250-10</t>
  </si>
  <si>
    <t xml:space="preserve">breakdown </t>
  </si>
  <si>
    <t>PC.1250-09</t>
  </si>
  <si>
    <t>EC.750-01</t>
  </si>
  <si>
    <t>EC.750-02</t>
  </si>
  <si>
    <t>CAT.330-03</t>
  </si>
  <si>
    <t>PC.1250-11</t>
  </si>
  <si>
    <t>HM AWAL</t>
  </si>
  <si>
    <t>HM AKHIR</t>
  </si>
  <si>
    <t>BATUBARA</t>
  </si>
  <si>
    <t>Shift</t>
  </si>
  <si>
    <t>SEAM</t>
  </si>
  <si>
    <t>Siang</t>
  </si>
  <si>
    <t>EC.480.03</t>
  </si>
  <si>
    <t>EC.480.04</t>
  </si>
  <si>
    <t>EC.330.03</t>
  </si>
  <si>
    <t>EC.480.02</t>
  </si>
  <si>
    <t>Malam</t>
  </si>
  <si>
    <t>TOTAL  HM</t>
  </si>
  <si>
    <t>EC 750 01</t>
  </si>
  <si>
    <t>plan</t>
  </si>
  <si>
    <t>Seharusnya</t>
  </si>
  <si>
    <t>DIKETAHUI OLEH</t>
  </si>
  <si>
    <t>Ikhsan Nur Ramadhani</t>
  </si>
  <si>
    <t>DGM Operation</t>
  </si>
  <si>
    <t>ARKADIUS</t>
  </si>
  <si>
    <t>OBETH</t>
  </si>
  <si>
    <t>EVENSIUS</t>
  </si>
  <si>
    <t>M ARDAN</t>
  </si>
  <si>
    <t>TANGGAL 12 AGUSTUS 2024</t>
  </si>
  <si>
    <t>IGNASIUS</t>
  </si>
  <si>
    <t>lubrikasi jam 07:40 - 08:05 = 5 menit, isi fuel jam 08:05 - 08:15 = 10 menit, star laoding awal shift jam 08:15, stop loading menjelang istirahat jam 11:54 = 6 menit, star loading setelah istirahat jam 13:01 = 1 menit, stop loading akhir shift jam 18:50 = 10 menit, total loss time tidak normal = 37 menit</t>
  </si>
  <si>
    <t>MARTHEN P</t>
  </si>
  <si>
    <t>star loading awal shift jam 07:56, isi fuel jam 10:15 - 10:22 = 7 menit, stop loading menjelang istirahat jam 11:56 = 4 menit, star loading setelah istirahat jam 13:03 = 3 menit, stop loading akhir shift jam 18:50 = 10 menit, total loss time tidak normal = 24 menit</t>
  </si>
  <si>
    <t>AMRAN PURBA</t>
  </si>
  <si>
    <t>evakuasi unit hd 48 yang rebah jam 08:00 - 08:20 = 20 menit, lubrikasi jam 08:25 - 08:35 = 10 menit, greassing jam 08:35 - 08:40 = 5 menit, isi air radiator jam 08:40 - 08:45 = 5 menit, perbaikan front jam 08:40 - 08:55 = 15 menit, star laoding awal shift jam 08:55, stop loading menjelang istirahat jam 11:56 = 4 menit, star laoding setelah istirahat jam 13:00, stop loading akhir shift jam 18:57 = 3 menit, total loss time tidak normal = 1 jam 2 menit</t>
  </si>
  <si>
    <t>GRADUS NGGERE</t>
  </si>
  <si>
    <t>travel dari selatan bawah ke selatan ujung jam 08:00 - 09:04 = 1 jam 4 menit, star loading awal shift jam 09:04, stop loading menjelang istirahat jam 11:56 = 4 menit, perbaikan fronr jam 13:00 - 13:06 = 6 menit, star loading setelah istirahat jam 13:06, stop loading evakuasi hd amblas jam 17:50 - 19:00 = 1 jam 10 menit, total loss time tidak normal = 2 jam 34 menit</t>
  </si>
  <si>
    <t>LEONARDUS</t>
  </si>
  <si>
    <t>star loading awal shift jam 07:54, stop loading menjelang istirahat jam 11:58 = 2 menit, star loading setelah istirahat jam 13:04, perbaikan front jam 13:00 - 13:04 = 4 menit, stop loading akhir shift jam 18:52 = 8 menit, total loss time tidak normal = 14 menit</t>
  </si>
  <si>
    <t>b/d</t>
  </si>
  <si>
    <t>star loading awal shift jam 19:53, stop loading menjelang istirahat jam 23:51 = 9 menit, star loading setelah istirahat jam 01:03 = 3 menit, stop loading akhir shift jam 06:50 = 10 menit, total loss time tidak normal = 22 menit</t>
  </si>
  <si>
    <t xml:space="preserve">greassing jam 19:45 - 20:06 = 6 menit star laoding awal shift jam 20:06, pindah front jam 21:30 - 21:41 = 11 menit, stop loading menjelang istirahat jam 23:50 = 10 menit, star loading setelah istirahat jam 01:08, perbaikan front jam 01:00 - 01:08 = 8 menit, stop loading akhir shift jam 06:55 = 5 menit, total loss time tidak normal = 40 menit </t>
  </si>
  <si>
    <t>KARMAN</t>
  </si>
  <si>
    <t>travel jam 08:00 - 08:20 = 20 menit, star loading awal shift jam 08:20, stop loading menjelang istirahat jam 23:50 = 10 menit, star laoding setelah istirahat jam 13:06 = 6 menit, stop loading akhir shift jam 06:50 = 10 menit, total loss time tidak normal = 46 menit</t>
  </si>
  <si>
    <t>star laoding awal shift jam 19:40, stop loading menjelang istirahat jam 23:58 = 2 menit, star laoding setelah istirahat jam 01:05 = 5 menit, stop loading akhir shfit jam 06:55 = 5 menit, total loss time tidak normal = 12 menit</t>
  </si>
  <si>
    <t>star laoding awal shift jam 19:35, isi fuel jam 20:17 - 20:28 = 11 menit, stop loading menjelang istirahat jam 23:50 = 10 menit, star laoding setelah istirahat jam 01:00, stop loading kahir shift jam 06:53 = 7 menit, total loss time tidak normal = 28 menit</t>
  </si>
  <si>
    <t>TANGGAL 12 AGUSTUS 2024 2024 PIT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</si>
</sst>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_);_(* \(#,##0.0\);_(* &quot;-&quot;??_);_(@_)"/>
    <numFmt numFmtId="168" formatCode="_(* #,##0.0_);_(* \(#,##0.0\);_(* &quot;-&quot;?_);_(@_)"/>
    <numFmt numFmtId="169" formatCode="_(* #,##0_);_(* \(#,##0\);_(* &quot;-&quot;??_);_(@_)"/>
    <numFmt numFmtId="170" formatCode="hh:mm;@"/>
    <numFmt numFmtId="171" formatCode="0.0000"/>
    <numFmt numFmtId="172" formatCode="_-* #,##0_-;\-* #,##0_-;_-* &quot;-&quot;??_-;_-@_-"/>
    <numFmt numFmtId="173" formatCode="_(* #,##0.00_);_(* \(#,##0.00\);_(* &quot;-&quot;_);_(@_)"/>
    <numFmt numFmtId="174" formatCode="_(* #,##0.0_);_(* \(#,##0.0\);_(* &quot;-&quot;_);_(@_)"/>
    <numFmt numFmtId="175" formatCode="_-* #,##0.0_-;\-* #,##0.0_-;_-* &quot;-&quot;?_-;_-@_-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28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sz val="28"/>
      <name val="Calibri"/>
      <family val="2"/>
      <scheme val="minor"/>
    </font>
    <font>
      <b/>
      <sz val="28"/>
      <name val="Times New Roman"/>
      <family val="1"/>
    </font>
    <font>
      <b/>
      <u val="singleAccounting"/>
      <sz val="28"/>
      <color theme="1"/>
      <name val="Calibri"/>
      <family val="2"/>
      <scheme val="minor"/>
    </font>
    <font>
      <b/>
      <u/>
      <sz val="30"/>
      <color theme="1"/>
      <name val="Calibri"/>
      <family val="2"/>
      <scheme val="minor"/>
    </font>
    <font>
      <b/>
      <u val="singleAccounting"/>
      <sz val="30"/>
      <color theme="1"/>
      <name val="Calibri"/>
      <family val="2"/>
      <scheme val="minor"/>
    </font>
    <font>
      <b/>
      <u val="singleAccounting"/>
      <sz val="30"/>
      <name val="Calibri"/>
      <family val="2"/>
      <scheme val="minor"/>
    </font>
    <font>
      <b/>
      <u/>
      <sz val="30"/>
      <name val="Calibri"/>
      <family val="2"/>
      <scheme val="minor"/>
    </font>
    <font>
      <b/>
      <sz val="25"/>
      <color theme="1"/>
      <name val="Verdana"/>
      <family val="2"/>
    </font>
    <font>
      <b/>
      <sz val="3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color theme="1"/>
      <name val="Times New Roman"/>
      <family val="1"/>
    </font>
    <font>
      <b/>
      <sz val="28"/>
      <color theme="1"/>
      <name val="Verdana"/>
      <family val="2"/>
    </font>
    <font>
      <b/>
      <sz val="30"/>
      <color theme="1"/>
      <name val="Verdana"/>
      <family val="2"/>
    </font>
    <font>
      <b/>
      <sz val="45"/>
      <color theme="1"/>
      <name val="Verdana"/>
      <family val="2"/>
    </font>
    <font>
      <b/>
      <sz val="45"/>
      <color theme="1"/>
      <name val="Calibri"/>
      <family val="2"/>
      <scheme val="minor"/>
    </font>
    <font>
      <b/>
      <u val="singleAccounting"/>
      <sz val="45"/>
      <color theme="1"/>
      <name val="Calibri"/>
      <family val="2"/>
      <scheme val="minor"/>
    </font>
    <font>
      <b/>
      <u val="singleAccounting"/>
      <sz val="45"/>
      <color theme="1"/>
      <name val="Verdana"/>
      <family val="2"/>
    </font>
    <font>
      <b/>
      <u val="singleAccounting"/>
      <sz val="28"/>
      <color theme="1"/>
      <name val="Verdana"/>
      <family val="2"/>
    </font>
    <font>
      <b/>
      <u/>
      <sz val="28"/>
      <color theme="1"/>
      <name val="Verdana"/>
      <family val="2"/>
    </font>
    <font>
      <b/>
      <sz val="28"/>
      <color theme="0"/>
      <name val="Verdana"/>
      <family val="2"/>
    </font>
    <font>
      <b/>
      <sz val="28"/>
      <color theme="0"/>
      <name val="Calibri"/>
      <family val="2"/>
      <scheme val="minor"/>
    </font>
    <font>
      <b/>
      <u val="singleAccounting"/>
      <sz val="28"/>
      <color theme="0"/>
      <name val="Verdana"/>
      <family val="2"/>
    </font>
    <font>
      <b/>
      <sz val="10"/>
      <color indexed="8"/>
      <name val="Times New Roman"/>
      <family val="1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435369"/>
      <name val="Calibri"/>
      <family val="2"/>
    </font>
    <font>
      <b/>
      <sz val="13"/>
      <color rgb="FF435369"/>
      <name val="Calibri"/>
      <family val="2"/>
    </font>
    <font>
      <b/>
      <sz val="11"/>
      <color rgb="FF435369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8"/>
      <color rgb="FF435369"/>
      <name val="Calibri Light"/>
      <family val="2"/>
    </font>
    <font>
      <b/>
      <sz val="14.05"/>
      <color indexed="8"/>
      <name val="Times New Roman"/>
      <family val="1"/>
    </font>
    <font>
      <b/>
      <sz val="36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36"/>
      <color theme="1"/>
      <name val="Verdana"/>
      <family val="2"/>
    </font>
    <font>
      <b/>
      <sz val="36"/>
      <name val="Calibri"/>
      <family val="2"/>
      <scheme val="minor"/>
    </font>
    <font>
      <b/>
      <sz val="36"/>
      <name val="Times New Roman"/>
      <family val="1"/>
    </font>
    <font>
      <b/>
      <u val="singleAccounting"/>
      <sz val="36"/>
      <color theme="1"/>
      <name val="Calibri"/>
      <family val="2"/>
      <scheme val="minor"/>
    </font>
    <font>
      <b/>
      <u/>
      <sz val="36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u val="singleAccounting"/>
      <sz val="36"/>
      <name val="Calibri"/>
      <family val="2"/>
      <scheme val="minor"/>
    </font>
    <font>
      <b/>
      <u val="singleAccounting"/>
      <sz val="28"/>
      <name val="Verdana"/>
      <family val="2"/>
    </font>
    <font>
      <sz val="11"/>
      <color theme="1"/>
      <name val="Arial Narrow"/>
      <family val="2"/>
    </font>
    <font>
      <i/>
      <sz val="11"/>
      <color rgb="FFFF0000"/>
      <name val="Arial Narrow"/>
      <family val="2"/>
    </font>
    <font>
      <i/>
      <sz val="11"/>
      <color theme="4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color rgb="FFFF0000"/>
      <name val="Arial Narrow"/>
      <family val="2"/>
    </font>
    <font>
      <b/>
      <sz val="12"/>
      <color theme="1"/>
      <name val="Arial Narrow"/>
      <family val="2"/>
    </font>
    <font>
      <b/>
      <sz val="30"/>
      <color theme="0"/>
      <name val="Calibri"/>
      <family val="2"/>
      <scheme val="minor"/>
    </font>
    <font>
      <b/>
      <u/>
      <sz val="30"/>
      <color theme="0"/>
      <name val="Calibri"/>
      <family val="2"/>
      <scheme val="minor"/>
    </font>
    <font>
      <b/>
      <sz val="16"/>
      <color theme="1"/>
      <name val="Verdana"/>
      <family val="2"/>
    </font>
    <font>
      <b/>
      <u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9"/>
      <color theme="1"/>
      <name val="Verdana"/>
      <family val="2"/>
    </font>
    <font>
      <b/>
      <sz val="12"/>
      <color theme="1"/>
      <name val="Verdana"/>
      <family val="2"/>
    </font>
    <font>
      <b/>
      <sz val="7"/>
      <color theme="1"/>
      <name val="Verdana"/>
      <family val="2"/>
    </font>
    <font>
      <sz val="10"/>
      <color theme="0"/>
      <name val="Verdana"/>
      <family val="2"/>
    </font>
    <font>
      <b/>
      <u/>
      <sz val="10"/>
      <color theme="1"/>
      <name val="Verdana"/>
      <family val="2"/>
    </font>
    <font>
      <b/>
      <sz val="28"/>
      <name val="Cambria"/>
      <family val="1"/>
      <scheme val="maj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EEAF6"/>
      </patternFill>
    </fill>
    <fill>
      <patternFill patternType="solid">
        <fgColor rgb="FFFBE4D5"/>
      </patternFill>
    </fill>
    <fill>
      <patternFill patternType="solid">
        <fgColor rgb="FFEDEDED"/>
      </patternFill>
    </fill>
    <fill>
      <patternFill patternType="solid">
        <fgColor rgb="FFFFF2CB"/>
      </patternFill>
    </fill>
    <fill>
      <patternFill patternType="solid">
        <fgColor rgb="FFD9E3F3"/>
      </patternFill>
    </fill>
    <fill>
      <patternFill patternType="solid">
        <fgColor rgb="FFE2EFD9"/>
      </patternFill>
    </fill>
    <fill>
      <patternFill patternType="solid">
        <fgColor rgb="FFBED7EE"/>
      </patternFill>
    </fill>
    <fill>
      <patternFill patternType="solid">
        <fgColor rgb="FFF7CAAC"/>
      </patternFill>
    </fill>
    <fill>
      <patternFill patternType="solid">
        <fgColor rgb="FFDBDBDB"/>
      </patternFill>
    </fill>
    <fill>
      <patternFill patternType="solid">
        <fgColor rgb="FFFFE598"/>
      </patternFill>
    </fill>
    <fill>
      <patternFill patternType="solid">
        <fgColor rgb="FFB4C7E7"/>
      </patternFill>
    </fill>
    <fill>
      <patternFill patternType="solid">
        <fgColor rgb="FFC5E0B3"/>
      </patternFill>
    </fill>
    <fill>
      <patternFill patternType="solid">
        <fgColor rgb="FF9DC3E5"/>
      </patternFill>
    </fill>
    <fill>
      <patternFill patternType="solid">
        <fgColor rgb="FFF4B083"/>
      </patternFill>
    </fill>
    <fill>
      <patternFill patternType="solid">
        <fgColor rgb="FFC9C9C9"/>
      </patternFill>
    </fill>
    <fill>
      <patternFill patternType="solid">
        <fgColor rgb="FFFFD865"/>
      </patternFill>
    </fill>
    <fill>
      <patternFill patternType="solid">
        <fgColor rgb="FF8FABDB"/>
      </patternFill>
    </fill>
    <fill>
      <patternFill patternType="solid">
        <fgColor rgb="FFA8D08E"/>
      </patternFill>
    </fill>
    <fill>
      <patternFill patternType="solid">
        <fgColor rgb="FF5C9BD5"/>
      </patternFill>
    </fill>
    <fill>
      <patternFill patternType="solid">
        <fgColor rgb="FFED7B30"/>
      </patternFill>
    </fill>
    <fill>
      <patternFill patternType="solid">
        <fgColor rgb="FFFFBF00"/>
      </patternFill>
    </fill>
    <fill>
      <patternFill patternType="solid">
        <fgColor rgb="FF4473C4"/>
      </patternFill>
    </fill>
    <fill>
      <patternFill patternType="solid">
        <fgColor rgb="FF70AD4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ott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C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DC3E5"/>
      </bottom>
      <diagonal/>
    </border>
    <border>
      <left/>
      <right/>
      <top style="thin">
        <color rgb="FF5C9BD5"/>
      </top>
      <bottom style="double">
        <color rgb="FF5C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</borders>
  <cellStyleXfs count="49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4" fillId="4" borderId="0" applyNumberFormat="0" applyBorder="0" applyAlignment="0" applyProtection="0"/>
    <xf numFmtId="0" fontId="35" fillId="7" borderId="48" applyNumberFormat="0" applyAlignment="0" applyProtection="0"/>
    <xf numFmtId="0" fontId="28" fillId="8" borderId="51" applyNumberFormat="0" applyAlignment="0" applyProtection="0"/>
    <xf numFmtId="0" fontId="30" fillId="0" borderId="0" applyNumberFormat="0" applyFill="0" applyBorder="0" applyAlignment="0" applyProtection="0"/>
    <xf numFmtId="0" fontId="36" fillId="3" borderId="0" applyNumberFormat="0" applyBorder="0" applyAlignment="0" applyProtection="0"/>
    <xf numFmtId="0" fontId="37" fillId="0" borderId="53" applyNumberFormat="0" applyFill="0" applyAlignment="0" applyProtection="0"/>
    <xf numFmtId="0" fontId="38" fillId="0" borderId="54" applyNumberFormat="0" applyFill="0" applyAlignment="0" applyProtection="0"/>
    <xf numFmtId="0" fontId="39" fillId="0" borderId="55" applyNumberFormat="0" applyFill="0" applyAlignment="0" applyProtection="0"/>
    <xf numFmtId="0" fontId="39" fillId="0" borderId="0" applyNumberFormat="0" applyFill="0" applyBorder="0" applyAlignment="0" applyProtection="0"/>
    <xf numFmtId="0" fontId="40" fillId="6" borderId="48" applyNumberFormat="0" applyAlignment="0" applyProtection="0"/>
    <xf numFmtId="0" fontId="41" fillId="0" borderId="50" applyNumberFormat="0" applyFill="0" applyAlignment="0" applyProtection="0"/>
    <xf numFmtId="0" fontId="42" fillId="5" borderId="0" applyNumberFormat="0" applyBorder="0" applyAlignment="0" applyProtection="0"/>
    <xf numFmtId="0" fontId="2" fillId="9" borderId="52" applyNumberFormat="0" applyFont="0" applyAlignment="0" applyProtection="0"/>
    <xf numFmtId="0" fontId="43" fillId="7" borderId="49" applyNumberFormat="0" applyAlignment="0" applyProtection="0"/>
    <xf numFmtId="0" fontId="44" fillId="0" borderId="0" applyNumberFormat="0" applyFill="0" applyBorder="0" applyAlignment="0" applyProtection="0"/>
    <xf numFmtId="0" fontId="31" fillId="0" borderId="56" applyNumberFormat="0" applyFill="0" applyAlignment="0" applyProtection="0"/>
    <xf numFmtId="0" fontId="29" fillId="0" borderId="0" applyNumberFormat="0" applyFill="0" applyBorder="0" applyAlignment="0" applyProtection="0"/>
    <xf numFmtId="166" fontId="4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14">
    <xf numFmtId="0" fontId="0" fillId="0" borderId="0" xfId="0"/>
    <xf numFmtId="0" fontId="3" fillId="2" borderId="2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9" fontId="3" fillId="2" borderId="11" xfId="0" applyNumberFormat="1" applyFont="1" applyFill="1" applyBorder="1" applyAlignment="1">
      <alignment horizontal="center" vertical="center"/>
    </xf>
    <xf numFmtId="2" fontId="3" fillId="0" borderId="11" xfId="0" applyNumberFormat="1" applyFont="1" applyBorder="1" applyAlignment="1">
      <alignment vertical="center"/>
    </xf>
    <xf numFmtId="0" fontId="5" fillId="2" borderId="15" xfId="0" applyFont="1" applyFill="1" applyBorder="1" applyAlignment="1">
      <alignment horizontal="left" vertical="center" wrapText="1"/>
    </xf>
    <xf numFmtId="166" fontId="3" fillId="2" borderId="0" xfId="0" applyNumberFormat="1" applyFont="1" applyFill="1" applyAlignment="1">
      <alignment horizontal="center" vertical="center"/>
    </xf>
    <xf numFmtId="168" fontId="3" fillId="2" borderId="11" xfId="0" applyNumberFormat="1" applyFont="1" applyFill="1" applyBorder="1" applyAlignment="1">
      <alignment vertical="center"/>
    </xf>
    <xf numFmtId="166" fontId="8" fillId="2" borderId="11" xfId="0" applyNumberFormat="1" applyFont="1" applyFill="1" applyBorder="1" applyAlignment="1">
      <alignment horizontal="center" vertical="center"/>
    </xf>
    <xf numFmtId="166" fontId="8" fillId="0" borderId="11" xfId="1" applyFont="1" applyFill="1" applyBorder="1" applyAlignment="1">
      <alignment horizontal="center" vertical="center"/>
    </xf>
    <xf numFmtId="166" fontId="9" fillId="2" borderId="11" xfId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vertical="center"/>
    </xf>
    <xf numFmtId="169" fontId="5" fillId="2" borderId="11" xfId="0" applyNumberFormat="1" applyFont="1" applyFill="1" applyBorder="1" applyAlignment="1">
      <alignment horizontal="center" vertical="center"/>
    </xf>
    <xf numFmtId="166" fontId="10" fillId="2" borderId="11" xfId="1" applyFont="1" applyFill="1" applyBorder="1" applyAlignment="1">
      <alignment horizontal="center" vertical="center"/>
    </xf>
    <xf numFmtId="166" fontId="11" fillId="0" borderId="11" xfId="1" applyFont="1" applyFill="1" applyBorder="1" applyAlignment="1">
      <alignment horizontal="center" vertical="center"/>
    </xf>
    <xf numFmtId="167" fontId="5" fillId="0" borderId="3" xfId="1" applyNumberFormat="1" applyFont="1" applyFill="1" applyBorder="1" applyAlignment="1">
      <alignment horizontal="center" vertical="center"/>
    </xf>
    <xf numFmtId="167" fontId="5" fillId="0" borderId="16" xfId="1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66" fontId="5" fillId="0" borderId="26" xfId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7" fontId="3" fillId="0" borderId="5" xfId="1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6" fontId="7" fillId="0" borderId="5" xfId="1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2" fontId="3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166" fontId="8" fillId="0" borderId="0" xfId="1" applyFont="1" applyFill="1" applyBorder="1" applyAlignment="1">
      <alignment horizontal="center" vertical="center"/>
    </xf>
    <xf numFmtId="169" fontId="3" fillId="2" borderId="0" xfId="0" applyNumberFormat="1" applyFont="1" applyFill="1" applyAlignment="1">
      <alignment horizontal="center" vertical="center"/>
    </xf>
    <xf numFmtId="166" fontId="9" fillId="2" borderId="0" xfId="1" applyFont="1" applyFill="1" applyBorder="1" applyAlignment="1">
      <alignment horizontal="center" vertical="center"/>
    </xf>
    <xf numFmtId="169" fontId="3" fillId="2" borderId="29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8" fontId="5" fillId="2" borderId="11" xfId="0" applyNumberFormat="1" applyFont="1" applyFill="1" applyBorder="1" applyAlignment="1">
      <alignment horizontal="center" vertical="center"/>
    </xf>
    <xf numFmtId="168" fontId="3" fillId="2" borderId="11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/>
    </xf>
    <xf numFmtId="166" fontId="3" fillId="2" borderId="0" xfId="1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166" fontId="5" fillId="2" borderId="11" xfId="1" applyFont="1" applyFill="1" applyBorder="1" applyAlignment="1">
      <alignment horizontal="center" vertical="center"/>
    </xf>
    <xf numFmtId="166" fontId="3" fillId="2" borderId="29" xfId="0" applyNumberFormat="1" applyFont="1" applyFill="1" applyBorder="1" applyAlignment="1">
      <alignment horizontal="center" vertical="center"/>
    </xf>
    <xf numFmtId="166" fontId="5" fillId="0" borderId="11" xfId="1" applyFont="1" applyBorder="1" applyAlignment="1">
      <alignment horizontal="center" vertical="center"/>
    </xf>
    <xf numFmtId="166" fontId="5" fillId="0" borderId="0" xfId="1" applyFont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166" fontId="5" fillId="0" borderId="27" xfId="1" applyFont="1" applyBorder="1" applyAlignment="1">
      <alignment horizontal="center" vertical="center"/>
    </xf>
    <xf numFmtId="166" fontId="3" fillId="2" borderId="11" xfId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/>
    </xf>
    <xf numFmtId="166" fontId="3" fillId="0" borderId="11" xfId="1" applyFont="1" applyBorder="1" applyAlignment="1">
      <alignment horizontal="center" vertical="center"/>
    </xf>
    <xf numFmtId="166" fontId="3" fillId="0" borderId="27" xfId="1" applyFont="1" applyBorder="1" applyAlignment="1">
      <alignment horizontal="center" vertical="center"/>
    </xf>
    <xf numFmtId="166" fontId="3" fillId="0" borderId="0" xfId="1" applyFont="1" applyBorder="1" applyAlignment="1">
      <alignment horizontal="center" vertical="center"/>
    </xf>
    <xf numFmtId="166" fontId="3" fillId="2" borderId="0" xfId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left" vertical="center" wrapText="1"/>
    </xf>
    <xf numFmtId="0" fontId="15" fillId="0" borderId="13" xfId="0" applyFont="1" applyBorder="1" applyAlignment="1">
      <alignment horizontal="right" vertical="center"/>
    </xf>
    <xf numFmtId="166" fontId="3" fillId="2" borderId="32" xfId="0" applyNumberFormat="1" applyFont="1" applyFill="1" applyBorder="1" applyAlignment="1">
      <alignment horizontal="center" vertical="center"/>
    </xf>
    <xf numFmtId="166" fontId="10" fillId="2" borderId="5" xfId="1" applyFont="1" applyFill="1" applyBorder="1" applyAlignment="1">
      <alignment horizontal="center" vertical="center"/>
    </xf>
    <xf numFmtId="167" fontId="3" fillId="2" borderId="0" xfId="1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2" fillId="0" borderId="0" xfId="1" applyFont="1" applyFill="1" applyBorder="1" applyAlignment="1" applyProtection="1">
      <alignment vertical="center"/>
    </xf>
    <xf numFmtId="166" fontId="3" fillId="2" borderId="0" xfId="0" applyNumberFormat="1" applyFont="1" applyFill="1" applyAlignment="1">
      <alignment vertical="center"/>
    </xf>
    <xf numFmtId="2" fontId="3" fillId="0" borderId="11" xfId="0" quotePrefix="1" applyNumberFormat="1" applyFont="1" applyBorder="1" applyAlignment="1">
      <alignment vertical="center"/>
    </xf>
    <xf numFmtId="0" fontId="5" fillId="0" borderId="33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166" fontId="17" fillId="0" borderId="0" xfId="1" applyFont="1" applyFill="1" applyBorder="1" applyAlignment="1" applyProtection="1">
      <alignment horizontal="center" vertical="center"/>
    </xf>
    <xf numFmtId="166" fontId="14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20" fontId="0" fillId="0" borderId="0" xfId="0" applyNumberFormat="1"/>
    <xf numFmtId="2" fontId="3" fillId="0" borderId="31" xfId="0" applyNumberFormat="1" applyFont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1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166" fontId="8" fillId="0" borderId="31" xfId="1" applyFont="1" applyFill="1" applyBorder="1" applyAlignment="1">
      <alignment horizontal="center" vertical="center"/>
    </xf>
    <xf numFmtId="169" fontId="3" fillId="2" borderId="31" xfId="0" applyNumberFormat="1" applyFont="1" applyFill="1" applyBorder="1" applyAlignment="1">
      <alignment horizontal="center" vertical="center"/>
    </xf>
    <xf numFmtId="168" fontId="3" fillId="2" borderId="31" xfId="0" applyNumberFormat="1" applyFont="1" applyFill="1" applyBorder="1" applyAlignment="1">
      <alignment horizontal="center" vertical="center"/>
    </xf>
    <xf numFmtId="166" fontId="9" fillId="2" borderId="31" xfId="1" applyFont="1" applyFill="1" applyBorder="1" applyAlignment="1">
      <alignment horizontal="center" vertical="center"/>
    </xf>
    <xf numFmtId="166" fontId="3" fillId="2" borderId="31" xfId="1" applyFont="1" applyFill="1" applyBorder="1" applyAlignment="1">
      <alignment horizontal="center" vertical="center"/>
    </xf>
    <xf numFmtId="166" fontId="3" fillId="2" borderId="31" xfId="0" applyNumberFormat="1" applyFont="1" applyFill="1" applyBorder="1" applyAlignment="1">
      <alignment horizontal="center" vertical="center"/>
    </xf>
    <xf numFmtId="166" fontId="3" fillId="0" borderId="31" xfId="1" applyFont="1" applyBorder="1" applyAlignment="1">
      <alignment horizontal="center" vertical="center"/>
    </xf>
    <xf numFmtId="166" fontId="3" fillId="0" borderId="37" xfId="1" applyFont="1" applyBorder="1" applyAlignment="1">
      <alignment horizontal="center" vertical="center"/>
    </xf>
    <xf numFmtId="0" fontId="5" fillId="2" borderId="38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vertical="center"/>
    </xf>
    <xf numFmtId="166" fontId="5" fillId="2" borderId="32" xfId="0" applyNumberFormat="1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vertical="center"/>
    </xf>
    <xf numFmtId="166" fontId="18" fillId="0" borderId="0" xfId="1" applyFont="1" applyFill="1" applyBorder="1" applyAlignment="1" applyProtection="1">
      <alignment horizontal="center" vertical="center"/>
    </xf>
    <xf numFmtId="166" fontId="21" fillId="0" borderId="0" xfId="1" applyFont="1" applyFill="1" applyBorder="1" applyAlignment="1" applyProtection="1">
      <alignment horizontal="center" vertical="center"/>
    </xf>
    <xf numFmtId="169" fontId="16" fillId="0" borderId="0" xfId="1" applyNumberFormat="1" applyFont="1" applyFill="1" applyBorder="1" applyAlignment="1" applyProtection="1">
      <alignment horizontal="center" vertical="center"/>
    </xf>
    <xf numFmtId="169" fontId="22" fillId="0" borderId="0" xfId="1" applyNumberFormat="1" applyFont="1" applyFill="1" applyBorder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0" borderId="30" xfId="2" applyFont="1" applyBorder="1" applyAlignment="1">
      <alignment horizontal="left" vertical="center" wrapText="1"/>
    </xf>
    <xf numFmtId="0" fontId="13" fillId="0" borderId="24" xfId="2" applyFont="1" applyBorder="1" applyAlignment="1">
      <alignment horizontal="left" vertical="center" wrapText="1"/>
    </xf>
    <xf numFmtId="0" fontId="13" fillId="2" borderId="40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vertical="center"/>
    </xf>
    <xf numFmtId="167" fontId="3" fillId="0" borderId="29" xfId="1" applyNumberFormat="1" applyFont="1" applyBorder="1" applyAlignment="1">
      <alignment vertical="center"/>
    </xf>
    <xf numFmtId="167" fontId="3" fillId="2" borderId="17" xfId="1" applyNumberFormat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167" fontId="5" fillId="0" borderId="11" xfId="1" applyNumberFormat="1" applyFont="1" applyBorder="1" applyAlignment="1">
      <alignment vertical="center"/>
    </xf>
    <xf numFmtId="167" fontId="5" fillId="2" borderId="18" xfId="1" applyNumberFormat="1" applyFont="1" applyFill="1" applyBorder="1" applyAlignment="1">
      <alignment horizontal="center" vertical="center" wrapText="1"/>
    </xf>
    <xf numFmtId="167" fontId="3" fillId="0" borderId="11" xfId="1" applyNumberFormat="1" applyFont="1" applyBorder="1" applyAlignment="1">
      <alignment vertical="center"/>
    </xf>
    <xf numFmtId="167" fontId="3" fillId="2" borderId="18" xfId="1" applyNumberFormat="1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vertical="center"/>
    </xf>
    <xf numFmtId="167" fontId="3" fillId="0" borderId="31" xfId="1" applyNumberFormat="1" applyFont="1" applyBorder="1" applyAlignment="1">
      <alignment vertical="center"/>
    </xf>
    <xf numFmtId="167" fontId="3" fillId="2" borderId="31" xfId="1" applyNumberFormat="1" applyFont="1" applyFill="1" applyBorder="1" applyAlignment="1">
      <alignment horizontal="center" vertical="center" wrapText="1"/>
    </xf>
    <xf numFmtId="167" fontId="3" fillId="0" borderId="0" xfId="1" applyNumberFormat="1" applyFont="1" applyBorder="1" applyAlignment="1">
      <alignment vertical="center"/>
    </xf>
    <xf numFmtId="167" fontId="3" fillId="2" borderId="0" xfId="1" applyNumberFormat="1" applyFont="1" applyFill="1" applyBorder="1" applyAlignment="1">
      <alignment horizontal="center" vertical="center" wrapText="1"/>
    </xf>
    <xf numFmtId="167" fontId="5" fillId="2" borderId="31" xfId="1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vertical="center"/>
    </xf>
    <xf numFmtId="166" fontId="3" fillId="0" borderId="0" xfId="1" applyFont="1" applyAlignment="1">
      <alignment vertical="center"/>
    </xf>
    <xf numFmtId="167" fontId="3" fillId="0" borderId="0" xfId="1" applyNumberFormat="1" applyFont="1" applyFill="1" applyAlignment="1">
      <alignment vertical="center"/>
    </xf>
    <xf numFmtId="167" fontId="9" fillId="0" borderId="29" xfId="1" applyNumberFormat="1" applyFont="1" applyFill="1" applyBorder="1" applyAlignment="1">
      <alignment vertical="center"/>
    </xf>
    <xf numFmtId="167" fontId="10" fillId="0" borderId="11" xfId="1" applyNumberFormat="1" applyFont="1" applyFill="1" applyBorder="1" applyAlignment="1">
      <alignment vertical="center"/>
    </xf>
    <xf numFmtId="167" fontId="9" fillId="0" borderId="32" xfId="1" applyNumberFormat="1" applyFont="1" applyFill="1" applyBorder="1" applyAlignment="1">
      <alignment vertical="center"/>
    </xf>
    <xf numFmtId="167" fontId="9" fillId="0" borderId="11" xfId="1" applyNumberFormat="1" applyFont="1" applyFill="1" applyBorder="1" applyAlignment="1">
      <alignment vertical="center"/>
    </xf>
    <xf numFmtId="166" fontId="9" fillId="0" borderId="11" xfId="1" applyFont="1" applyFill="1" applyBorder="1" applyAlignment="1">
      <alignment vertical="center"/>
    </xf>
    <xf numFmtId="167" fontId="9" fillId="0" borderId="31" xfId="1" applyNumberFormat="1" applyFont="1" applyFill="1" applyBorder="1" applyAlignment="1">
      <alignment vertical="center"/>
    </xf>
    <xf numFmtId="167" fontId="9" fillId="0" borderId="0" xfId="1" applyNumberFormat="1" applyFont="1" applyFill="1" applyBorder="1" applyAlignment="1">
      <alignment vertical="center"/>
    </xf>
    <xf numFmtId="167" fontId="10" fillId="0" borderId="32" xfId="1" applyNumberFormat="1" applyFont="1" applyFill="1" applyBorder="1" applyAlignment="1">
      <alignment vertical="center"/>
    </xf>
    <xf numFmtId="166" fontId="3" fillId="0" borderId="0" xfId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6" fontId="8" fillId="0" borderId="31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167" fontId="5" fillId="0" borderId="32" xfId="1" applyNumberFormat="1" applyFont="1" applyBorder="1" applyAlignment="1">
      <alignment vertical="center"/>
    </xf>
    <xf numFmtId="0" fontId="5" fillId="2" borderId="47" xfId="0" applyFont="1" applyFill="1" applyBorder="1" applyAlignment="1">
      <alignment vertical="center"/>
    </xf>
    <xf numFmtId="166" fontId="16" fillId="0" borderId="0" xfId="1" applyFont="1" applyFill="1" applyBorder="1" applyAlignment="1" applyProtection="1">
      <alignment horizontal="center" vertical="center"/>
    </xf>
    <xf numFmtId="166" fontId="22" fillId="0" borderId="0" xfId="1" applyFont="1" applyFill="1" applyBorder="1" applyAlignment="1" applyProtection="1">
      <alignment horizontal="center" vertical="center"/>
    </xf>
    <xf numFmtId="0" fontId="25" fillId="2" borderId="0" xfId="0" applyFont="1" applyFill="1" applyAlignment="1">
      <alignment horizontal="center" vertical="center"/>
    </xf>
    <xf numFmtId="168" fontId="25" fillId="2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169" fontId="3" fillId="2" borderId="11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168" fontId="3" fillId="2" borderId="11" xfId="0" applyNumberFormat="1" applyFont="1" applyFill="1" applyBorder="1" applyAlignment="1">
      <alignment horizontal="right" vertical="center"/>
    </xf>
    <xf numFmtId="0" fontId="27" fillId="0" borderId="0" xfId="2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6" fontId="24" fillId="0" borderId="0" xfId="1" applyFont="1" applyFill="1" applyBorder="1" applyAlignment="1" applyProtection="1">
      <alignment horizontal="center" vertical="center"/>
    </xf>
    <xf numFmtId="166" fontId="12" fillId="0" borderId="0" xfId="1" applyFont="1" applyFill="1" applyBorder="1" applyAlignment="1" applyProtection="1">
      <alignment horizontal="center" vertical="center"/>
    </xf>
    <xf numFmtId="167" fontId="46" fillId="0" borderId="0" xfId="1" applyNumberFormat="1" applyFont="1" applyFill="1" applyAlignment="1">
      <alignment vertical="center"/>
    </xf>
    <xf numFmtId="166" fontId="46" fillId="0" borderId="0" xfId="1" applyFont="1" applyFill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167" fontId="49" fillId="0" borderId="3" xfId="1" applyNumberFormat="1" applyFont="1" applyFill="1" applyBorder="1" applyAlignment="1">
      <alignment horizontal="center" vertical="center"/>
    </xf>
    <xf numFmtId="167" fontId="49" fillId="0" borderId="16" xfId="1" applyNumberFormat="1" applyFont="1" applyFill="1" applyBorder="1" applyAlignment="1">
      <alignment horizontal="center" vertical="center" wrapText="1"/>
    </xf>
    <xf numFmtId="166" fontId="49" fillId="0" borderId="26" xfId="1" applyFont="1" applyFill="1" applyBorder="1" applyAlignment="1">
      <alignment horizontal="center" vertical="center" wrapText="1"/>
    </xf>
    <xf numFmtId="166" fontId="52" fillId="0" borderId="11" xfId="0" applyNumberFormat="1" applyFont="1" applyBorder="1" applyAlignment="1">
      <alignment horizontal="center" vertical="center"/>
    </xf>
    <xf numFmtId="0" fontId="49" fillId="0" borderId="24" xfId="2" applyFont="1" applyBorder="1" applyAlignment="1">
      <alignment horizontal="left" vertical="center" wrapText="1"/>
    </xf>
    <xf numFmtId="167" fontId="54" fillId="0" borderId="11" xfId="1" applyNumberFormat="1" applyFont="1" applyFill="1" applyBorder="1" applyAlignment="1">
      <alignment vertical="center"/>
    </xf>
    <xf numFmtId="166" fontId="52" fillId="0" borderId="11" xfId="1" applyFont="1" applyFill="1" applyBorder="1" applyAlignment="1">
      <alignment horizontal="center" vertical="center"/>
    </xf>
    <xf numFmtId="0" fontId="46" fillId="0" borderId="30" xfId="2" applyFont="1" applyBorder="1" applyAlignment="1">
      <alignment horizontal="left" vertical="center" wrapText="1"/>
    </xf>
    <xf numFmtId="167" fontId="54" fillId="0" borderId="32" xfId="1" applyNumberFormat="1" applyFont="1" applyFill="1" applyBorder="1" applyAlignment="1">
      <alignment vertical="center"/>
    </xf>
    <xf numFmtId="167" fontId="46" fillId="0" borderId="5" xfId="1" applyNumberFormat="1" applyFont="1" applyFill="1" applyBorder="1" applyAlignment="1">
      <alignment horizontal="center" vertical="center"/>
    </xf>
    <xf numFmtId="166" fontId="53" fillId="0" borderId="11" xfId="0" applyNumberFormat="1" applyFont="1" applyBorder="1" applyAlignment="1">
      <alignment horizontal="center" vertical="center"/>
    </xf>
    <xf numFmtId="167" fontId="51" fillId="0" borderId="11" xfId="1" applyNumberFormat="1" applyFont="1" applyFill="1" applyBorder="1" applyAlignment="1">
      <alignment vertical="center"/>
    </xf>
    <xf numFmtId="166" fontId="53" fillId="0" borderId="11" xfId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67" fontId="51" fillId="0" borderId="0" xfId="1" applyNumberFormat="1" applyFont="1" applyFill="1" applyBorder="1" applyAlignment="1">
      <alignment vertical="center"/>
    </xf>
    <xf numFmtId="166" fontId="53" fillId="0" borderId="0" xfId="0" applyNumberFormat="1" applyFont="1" applyAlignment="1">
      <alignment horizontal="center" vertical="center"/>
    </xf>
    <xf numFmtId="166" fontId="53" fillId="0" borderId="0" xfId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center"/>
    </xf>
    <xf numFmtId="167" fontId="49" fillId="0" borderId="11" xfId="1" applyNumberFormat="1" applyFont="1" applyFill="1" applyBorder="1" applyAlignment="1">
      <alignment vertical="center"/>
    </xf>
    <xf numFmtId="167" fontId="54" fillId="0" borderId="11" xfId="1" applyNumberFormat="1" applyFont="1" applyFill="1" applyBorder="1" applyAlignment="1">
      <alignment horizontal="center" vertical="center"/>
    </xf>
    <xf numFmtId="168" fontId="46" fillId="0" borderId="11" xfId="0" applyNumberFormat="1" applyFont="1" applyBorder="1" applyAlignment="1">
      <alignment vertical="center"/>
    </xf>
    <xf numFmtId="0" fontId="49" fillId="0" borderId="11" xfId="0" applyFont="1" applyBorder="1" applyAlignment="1">
      <alignment horizontal="center" vertical="center"/>
    </xf>
    <xf numFmtId="168" fontId="49" fillId="0" borderId="11" xfId="0" applyNumberFormat="1" applyFont="1" applyBorder="1" applyAlignment="1">
      <alignment horizontal="center" vertical="center"/>
    </xf>
    <xf numFmtId="166" fontId="54" fillId="0" borderId="11" xfId="1" applyFont="1" applyFill="1" applyBorder="1" applyAlignment="1">
      <alignment horizontal="center" vertical="center"/>
    </xf>
    <xf numFmtId="166" fontId="49" fillId="0" borderId="11" xfId="1" applyFont="1" applyFill="1" applyBorder="1" applyAlignment="1">
      <alignment horizontal="center" vertical="center"/>
    </xf>
    <xf numFmtId="166" fontId="49" fillId="0" borderId="0" xfId="1" applyFont="1" applyFill="1" applyBorder="1" applyAlignment="1">
      <alignment horizontal="center" vertical="center"/>
    </xf>
    <xf numFmtId="167" fontId="49" fillId="0" borderId="32" xfId="1" applyNumberFormat="1" applyFont="1" applyFill="1" applyBorder="1" applyAlignment="1">
      <alignment vertical="center"/>
    </xf>
    <xf numFmtId="167" fontId="46" fillId="0" borderId="29" xfId="1" applyNumberFormat="1" applyFont="1" applyFill="1" applyBorder="1" applyAlignment="1">
      <alignment vertical="center"/>
    </xf>
    <xf numFmtId="166" fontId="46" fillId="0" borderId="11" xfId="1" applyFont="1" applyFill="1" applyBorder="1" applyAlignment="1">
      <alignment horizontal="center" vertical="center"/>
    </xf>
    <xf numFmtId="169" fontId="16" fillId="0" borderId="0" xfId="1" applyNumberFormat="1" applyFont="1" applyFill="1" applyBorder="1" applyAlignment="1" applyProtection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/>
    <xf numFmtId="0" fontId="57" fillId="0" borderId="0" xfId="0" quotePrefix="1" applyFont="1"/>
    <xf numFmtId="0" fontId="58" fillId="0" borderId="0" xfId="0" quotePrefix="1" applyFont="1"/>
    <xf numFmtId="0" fontId="59" fillId="33" borderId="0" xfId="0" applyFont="1" applyFill="1" applyAlignment="1">
      <alignment horizontal="center" vertical="center"/>
    </xf>
    <xf numFmtId="0" fontId="59" fillId="33" borderId="0" xfId="0" applyFont="1" applyFill="1"/>
    <xf numFmtId="0" fontId="60" fillId="0" borderId="57" xfId="0" applyFont="1" applyBorder="1"/>
    <xf numFmtId="0" fontId="56" fillId="0" borderId="58" xfId="0" applyFont="1" applyBorder="1"/>
    <xf numFmtId="20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/>
    </xf>
    <xf numFmtId="170" fontId="61" fillId="0" borderId="59" xfId="0" applyNumberFormat="1" applyFont="1" applyBorder="1" applyAlignment="1">
      <alignment vertical="center"/>
    </xf>
    <xf numFmtId="2" fontId="61" fillId="0" borderId="59" xfId="0" applyNumberFormat="1" applyFont="1" applyBorder="1" applyAlignment="1">
      <alignment vertical="center"/>
    </xf>
    <xf numFmtId="22" fontId="61" fillId="0" borderId="60" xfId="0" applyNumberFormat="1" applyFont="1" applyBorder="1" applyAlignment="1">
      <alignment vertical="center"/>
    </xf>
    <xf numFmtId="2" fontId="62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71" fontId="62" fillId="0" borderId="0" xfId="0" applyNumberFormat="1" applyFont="1" applyAlignment="1">
      <alignment horizontal="center" vertical="center"/>
    </xf>
    <xf numFmtId="0" fontId="56" fillId="33" borderId="0" xfId="0" applyFont="1" applyFill="1" applyAlignment="1">
      <alignment horizontal="center" vertical="center"/>
    </xf>
    <xf numFmtId="0" fontId="59" fillId="33" borderId="0" xfId="0" applyFont="1" applyFill="1" applyAlignment="1">
      <alignment horizontal="right"/>
    </xf>
    <xf numFmtId="2" fontId="63" fillId="33" borderId="0" xfId="0" applyNumberFormat="1" applyFont="1" applyFill="1" applyAlignment="1">
      <alignment horizontal="center" vertical="center"/>
    </xf>
    <xf numFmtId="166" fontId="49" fillId="0" borderId="11" xfId="1" applyFont="1" applyFill="1" applyBorder="1" applyAlignment="1">
      <alignment vertical="center"/>
    </xf>
    <xf numFmtId="0" fontId="24" fillId="0" borderId="0" xfId="1" applyNumberFormat="1" applyFont="1" applyFill="1" applyBorder="1" applyAlignment="1" applyProtection="1">
      <alignment horizontal="center" vertical="center"/>
    </xf>
    <xf numFmtId="0" fontId="46" fillId="0" borderId="0" xfId="0" applyFont="1" applyAlignment="1">
      <alignment vertical="center"/>
    </xf>
    <xf numFmtId="0" fontId="49" fillId="0" borderId="22" xfId="0" applyFont="1" applyBorder="1" applyAlignment="1">
      <alignment vertical="center"/>
    </xf>
    <xf numFmtId="0" fontId="49" fillId="0" borderId="14" xfId="0" applyFont="1" applyBorder="1" applyAlignment="1">
      <alignment vertical="center"/>
    </xf>
    <xf numFmtId="0" fontId="49" fillId="0" borderId="39" xfId="0" applyFont="1" applyBorder="1" applyAlignment="1">
      <alignment vertical="center"/>
    </xf>
    <xf numFmtId="0" fontId="46" fillId="0" borderId="12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0" fontId="46" fillId="0" borderId="14" xfId="0" applyFont="1" applyBorder="1" applyAlignment="1">
      <alignment vertical="center"/>
    </xf>
    <xf numFmtId="0" fontId="46" fillId="0" borderId="3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6" fillId="0" borderId="28" xfId="0" applyFont="1" applyBorder="1" applyAlignment="1">
      <alignment vertical="center"/>
    </xf>
    <xf numFmtId="0" fontId="49" fillId="0" borderId="41" xfId="0" applyFont="1" applyBorder="1" applyAlignment="1">
      <alignment vertical="center"/>
    </xf>
    <xf numFmtId="0" fontId="46" fillId="0" borderId="42" xfId="0" applyFont="1" applyBorder="1" applyAlignment="1">
      <alignment vertical="center"/>
    </xf>
    <xf numFmtId="0" fontId="46" fillId="0" borderId="41" xfId="0" applyFont="1" applyBorder="1" applyAlignment="1">
      <alignment vertical="center"/>
    </xf>
    <xf numFmtId="0" fontId="46" fillId="0" borderId="43" xfId="0" applyFont="1" applyBorder="1" applyAlignment="1">
      <alignment vertical="center"/>
    </xf>
    <xf numFmtId="0" fontId="46" fillId="0" borderId="44" xfId="0" applyFont="1" applyBorder="1" applyAlignment="1">
      <alignment vertical="center"/>
    </xf>
    <xf numFmtId="2" fontId="46" fillId="0" borderId="11" xfId="0" quotePrefix="1" applyNumberFormat="1" applyFont="1" applyBorder="1" applyAlignment="1">
      <alignment vertical="center"/>
    </xf>
    <xf numFmtId="0" fontId="46" fillId="0" borderId="5" xfId="0" applyFont="1" applyBorder="1" applyAlignment="1">
      <alignment vertical="center"/>
    </xf>
    <xf numFmtId="2" fontId="46" fillId="0" borderId="11" xfId="0" applyNumberFormat="1" applyFont="1" applyBorder="1" applyAlignment="1">
      <alignment vertical="center"/>
    </xf>
    <xf numFmtId="167" fontId="46" fillId="0" borderId="11" xfId="1" applyNumberFormat="1" applyFont="1" applyFill="1" applyBorder="1" applyAlignment="1">
      <alignment vertical="center"/>
    </xf>
    <xf numFmtId="167" fontId="46" fillId="0" borderId="32" xfId="1" applyNumberFormat="1" applyFont="1" applyFill="1" applyBorder="1" applyAlignment="1">
      <alignment vertical="center"/>
    </xf>
    <xf numFmtId="169" fontId="55" fillId="0" borderId="0" xfId="1" applyNumberFormat="1" applyFont="1" applyFill="1" applyBorder="1" applyAlignment="1" applyProtection="1">
      <alignment horizontal="center" vertical="center"/>
    </xf>
    <xf numFmtId="2" fontId="46" fillId="0" borderId="0" xfId="0" applyNumberFormat="1" applyFont="1" applyAlignment="1">
      <alignment vertical="center"/>
    </xf>
    <xf numFmtId="167" fontId="46" fillId="0" borderId="0" xfId="1" applyNumberFormat="1" applyFont="1" applyFill="1" applyBorder="1" applyAlignment="1">
      <alignment vertical="center"/>
    </xf>
    <xf numFmtId="2" fontId="46" fillId="0" borderId="23" xfId="0" applyNumberFormat="1" applyFont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49" fillId="0" borderId="15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47" fillId="0" borderId="13" xfId="0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49" fillId="0" borderId="40" xfId="0" applyFont="1" applyBorder="1" applyAlignment="1">
      <alignment horizontal="left" vertical="center" wrapText="1"/>
    </xf>
    <xf numFmtId="0" fontId="46" fillId="0" borderId="15" xfId="0" applyFont="1" applyBorder="1" applyAlignment="1">
      <alignment horizontal="left" vertical="center" wrapText="1"/>
    </xf>
    <xf numFmtId="0" fontId="46" fillId="0" borderId="0" xfId="0" applyFont="1" applyAlignment="1">
      <alignment horizontal="center" vertical="center"/>
    </xf>
    <xf numFmtId="0" fontId="46" fillId="0" borderId="0" xfId="1" applyNumberFormat="1" applyFont="1" applyFill="1" applyAlignment="1">
      <alignment horizontal="center" vertical="center"/>
    </xf>
    <xf numFmtId="0" fontId="49" fillId="0" borderId="5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166" fontId="46" fillId="0" borderId="32" xfId="0" applyNumberFormat="1" applyFont="1" applyBorder="1" applyAlignment="1">
      <alignment horizontal="center" vertical="center"/>
    </xf>
    <xf numFmtId="9" fontId="46" fillId="0" borderId="32" xfId="0" applyNumberFormat="1" applyFont="1" applyBorder="1" applyAlignment="1">
      <alignment horizontal="center" vertical="center"/>
    </xf>
    <xf numFmtId="167" fontId="49" fillId="0" borderId="18" xfId="1" applyNumberFormat="1" applyFont="1" applyFill="1" applyBorder="1" applyAlignment="1">
      <alignment horizontal="center" vertical="center" wrapText="1"/>
    </xf>
    <xf numFmtId="166" fontId="49" fillId="0" borderId="11" xfId="0" applyNumberFormat="1" applyFont="1" applyBorder="1" applyAlignment="1">
      <alignment horizontal="center" vertical="center"/>
    </xf>
    <xf numFmtId="166" fontId="49" fillId="0" borderId="27" xfId="1" applyFont="1" applyFill="1" applyBorder="1" applyAlignment="1">
      <alignment horizontal="center" vertical="center"/>
    </xf>
    <xf numFmtId="167" fontId="49" fillId="0" borderId="31" xfId="1" applyNumberFormat="1" applyFont="1" applyFill="1" applyBorder="1" applyAlignment="1">
      <alignment horizontal="center" vertical="center" wrapText="1"/>
    </xf>
    <xf numFmtId="166" fontId="49" fillId="0" borderId="32" xfId="0" applyNumberFormat="1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2" fontId="46" fillId="0" borderId="5" xfId="0" applyNumberFormat="1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7" xfId="0" applyFont="1" applyBorder="1" applyAlignment="1">
      <alignment horizontal="right" vertical="center"/>
    </xf>
    <xf numFmtId="168" fontId="46" fillId="0" borderId="11" xfId="0" applyNumberFormat="1" applyFont="1" applyBorder="1" applyAlignment="1">
      <alignment horizontal="center" vertical="center"/>
    </xf>
    <xf numFmtId="167" fontId="46" fillId="0" borderId="18" xfId="1" applyNumberFormat="1" applyFont="1" applyFill="1" applyBorder="1" applyAlignment="1">
      <alignment horizontal="center" vertical="center" wrapText="1"/>
    </xf>
    <xf numFmtId="166" fontId="51" fillId="0" borderId="11" xfId="1" applyFont="1" applyFill="1" applyBorder="1" applyAlignment="1">
      <alignment horizontal="center" vertical="center"/>
    </xf>
    <xf numFmtId="166" fontId="46" fillId="0" borderId="11" xfId="0" applyNumberFormat="1" applyFont="1" applyBorder="1" applyAlignment="1">
      <alignment horizontal="center" vertical="center"/>
    </xf>
    <xf numFmtId="166" fontId="46" fillId="0" borderId="27" xfId="1" applyFont="1" applyFill="1" applyBorder="1" applyAlignment="1">
      <alignment horizontal="center" vertical="center"/>
    </xf>
    <xf numFmtId="167" fontId="46" fillId="0" borderId="31" xfId="1" applyNumberFormat="1" applyFont="1" applyFill="1" applyBorder="1" applyAlignment="1">
      <alignment horizontal="center" vertical="center" wrapText="1"/>
    </xf>
    <xf numFmtId="0" fontId="46" fillId="0" borderId="31" xfId="0" applyFont="1" applyBorder="1" applyAlignment="1">
      <alignment horizontal="center" vertical="center"/>
    </xf>
    <xf numFmtId="166" fontId="3" fillId="0" borderId="0" xfId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8" fontId="25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6" fontId="9" fillId="0" borderId="0" xfId="1" applyFont="1" applyFill="1" applyBorder="1" applyAlignment="1">
      <alignment horizontal="center" vertical="center"/>
    </xf>
    <xf numFmtId="166" fontId="51" fillId="0" borderId="0" xfId="1" applyFont="1" applyFill="1" applyBorder="1" applyAlignment="1">
      <alignment horizontal="center" vertical="center"/>
    </xf>
    <xf numFmtId="166" fontId="46" fillId="0" borderId="0" xfId="1" applyFont="1" applyFill="1" applyBorder="1" applyAlignment="1">
      <alignment horizontal="center" vertical="center"/>
    </xf>
    <xf numFmtId="167" fontId="46" fillId="0" borderId="0" xfId="1" applyNumberFormat="1" applyFont="1" applyFill="1" applyBorder="1" applyAlignment="1">
      <alignment horizontal="center" vertical="center" wrapText="1"/>
    </xf>
    <xf numFmtId="168" fontId="46" fillId="0" borderId="0" xfId="0" applyNumberFormat="1" applyFont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168" fontId="49" fillId="0" borderId="11" xfId="0" applyNumberFormat="1" applyFont="1" applyBorder="1" applyAlignment="1">
      <alignment vertical="center"/>
    </xf>
    <xf numFmtId="167" fontId="49" fillId="0" borderId="11" xfId="1" applyNumberFormat="1" applyFont="1" applyFill="1" applyBorder="1" applyAlignment="1">
      <alignment horizontal="center" vertical="center" wrapText="1"/>
    </xf>
    <xf numFmtId="166" fontId="49" fillId="0" borderId="27" xfId="1" applyFont="1" applyFill="1" applyBorder="1" applyAlignment="1">
      <alignment vertical="center"/>
    </xf>
    <xf numFmtId="167" fontId="49" fillId="0" borderId="17" xfId="1" applyNumberFormat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2" fontId="46" fillId="0" borderId="11" xfId="0" applyNumberFormat="1" applyFont="1" applyBorder="1" applyAlignment="1">
      <alignment horizontal="center" vertical="center"/>
    </xf>
    <xf numFmtId="166" fontId="46" fillId="0" borderId="61" xfId="0" applyNumberFormat="1" applyFont="1" applyBorder="1" applyAlignment="1">
      <alignment horizontal="center" vertical="center"/>
    </xf>
    <xf numFmtId="166" fontId="49" fillId="0" borderId="43" xfId="1" applyFont="1" applyFill="1" applyBorder="1" applyAlignment="1">
      <alignment horizontal="center" vertical="center"/>
    </xf>
    <xf numFmtId="0" fontId="46" fillId="0" borderId="40" xfId="0" applyFont="1" applyBorder="1" applyAlignment="1">
      <alignment horizontal="left" vertical="center" wrapText="1"/>
    </xf>
    <xf numFmtId="166" fontId="46" fillId="0" borderId="27" xfId="0" applyNumberFormat="1" applyFont="1" applyBorder="1" applyAlignment="1">
      <alignment horizontal="center" vertical="center"/>
    </xf>
    <xf numFmtId="0" fontId="49" fillId="0" borderId="46" xfId="2" applyFont="1" applyBorder="1" applyAlignment="1">
      <alignment horizontal="left" vertical="center" wrapText="1"/>
    </xf>
    <xf numFmtId="168" fontId="46" fillId="0" borderId="32" xfId="0" applyNumberFormat="1" applyFont="1" applyBorder="1" applyAlignment="1">
      <alignment horizontal="center" vertical="center"/>
    </xf>
    <xf numFmtId="166" fontId="46" fillId="0" borderId="32" xfId="1" applyFont="1" applyFill="1" applyBorder="1" applyAlignment="1">
      <alignment horizontal="center" vertical="center"/>
    </xf>
    <xf numFmtId="0" fontId="49" fillId="0" borderId="11" xfId="0" applyFont="1" applyBorder="1" applyAlignment="1">
      <alignment vertical="center"/>
    </xf>
    <xf numFmtId="166" fontId="49" fillId="0" borderId="45" xfId="1" applyFont="1" applyFill="1" applyBorder="1" applyAlignment="1">
      <alignment horizontal="center" vertical="center"/>
    </xf>
    <xf numFmtId="0" fontId="49" fillId="0" borderId="32" xfId="0" applyFont="1" applyBorder="1" applyAlignment="1">
      <alignment horizontal="center" vertical="center"/>
    </xf>
    <xf numFmtId="166" fontId="49" fillId="0" borderId="61" xfId="0" applyNumberFormat="1" applyFont="1" applyBorder="1" applyAlignment="1">
      <alignment horizontal="center" vertical="center"/>
    </xf>
    <xf numFmtId="166" fontId="49" fillId="0" borderId="44" xfId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8" fontId="19" fillId="0" borderId="0" xfId="0" applyNumberFormat="1" applyFont="1" applyAlignment="1">
      <alignment horizontal="center" vertical="center"/>
    </xf>
    <xf numFmtId="166" fontId="20" fillId="0" borderId="0" xfId="1" applyFont="1" applyFill="1" applyBorder="1" applyAlignment="1">
      <alignment horizontal="center" vertical="center"/>
    </xf>
    <xf numFmtId="166" fontId="26" fillId="0" borderId="0" xfId="1" applyFont="1" applyFill="1" applyBorder="1" applyAlignment="1" applyProtection="1">
      <alignment vertical="center"/>
    </xf>
    <xf numFmtId="167" fontId="3" fillId="0" borderId="0" xfId="1" applyNumberFormat="1" applyFont="1" applyFill="1" applyBorder="1" applyAlignment="1">
      <alignment horizontal="center" vertical="center" wrapText="1"/>
    </xf>
    <xf numFmtId="166" fontId="65" fillId="0" borderId="0" xfId="0" applyNumberFormat="1" applyFont="1" applyAlignment="1">
      <alignment horizontal="center" vertical="center"/>
    </xf>
    <xf numFmtId="166" fontId="65" fillId="0" borderId="0" xfId="1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166" fontId="3" fillId="0" borderId="0" xfId="1" applyFont="1" applyFill="1" applyAlignment="1">
      <alignment vertical="center"/>
    </xf>
    <xf numFmtId="167" fontId="46" fillId="0" borderId="0" xfId="1" applyNumberFormat="1" applyFont="1" applyFill="1" applyAlignment="1">
      <alignment horizontal="center" vertical="center"/>
    </xf>
    <xf numFmtId="167" fontId="51" fillId="0" borderId="31" xfId="1" applyNumberFormat="1" applyFont="1" applyFill="1" applyBorder="1" applyAlignment="1">
      <alignment horizontal="center" vertical="center"/>
    </xf>
    <xf numFmtId="167" fontId="54" fillId="0" borderId="31" xfId="1" applyNumberFormat="1" applyFont="1" applyFill="1" applyBorder="1" applyAlignment="1">
      <alignment horizontal="center" vertical="center"/>
    </xf>
    <xf numFmtId="167" fontId="51" fillId="0" borderId="17" xfId="1" applyNumberFormat="1" applyFont="1" applyFill="1" applyBorder="1" applyAlignment="1">
      <alignment horizontal="center" vertical="center"/>
    </xf>
    <xf numFmtId="167" fontId="51" fillId="0" borderId="0" xfId="1" applyNumberFormat="1" applyFont="1" applyFill="1" applyBorder="1" applyAlignment="1">
      <alignment horizontal="center" vertical="center"/>
    </xf>
    <xf numFmtId="9" fontId="54" fillId="0" borderId="11" xfId="1" applyNumberFormat="1" applyFont="1" applyFill="1" applyBorder="1" applyAlignment="1">
      <alignment horizontal="center" vertical="center"/>
    </xf>
    <xf numFmtId="167" fontId="49" fillId="0" borderId="32" xfId="1" applyNumberFormat="1" applyFont="1" applyFill="1" applyBorder="1" applyAlignment="1">
      <alignment horizontal="center" vertical="center"/>
    </xf>
    <xf numFmtId="167" fontId="9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Fill="1" applyAlignment="1">
      <alignment horizontal="center" vertical="center"/>
    </xf>
    <xf numFmtId="166" fontId="49" fillId="0" borderId="32" xfId="1" applyFont="1" applyFill="1" applyBorder="1" applyAlignment="1">
      <alignment horizontal="center" vertical="center"/>
    </xf>
    <xf numFmtId="9" fontId="46" fillId="0" borderId="5" xfId="1" applyNumberFormat="1" applyFont="1" applyFill="1" applyBorder="1" applyAlignment="1">
      <alignment horizontal="center" vertical="center"/>
    </xf>
    <xf numFmtId="2" fontId="69" fillId="34" borderId="66" xfId="0" applyNumberFormat="1" applyFont="1" applyFill="1" applyBorder="1" applyAlignment="1">
      <alignment horizontal="center" vertical="center"/>
    </xf>
    <xf numFmtId="1" fontId="69" fillId="34" borderId="66" xfId="0" applyNumberFormat="1" applyFont="1" applyFill="1" applyBorder="1" applyAlignment="1">
      <alignment horizontal="center" vertical="center"/>
    </xf>
    <xf numFmtId="172" fontId="69" fillId="34" borderId="66" xfId="1" applyNumberFormat="1" applyFont="1" applyFill="1" applyBorder="1" applyAlignment="1">
      <alignment horizontal="center" vertical="center"/>
    </xf>
    <xf numFmtId="166" fontId="69" fillId="34" borderId="66" xfId="1" applyFont="1" applyFill="1" applyBorder="1" applyAlignment="1">
      <alignment horizontal="center" vertical="center"/>
    </xf>
    <xf numFmtId="2" fontId="69" fillId="34" borderId="66" xfId="0" applyNumberFormat="1" applyFont="1" applyFill="1" applyBorder="1"/>
    <xf numFmtId="172" fontId="69" fillId="34" borderId="66" xfId="0" applyNumberFormat="1" applyFont="1" applyFill="1" applyBorder="1"/>
    <xf numFmtId="0" fontId="69" fillId="35" borderId="66" xfId="0" applyFont="1" applyFill="1" applyBorder="1" applyAlignment="1">
      <alignment horizontal="center" vertical="center"/>
    </xf>
    <xf numFmtId="2" fontId="69" fillId="35" borderId="66" xfId="0" applyNumberFormat="1" applyFont="1" applyFill="1" applyBorder="1" applyAlignment="1">
      <alignment horizontal="center" vertical="center"/>
    </xf>
    <xf numFmtId="172" fontId="69" fillId="35" borderId="66" xfId="1" applyNumberFormat="1" applyFont="1" applyFill="1" applyBorder="1" applyAlignment="1">
      <alignment horizontal="center" vertical="center"/>
    </xf>
    <xf numFmtId="166" fontId="69" fillId="35" borderId="66" xfId="1" applyFont="1" applyFill="1" applyBorder="1" applyAlignment="1">
      <alignment horizontal="center" vertical="center"/>
    </xf>
    <xf numFmtId="0" fontId="71" fillId="0" borderId="0" xfId="0" applyFont="1"/>
    <xf numFmtId="1" fontId="69" fillId="34" borderId="6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49" fillId="37" borderId="11" xfId="0" applyNumberFormat="1" applyFont="1" applyFill="1" applyBorder="1" applyAlignment="1">
      <alignment vertical="center"/>
    </xf>
    <xf numFmtId="166" fontId="49" fillId="0" borderId="74" xfId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169" fontId="26" fillId="0" borderId="0" xfId="1" applyNumberFormat="1" applyFont="1" applyFill="1" applyBorder="1" applyAlignment="1" applyProtection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6" fillId="37" borderId="62" xfId="2" applyFont="1" applyFill="1" applyBorder="1" applyAlignment="1">
      <alignment horizontal="left" vertical="center" wrapText="1"/>
    </xf>
    <xf numFmtId="2" fontId="46" fillId="37" borderId="32" xfId="0" applyNumberFormat="1" applyFont="1" applyFill="1" applyBorder="1" applyAlignment="1">
      <alignment vertical="center"/>
    </xf>
    <xf numFmtId="0" fontId="46" fillId="37" borderId="30" xfId="2" applyFont="1" applyFill="1" applyBorder="1" applyAlignment="1">
      <alignment horizontal="left" vertical="center" wrapText="1"/>
    </xf>
    <xf numFmtId="2" fontId="46" fillId="37" borderId="29" xfId="0" applyNumberFormat="1" applyFont="1" applyFill="1" applyBorder="1" applyAlignment="1">
      <alignment vertical="center"/>
    </xf>
    <xf numFmtId="2" fontId="46" fillId="37" borderId="11" xfId="0" applyNumberFormat="1" applyFont="1" applyFill="1" applyBorder="1" applyAlignment="1">
      <alignment horizontal="left" vertical="center"/>
    </xf>
    <xf numFmtId="2" fontId="46" fillId="37" borderId="11" xfId="0" applyNumberFormat="1" applyFont="1" applyFill="1" applyBorder="1" applyAlignment="1">
      <alignment vertical="center"/>
    </xf>
    <xf numFmtId="166" fontId="49" fillId="0" borderId="76" xfId="1" applyFont="1" applyFill="1" applyBorder="1" applyAlignment="1">
      <alignment horizontal="center" vertical="center"/>
    </xf>
    <xf numFmtId="2" fontId="49" fillId="0" borderId="11" xfId="0" applyNumberFormat="1" applyFont="1" applyBorder="1" applyAlignment="1">
      <alignment horizontal="center" vertical="center"/>
    </xf>
    <xf numFmtId="166" fontId="49" fillId="0" borderId="77" xfId="1" applyFont="1" applyFill="1" applyBorder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2" fontId="49" fillId="0" borderId="6" xfId="0" applyNumberFormat="1" applyFont="1" applyBorder="1" applyAlignment="1">
      <alignment horizontal="center" vertical="center"/>
    </xf>
    <xf numFmtId="2" fontId="49" fillId="0" borderId="10" xfId="0" applyNumberFormat="1" applyFont="1" applyBorder="1" applyAlignment="1">
      <alignment horizontal="center" vertical="center" wrapText="1"/>
    </xf>
    <xf numFmtId="2" fontId="46" fillId="0" borderId="5" xfId="1" applyNumberFormat="1" applyFont="1" applyFill="1" applyBorder="1" applyAlignment="1">
      <alignment horizontal="center" vertical="center"/>
    </xf>
    <xf numFmtId="2" fontId="16" fillId="0" borderId="0" xfId="1" applyNumberFormat="1" applyFont="1" applyFill="1" applyBorder="1" applyAlignment="1" applyProtection="1">
      <alignment horizontal="center" vertical="center"/>
    </xf>
    <xf numFmtId="2" fontId="24" fillId="0" borderId="0" xfId="1" applyNumberFormat="1" applyFont="1" applyFill="1" applyBorder="1" applyAlignment="1" applyProtection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64" fillId="0" borderId="0" xfId="0" applyNumberFormat="1" applyFont="1" applyAlignment="1">
      <alignment horizontal="center" vertical="center"/>
    </xf>
    <xf numFmtId="2" fontId="26" fillId="0" borderId="0" xfId="1" applyNumberFormat="1" applyFont="1" applyFill="1" applyBorder="1" applyAlignment="1" applyProtection="1">
      <alignment vertical="center"/>
    </xf>
    <xf numFmtId="2" fontId="64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2" fontId="49" fillId="37" borderId="11" xfId="0" applyNumberFormat="1" applyFont="1" applyFill="1" applyBorder="1" applyAlignment="1">
      <alignment horizontal="left" vertical="center"/>
    </xf>
    <xf numFmtId="1" fontId="49" fillId="0" borderId="11" xfId="0" applyNumberFormat="1" applyFont="1" applyBorder="1" applyAlignment="1">
      <alignment horizontal="center" vertical="center"/>
    </xf>
    <xf numFmtId="0" fontId="72" fillId="0" borderId="0" xfId="2" applyFont="1" applyAlignment="1">
      <alignment horizontal="left" vertical="center"/>
    </xf>
    <xf numFmtId="0" fontId="73" fillId="0" borderId="0" xfId="2" applyFont="1" applyAlignment="1">
      <alignment horizontal="center" vertical="center"/>
    </xf>
    <xf numFmtId="166" fontId="73" fillId="0" borderId="0" xfId="44" applyFont="1" applyFill="1" applyBorder="1" applyAlignment="1" applyProtection="1">
      <alignment horizontal="center" vertical="center"/>
    </xf>
    <xf numFmtId="166" fontId="73" fillId="0" borderId="0" xfId="1" applyFont="1" applyFill="1" applyBorder="1" applyAlignment="1" applyProtection="1">
      <alignment horizontal="center" vertical="center"/>
    </xf>
    <xf numFmtId="0" fontId="74" fillId="0" borderId="0" xfId="2" applyFont="1" applyAlignment="1">
      <alignment horizontal="right" vertical="center" wrapText="1"/>
    </xf>
    <xf numFmtId="166" fontId="73" fillId="0" borderId="0" xfId="2" applyNumberFormat="1" applyFont="1" applyAlignment="1">
      <alignment horizontal="center" vertical="center"/>
    </xf>
    <xf numFmtId="20" fontId="73" fillId="0" borderId="0" xfId="2" applyNumberFormat="1" applyFont="1" applyAlignment="1">
      <alignment horizontal="center" vertical="center"/>
    </xf>
    <xf numFmtId="20" fontId="73" fillId="0" borderId="0" xfId="2" applyNumberFormat="1" applyFont="1" applyAlignment="1">
      <alignment horizontal="left" vertical="center" wrapText="1"/>
    </xf>
    <xf numFmtId="9" fontId="73" fillId="0" borderId="0" xfId="45" applyFont="1" applyFill="1" applyBorder="1" applyAlignment="1" applyProtection="1">
      <alignment horizontal="center" vertical="center"/>
    </xf>
    <xf numFmtId="2" fontId="73" fillId="0" borderId="0" xfId="44" applyNumberFormat="1" applyFont="1" applyFill="1" applyBorder="1" applyAlignment="1" applyProtection="1">
      <alignment horizontal="center" vertical="center"/>
    </xf>
    <xf numFmtId="2" fontId="73" fillId="0" borderId="0" xfId="2" applyNumberFormat="1" applyFont="1" applyAlignment="1">
      <alignment horizontal="center" vertical="center"/>
    </xf>
    <xf numFmtId="2" fontId="73" fillId="0" borderId="0" xfId="1" applyNumberFormat="1" applyFont="1" applyFill="1" applyBorder="1" applyAlignment="1" applyProtection="1">
      <alignment horizontal="center" vertical="center"/>
    </xf>
    <xf numFmtId="0" fontId="73" fillId="0" borderId="0" xfId="45" applyNumberFormat="1" applyFont="1" applyFill="1" applyBorder="1" applyAlignment="1" applyProtection="1">
      <alignment horizontal="center" vertical="center"/>
    </xf>
    <xf numFmtId="9" fontId="73" fillId="0" borderId="0" xfId="45" applyFont="1" applyFill="1" applyBorder="1" applyAlignment="1" applyProtection="1">
      <alignment horizontal="left" vertical="center" wrapText="1"/>
    </xf>
    <xf numFmtId="2" fontId="72" fillId="0" borderId="79" xfId="2" applyNumberFormat="1" applyFont="1" applyBorder="1" applyAlignment="1">
      <alignment vertical="center"/>
    </xf>
    <xf numFmtId="0" fontId="73" fillId="0" borderId="79" xfId="2" applyFont="1" applyBorder="1" applyAlignment="1">
      <alignment horizontal="center" vertical="center"/>
    </xf>
    <xf numFmtId="2" fontId="73" fillId="0" borderId="79" xfId="2" applyNumberFormat="1" applyFont="1" applyBorder="1" applyAlignment="1">
      <alignment horizontal="center" vertical="center"/>
    </xf>
    <xf numFmtId="166" fontId="73" fillId="0" borderId="79" xfId="44" applyFont="1" applyFill="1" applyBorder="1" applyAlignment="1" applyProtection="1">
      <alignment horizontal="center" vertical="center"/>
    </xf>
    <xf numFmtId="2" fontId="72" fillId="0" borderId="79" xfId="44" applyNumberFormat="1" applyFont="1" applyFill="1" applyBorder="1" applyAlignment="1" applyProtection="1">
      <alignment horizontal="center" vertical="center"/>
    </xf>
    <xf numFmtId="2" fontId="73" fillId="0" borderId="79" xfId="1" applyNumberFormat="1" applyFont="1" applyFill="1" applyBorder="1" applyAlignment="1" applyProtection="1">
      <alignment horizontal="center" vertical="center"/>
    </xf>
    <xf numFmtId="13" fontId="73" fillId="0" borderId="79" xfId="1" applyNumberFormat="1" applyFont="1" applyFill="1" applyBorder="1" applyAlignment="1" applyProtection="1">
      <alignment horizontal="center" vertical="center"/>
    </xf>
    <xf numFmtId="166" fontId="73" fillId="0" borderId="79" xfId="1" applyFont="1" applyFill="1" applyBorder="1" applyAlignment="1" applyProtection="1">
      <alignment horizontal="center" vertical="center"/>
    </xf>
    <xf numFmtId="2" fontId="72" fillId="0" borderId="79" xfId="46" applyNumberFormat="1" applyFont="1" applyFill="1" applyBorder="1" applyAlignment="1" applyProtection="1">
      <alignment horizontal="center" vertical="center"/>
    </xf>
    <xf numFmtId="166" fontId="72" fillId="0" borderId="79" xfId="1" applyFont="1" applyFill="1" applyBorder="1" applyAlignment="1" applyProtection="1">
      <alignment horizontal="center" vertical="center"/>
    </xf>
    <xf numFmtId="9" fontId="72" fillId="0" borderId="79" xfId="46" applyFont="1" applyFill="1" applyBorder="1" applyAlignment="1" applyProtection="1">
      <alignment horizontal="center" vertical="center"/>
    </xf>
    <xf numFmtId="0" fontId="73" fillId="0" borderId="79" xfId="2" applyFont="1" applyBorder="1" applyAlignment="1">
      <alignment horizontal="left" vertical="center" wrapText="1"/>
    </xf>
    <xf numFmtId="9" fontId="72" fillId="0" borderId="57" xfId="46" applyFont="1" applyFill="1" applyBorder="1" applyAlignment="1" applyProtection="1">
      <alignment horizontal="center" vertical="center" wrapText="1"/>
    </xf>
    <xf numFmtId="166" fontId="72" fillId="0" borderId="26" xfId="1" applyFont="1" applyFill="1" applyBorder="1" applyAlignment="1" applyProtection="1">
      <alignment horizontal="center" vertical="center" wrapText="1"/>
    </xf>
    <xf numFmtId="0" fontId="72" fillId="0" borderId="26" xfId="2" applyFont="1" applyBorder="1" applyAlignment="1">
      <alignment horizontal="center" vertical="center" wrapText="1"/>
    </xf>
    <xf numFmtId="166" fontId="72" fillId="0" borderId="26" xfId="44" applyFont="1" applyFill="1" applyBorder="1" applyAlignment="1" applyProtection="1">
      <alignment horizontal="center" vertical="center" wrapText="1"/>
    </xf>
    <xf numFmtId="9" fontId="72" fillId="0" borderId="26" xfId="46" applyFont="1" applyFill="1" applyBorder="1" applyAlignment="1" applyProtection="1">
      <alignment horizontal="center" vertical="center" wrapText="1"/>
    </xf>
    <xf numFmtId="9" fontId="72" fillId="0" borderId="83" xfId="46" applyFont="1" applyFill="1" applyBorder="1" applyAlignment="1" applyProtection="1">
      <alignment horizontal="center" vertical="center" wrapText="1"/>
    </xf>
    <xf numFmtId="14" fontId="73" fillId="0" borderId="64" xfId="2" applyNumberFormat="1" applyFont="1" applyBorder="1" applyAlignment="1">
      <alignment horizontal="center" vertical="center"/>
    </xf>
    <xf numFmtId="0" fontId="73" fillId="2" borderId="64" xfId="2" applyFont="1" applyFill="1" applyBorder="1" applyAlignment="1">
      <alignment horizontal="center" vertical="center"/>
    </xf>
    <xf numFmtId="2" fontId="75" fillId="2" borderId="64" xfId="2" applyNumberFormat="1" applyFont="1" applyFill="1" applyBorder="1" applyAlignment="1">
      <alignment horizontal="center" vertical="center" wrapText="1"/>
    </xf>
    <xf numFmtId="166" fontId="75" fillId="2" borderId="84" xfId="44" applyFont="1" applyFill="1" applyBorder="1" applyAlignment="1" applyProtection="1">
      <alignment vertical="center"/>
    </xf>
    <xf numFmtId="166" fontId="75" fillId="2" borderId="64" xfId="44" applyFont="1" applyFill="1" applyBorder="1" applyAlignment="1" applyProtection="1">
      <alignment vertical="center"/>
    </xf>
    <xf numFmtId="2" fontId="75" fillId="2" borderId="64" xfId="2" applyNumberFormat="1" applyFont="1" applyFill="1" applyBorder="1" applyAlignment="1">
      <alignment horizontal="center" vertical="center"/>
    </xf>
    <xf numFmtId="166" fontId="73" fillId="2" borderId="63" xfId="1" applyFont="1" applyFill="1" applyBorder="1" applyAlignment="1">
      <alignment vertical="center"/>
    </xf>
    <xf numFmtId="166" fontId="75" fillId="2" borderId="65" xfId="1" applyFont="1" applyFill="1" applyBorder="1" applyAlignment="1" applyProtection="1">
      <alignment horizontal="center" vertical="center" wrapText="1"/>
    </xf>
    <xf numFmtId="0" fontId="73" fillId="2" borderId="65" xfId="2" applyFont="1" applyFill="1" applyBorder="1" applyAlignment="1">
      <alignment horizontal="center" vertical="center"/>
    </xf>
    <xf numFmtId="2" fontId="75" fillId="2" borderId="65" xfId="2" applyNumberFormat="1" applyFont="1" applyFill="1" applyBorder="1" applyAlignment="1">
      <alignment horizontal="center" vertical="center"/>
    </xf>
    <xf numFmtId="9" fontId="75" fillId="2" borderId="65" xfId="46" applyFont="1" applyFill="1" applyBorder="1" applyAlignment="1" applyProtection="1">
      <alignment horizontal="center" vertical="center"/>
    </xf>
    <xf numFmtId="166" fontId="73" fillId="2" borderId="85" xfId="1" applyFont="1" applyFill="1" applyBorder="1" applyAlignment="1" applyProtection="1">
      <alignment horizontal="center" vertical="center"/>
    </xf>
    <xf numFmtId="166" fontId="73" fillId="2" borderId="64" xfId="2" applyNumberFormat="1" applyFont="1" applyFill="1" applyBorder="1" applyAlignment="1">
      <alignment horizontal="center" vertical="center"/>
    </xf>
    <xf numFmtId="166" fontId="73" fillId="2" borderId="65" xfId="2" applyNumberFormat="1" applyFont="1" applyFill="1" applyBorder="1" applyAlignment="1">
      <alignment horizontal="center" vertical="center"/>
    </xf>
    <xf numFmtId="39" fontId="73" fillId="2" borderId="65" xfId="2" applyNumberFormat="1" applyFont="1" applyFill="1" applyBorder="1" applyAlignment="1">
      <alignment horizontal="center" vertical="center"/>
    </xf>
    <xf numFmtId="0" fontId="75" fillId="37" borderId="65" xfId="2" applyFont="1" applyFill="1" applyBorder="1" applyAlignment="1">
      <alignment horizontal="center" vertical="center"/>
    </xf>
    <xf numFmtId="2" fontId="75" fillId="37" borderId="65" xfId="2" applyNumberFormat="1" applyFont="1" applyFill="1" applyBorder="1" applyAlignment="1">
      <alignment horizontal="center" vertical="center"/>
    </xf>
    <xf numFmtId="166" fontId="73" fillId="37" borderId="65" xfId="44" applyFont="1" applyFill="1" applyBorder="1" applyAlignment="1" applyProtection="1">
      <alignment horizontal="center" vertical="center"/>
    </xf>
    <xf numFmtId="166" fontId="73" fillId="37" borderId="64" xfId="44" applyFont="1" applyFill="1" applyBorder="1" applyAlignment="1" applyProtection="1">
      <alignment horizontal="center" vertical="center"/>
    </xf>
    <xf numFmtId="2" fontId="75" fillId="37" borderId="64" xfId="2" applyNumberFormat="1" applyFont="1" applyFill="1" applyBorder="1" applyAlignment="1">
      <alignment horizontal="center" vertical="center"/>
    </xf>
    <xf numFmtId="166" fontId="73" fillId="37" borderId="64" xfId="1" applyFont="1" applyFill="1" applyBorder="1" applyAlignment="1">
      <alignment vertical="center"/>
    </xf>
    <xf numFmtId="9" fontId="75" fillId="37" borderId="65" xfId="46" applyFont="1" applyFill="1" applyBorder="1" applyAlignment="1" applyProtection="1">
      <alignment horizontal="center" vertical="center"/>
    </xf>
    <xf numFmtId="166" fontId="75" fillId="37" borderId="85" xfId="1" applyFont="1" applyFill="1" applyBorder="1" applyAlignment="1" applyProtection="1">
      <alignment horizontal="center" vertical="center"/>
    </xf>
    <xf numFmtId="0" fontId="75" fillId="37" borderId="64" xfId="2" applyFont="1" applyFill="1" applyBorder="1" applyAlignment="1">
      <alignment horizontal="center" vertical="center"/>
    </xf>
    <xf numFmtId="0" fontId="75" fillId="37" borderId="65" xfId="2" applyFont="1" applyFill="1" applyBorder="1" applyAlignment="1">
      <alignment horizontal="center" vertical="center" wrapText="1"/>
    </xf>
    <xf numFmtId="166" fontId="75" fillId="37" borderId="65" xfId="2" applyNumberFormat="1" applyFont="1" applyFill="1" applyBorder="1" applyAlignment="1">
      <alignment horizontal="center" vertical="center"/>
    </xf>
    <xf numFmtId="39" fontId="75" fillId="37" borderId="65" xfId="2" applyNumberFormat="1" applyFont="1" applyFill="1" applyBorder="1" applyAlignment="1">
      <alignment horizontal="center" vertical="center"/>
    </xf>
    <xf numFmtId="2" fontId="75" fillId="37" borderId="0" xfId="2" applyNumberFormat="1" applyFont="1" applyFill="1" applyAlignment="1">
      <alignment horizontal="center" vertical="center"/>
    </xf>
    <xf numFmtId="2" fontId="75" fillId="37" borderId="0" xfId="45" applyNumberFormat="1" applyFont="1" applyFill="1" applyBorder="1" applyAlignment="1" applyProtection="1">
      <alignment horizontal="center" vertical="center"/>
    </xf>
    <xf numFmtId="0" fontId="73" fillId="37" borderId="65" xfId="2" applyFont="1" applyFill="1" applyBorder="1" applyAlignment="1">
      <alignment horizontal="center" vertical="center"/>
    </xf>
    <xf numFmtId="166" fontId="73" fillId="37" borderId="84" xfId="44" applyFont="1" applyFill="1" applyBorder="1" applyAlignment="1" applyProtection="1">
      <alignment vertical="center"/>
    </xf>
    <xf numFmtId="166" fontId="73" fillId="37" borderId="64" xfId="44" applyFont="1" applyFill="1" applyBorder="1" applyAlignment="1" applyProtection="1">
      <alignment vertical="center"/>
    </xf>
    <xf numFmtId="0" fontId="73" fillId="37" borderId="65" xfId="2" applyFont="1" applyFill="1" applyBorder="1" applyAlignment="1">
      <alignment horizontal="center" vertical="center" wrapText="1"/>
    </xf>
    <xf numFmtId="166" fontId="73" fillId="37" borderId="65" xfId="2" applyNumberFormat="1" applyFont="1" applyFill="1" applyBorder="1" applyAlignment="1">
      <alignment horizontal="center" vertical="center"/>
    </xf>
    <xf numFmtId="39" fontId="73" fillId="37" borderId="65" xfId="2" applyNumberFormat="1" applyFont="1" applyFill="1" applyBorder="1" applyAlignment="1">
      <alignment horizontal="center" vertical="center"/>
    </xf>
    <xf numFmtId="2" fontId="73" fillId="37" borderId="0" xfId="2" applyNumberFormat="1" applyFont="1" applyFill="1" applyAlignment="1">
      <alignment horizontal="center" vertical="center"/>
    </xf>
    <xf numFmtId="166" fontId="75" fillId="37" borderId="65" xfId="44" applyFont="1" applyFill="1" applyBorder="1" applyAlignment="1" applyProtection="1">
      <alignment horizontal="center" vertical="center"/>
    </xf>
    <xf numFmtId="166" fontId="75" fillId="37" borderId="64" xfId="44" applyFont="1" applyFill="1" applyBorder="1" applyAlignment="1" applyProtection="1">
      <alignment horizontal="center" vertical="center"/>
    </xf>
    <xf numFmtId="2" fontId="73" fillId="2" borderId="64" xfId="2" applyNumberFormat="1" applyFont="1" applyFill="1" applyBorder="1" applyAlignment="1">
      <alignment horizontal="center" vertical="center"/>
    </xf>
    <xf numFmtId="166" fontId="73" fillId="37" borderId="64" xfId="1" applyFont="1" applyFill="1" applyBorder="1" applyAlignment="1" applyProtection="1">
      <alignment horizontal="center" vertical="center"/>
    </xf>
    <xf numFmtId="2" fontId="75" fillId="0" borderId="65" xfId="2" applyNumberFormat="1" applyFont="1" applyBorder="1" applyAlignment="1">
      <alignment horizontal="center" vertical="center"/>
    </xf>
    <xf numFmtId="9" fontId="75" fillId="0" borderId="65" xfId="46" applyFont="1" applyFill="1" applyBorder="1" applyAlignment="1" applyProtection="1">
      <alignment horizontal="center" vertical="center"/>
    </xf>
    <xf numFmtId="166" fontId="73" fillId="0" borderId="64" xfId="2" applyNumberFormat="1" applyFont="1" applyBorder="1" applyAlignment="1">
      <alignment horizontal="center" vertical="center"/>
    </xf>
    <xf numFmtId="2" fontId="75" fillId="0" borderId="0" xfId="2" applyNumberFormat="1" applyFont="1" applyAlignment="1">
      <alignment horizontal="center" vertical="center"/>
    </xf>
    <xf numFmtId="166" fontId="75" fillId="37" borderId="65" xfId="1" applyFont="1" applyFill="1" applyBorder="1" applyAlignment="1" applyProtection="1">
      <alignment horizontal="center" vertical="center" wrapText="1"/>
    </xf>
    <xf numFmtId="0" fontId="73" fillId="37" borderId="64" xfId="2" applyFont="1" applyFill="1" applyBorder="1" applyAlignment="1">
      <alignment horizontal="center" vertical="center"/>
    </xf>
    <xf numFmtId="0" fontId="75" fillId="2" borderId="64" xfId="2" applyFont="1" applyFill="1" applyBorder="1" applyAlignment="1">
      <alignment horizontal="center" vertical="center"/>
    </xf>
    <xf numFmtId="2" fontId="73" fillId="37" borderId="64" xfId="2" applyNumberFormat="1" applyFont="1" applyFill="1" applyBorder="1" applyAlignment="1">
      <alignment horizontal="center" vertical="center"/>
    </xf>
    <xf numFmtId="2" fontId="72" fillId="0" borderId="0" xfId="2" applyNumberFormat="1" applyFont="1" applyAlignment="1">
      <alignment horizontal="center" vertical="center"/>
    </xf>
    <xf numFmtId="173" fontId="73" fillId="0" borderId="0" xfId="47" applyNumberFormat="1" applyFont="1" applyFill="1" applyBorder="1" applyAlignment="1" applyProtection="1">
      <alignment horizontal="center" vertical="center"/>
    </xf>
    <xf numFmtId="166" fontId="73" fillId="37" borderId="64" xfId="2" applyNumberFormat="1" applyFont="1" applyFill="1" applyBorder="1" applyAlignment="1">
      <alignment horizontal="center" vertical="center"/>
    </xf>
    <xf numFmtId="0" fontId="73" fillId="37" borderId="15" xfId="0" applyFont="1" applyFill="1" applyBorder="1" applyAlignment="1">
      <alignment horizontal="left" vertical="center" wrapText="1"/>
    </xf>
    <xf numFmtId="173" fontId="73" fillId="37" borderId="0" xfId="47" applyNumberFormat="1" applyFont="1" applyFill="1" applyBorder="1" applyAlignment="1" applyProtection="1">
      <alignment horizontal="center" vertical="center"/>
    </xf>
    <xf numFmtId="14" fontId="75" fillId="0" borderId="64" xfId="2" applyNumberFormat="1" applyFont="1" applyBorder="1" applyAlignment="1">
      <alignment horizontal="center" vertical="center"/>
    </xf>
    <xf numFmtId="0" fontId="75" fillId="0" borderId="65" xfId="2" applyFont="1" applyBorder="1" applyAlignment="1">
      <alignment horizontal="center" vertical="center"/>
    </xf>
    <xf numFmtId="166" fontId="75" fillId="0" borderId="65" xfId="44" applyFont="1" applyFill="1" applyBorder="1" applyAlignment="1" applyProtection="1">
      <alignment horizontal="center" vertical="center"/>
    </xf>
    <xf numFmtId="166" fontId="75" fillId="0" borderId="64" xfId="44" applyFont="1" applyFill="1" applyBorder="1" applyAlignment="1" applyProtection="1">
      <alignment horizontal="center" vertical="center"/>
    </xf>
    <xf numFmtId="2" fontId="75" fillId="0" borderId="64" xfId="2" applyNumberFormat="1" applyFont="1" applyBorder="1" applyAlignment="1">
      <alignment horizontal="center" vertical="center"/>
    </xf>
    <xf numFmtId="166" fontId="75" fillId="0" borderId="64" xfId="1" applyFont="1" applyFill="1" applyBorder="1" applyAlignment="1" applyProtection="1">
      <alignment horizontal="center" vertical="center"/>
    </xf>
    <xf numFmtId="166" fontId="75" fillId="0" borderId="65" xfId="2" applyNumberFormat="1" applyFont="1" applyBorder="1" applyAlignment="1">
      <alignment horizontal="center" vertical="center"/>
    </xf>
    <xf numFmtId="166" fontId="75" fillId="0" borderId="86" xfId="2" applyNumberFormat="1" applyFont="1" applyBorder="1" applyAlignment="1">
      <alignment horizontal="center" vertical="center"/>
    </xf>
    <xf numFmtId="39" fontId="75" fillId="0" borderId="65" xfId="2" applyNumberFormat="1" applyFont="1" applyBorder="1" applyAlignment="1">
      <alignment horizontal="center" vertical="center"/>
    </xf>
    <xf numFmtId="173" fontId="75" fillId="0" borderId="0" xfId="47" applyNumberFormat="1" applyFont="1" applyFill="1" applyBorder="1" applyAlignment="1" applyProtection="1">
      <alignment horizontal="center" vertical="center"/>
    </xf>
    <xf numFmtId="166" fontId="75" fillId="2" borderId="64" xfId="1" applyFont="1" applyFill="1" applyBorder="1" applyAlignment="1" applyProtection="1">
      <alignment horizontal="center" vertical="center"/>
    </xf>
    <xf numFmtId="0" fontId="75" fillId="2" borderId="65" xfId="2" applyFont="1" applyFill="1" applyBorder="1" applyAlignment="1">
      <alignment horizontal="center" vertical="center"/>
    </xf>
    <xf numFmtId="166" fontId="75" fillId="2" borderId="65" xfId="1" applyFont="1" applyFill="1" applyBorder="1" applyAlignment="1" applyProtection="1">
      <alignment vertical="center"/>
    </xf>
    <xf numFmtId="0" fontId="75" fillId="0" borderId="66" xfId="2" applyFont="1" applyBorder="1" applyAlignment="1">
      <alignment horizontal="center" vertical="center"/>
    </xf>
    <xf numFmtId="0" fontId="75" fillId="2" borderId="65" xfId="2" applyFont="1" applyFill="1" applyBorder="1" applyAlignment="1">
      <alignment horizontal="center" vertical="center" wrapText="1"/>
    </xf>
    <xf numFmtId="166" fontId="75" fillId="2" borderId="84" xfId="2" applyNumberFormat="1" applyFont="1" applyFill="1" applyBorder="1" applyAlignment="1">
      <alignment horizontal="center" vertical="center"/>
    </xf>
    <xf numFmtId="39" fontId="75" fillId="2" borderId="65" xfId="2" applyNumberFormat="1" applyFont="1" applyFill="1" applyBorder="1" applyAlignment="1">
      <alignment horizontal="center" vertical="center"/>
    </xf>
    <xf numFmtId="0" fontId="73" fillId="2" borderId="15" xfId="0" applyFont="1" applyFill="1" applyBorder="1" applyAlignment="1">
      <alignment horizontal="left" vertical="center" wrapText="1"/>
    </xf>
    <xf numFmtId="2" fontId="76" fillId="0" borderId="0" xfId="2" applyNumberFormat="1" applyFont="1" applyAlignment="1">
      <alignment horizontal="center" vertical="center"/>
    </xf>
    <xf numFmtId="2" fontId="75" fillId="37" borderId="64" xfId="2" applyNumberFormat="1" applyFont="1" applyFill="1" applyBorder="1" applyAlignment="1">
      <alignment horizontal="center" vertical="center" wrapText="1"/>
    </xf>
    <xf numFmtId="166" fontId="75" fillId="37" borderId="84" xfId="44" applyFont="1" applyFill="1" applyBorder="1" applyAlignment="1" applyProtection="1">
      <alignment vertical="center"/>
    </xf>
    <xf numFmtId="166" fontId="75" fillId="37" borderId="64" xfId="44" applyFont="1" applyFill="1" applyBorder="1" applyAlignment="1" applyProtection="1">
      <alignment vertical="center"/>
    </xf>
    <xf numFmtId="166" fontId="75" fillId="37" borderId="64" xfId="1" applyFont="1" applyFill="1" applyBorder="1" applyAlignment="1" applyProtection="1">
      <alignment horizontal="center" vertical="center"/>
    </xf>
    <xf numFmtId="166" fontId="75" fillId="37" borderId="65" xfId="1" applyFont="1" applyFill="1" applyBorder="1" applyAlignment="1" applyProtection="1">
      <alignment horizontal="center" vertical="center"/>
    </xf>
    <xf numFmtId="166" fontId="73" fillId="37" borderId="65" xfId="1" applyFont="1" applyFill="1" applyBorder="1" applyAlignment="1" applyProtection="1">
      <alignment vertical="center"/>
    </xf>
    <xf numFmtId="166" fontId="75" fillId="37" borderId="64" xfId="2" applyNumberFormat="1" applyFont="1" applyFill="1" applyBorder="1" applyAlignment="1">
      <alignment horizontal="center" vertical="center"/>
    </xf>
    <xf numFmtId="2" fontId="72" fillId="37" borderId="0" xfId="2" applyNumberFormat="1" applyFont="1" applyFill="1" applyAlignment="1">
      <alignment horizontal="center" vertical="center"/>
    </xf>
    <xf numFmtId="0" fontId="75" fillId="37" borderId="0" xfId="2" applyFont="1" applyFill="1" applyAlignment="1">
      <alignment horizontal="center" vertical="center"/>
    </xf>
    <xf numFmtId="166" fontId="75" fillId="2" borderId="60" xfId="1" applyFont="1" applyFill="1" applyBorder="1" applyAlignment="1" applyProtection="1">
      <alignment horizontal="center" vertical="center"/>
    </xf>
    <xf numFmtId="0" fontId="75" fillId="2" borderId="88" xfId="2" applyFont="1" applyFill="1" applyBorder="1" applyAlignment="1">
      <alignment horizontal="center" vertical="center"/>
    </xf>
    <xf numFmtId="2" fontId="75" fillId="0" borderId="66" xfId="2" applyNumberFormat="1" applyFont="1" applyBorder="1" applyAlignment="1">
      <alignment horizontal="center" vertical="center"/>
    </xf>
    <xf numFmtId="164" fontId="75" fillId="2" borderId="64" xfId="2" applyNumberFormat="1" applyFont="1" applyFill="1" applyBorder="1" applyAlignment="1">
      <alignment horizontal="center" vertical="center"/>
    </xf>
    <xf numFmtId="0" fontId="75" fillId="0" borderId="0" xfId="2" applyFont="1" applyAlignment="1">
      <alignment horizontal="center" vertical="center"/>
    </xf>
    <xf numFmtId="0" fontId="73" fillId="0" borderId="4" xfId="2" applyFont="1" applyBorder="1" applyAlignment="1">
      <alignment horizontal="center" vertical="center"/>
    </xf>
    <xf numFmtId="0" fontId="72" fillId="0" borderId="16" xfId="2" applyFont="1" applyBorder="1" applyAlignment="1">
      <alignment horizontal="center" vertical="center"/>
    </xf>
    <xf numFmtId="166" fontId="77" fillId="0" borderId="16" xfId="44" applyFont="1" applyFill="1" applyBorder="1" applyAlignment="1" applyProtection="1">
      <alignment horizontal="center" vertical="center"/>
    </xf>
    <xf numFmtId="166" fontId="72" fillId="0" borderId="3" xfId="1" applyFont="1" applyFill="1" applyBorder="1" applyAlignment="1" applyProtection="1">
      <alignment horizontal="center" vertical="center"/>
    </xf>
    <xf numFmtId="166" fontId="77" fillId="2" borderId="16" xfId="1" applyFont="1" applyFill="1" applyBorder="1" applyAlignment="1" applyProtection="1">
      <alignment horizontal="center" vertical="center"/>
    </xf>
    <xf numFmtId="166" fontId="77" fillId="2" borderId="16" xfId="2" applyNumberFormat="1" applyFont="1" applyFill="1" applyBorder="1" applyAlignment="1">
      <alignment horizontal="center" vertical="center"/>
    </xf>
    <xf numFmtId="2" fontId="78" fillId="2" borderId="16" xfId="2" applyNumberFormat="1" applyFont="1" applyFill="1" applyBorder="1" applyAlignment="1">
      <alignment horizontal="center" vertical="center"/>
    </xf>
    <xf numFmtId="9" fontId="73" fillId="0" borderId="16" xfId="46" applyFont="1" applyFill="1" applyBorder="1" applyAlignment="1" applyProtection="1">
      <alignment horizontal="center" vertical="center"/>
    </xf>
    <xf numFmtId="2" fontId="73" fillId="0" borderId="16" xfId="1" applyNumberFormat="1" applyFont="1" applyFill="1" applyBorder="1" applyAlignment="1" applyProtection="1">
      <alignment horizontal="center" vertical="center"/>
    </xf>
    <xf numFmtId="2" fontId="72" fillId="0" borderId="16" xfId="44" applyNumberFormat="1" applyFont="1" applyFill="1" applyBorder="1" applyAlignment="1" applyProtection="1">
      <alignment horizontal="center" vertical="center"/>
    </xf>
    <xf numFmtId="2" fontId="73" fillId="0" borderId="16" xfId="46" applyNumberFormat="1" applyFont="1" applyFill="1" applyBorder="1" applyAlignment="1" applyProtection="1">
      <alignment horizontal="center" vertical="center"/>
    </xf>
    <xf numFmtId="2" fontId="72" fillId="0" borderId="3" xfId="46" applyNumberFormat="1" applyFont="1" applyFill="1" applyBorder="1" applyAlignment="1" applyProtection="1">
      <alignment horizontal="center" vertical="center"/>
    </xf>
    <xf numFmtId="0" fontId="78" fillId="0" borderId="3" xfId="2" applyFont="1" applyBorder="1" applyAlignment="1">
      <alignment horizontal="left" vertical="center" wrapText="1"/>
    </xf>
    <xf numFmtId="0" fontId="72" fillId="0" borderId="0" xfId="2" applyFont="1" applyAlignment="1">
      <alignment horizontal="center" vertical="center"/>
    </xf>
    <xf numFmtId="2" fontId="72" fillId="0" borderId="0" xfId="46" applyNumberFormat="1" applyFont="1" applyFill="1" applyBorder="1" applyAlignment="1" applyProtection="1">
      <alignment horizontal="center" vertical="center"/>
    </xf>
    <xf numFmtId="2" fontId="73" fillId="0" borderId="0" xfId="46" applyNumberFormat="1" applyFont="1" applyFill="1" applyBorder="1" applyAlignment="1" applyProtection="1">
      <alignment horizontal="center" vertical="center"/>
    </xf>
    <xf numFmtId="166" fontId="72" fillId="0" borderId="0" xfId="1" applyFont="1" applyFill="1" applyBorder="1" applyAlignment="1" applyProtection="1">
      <alignment horizontal="center" vertical="center"/>
    </xf>
    <xf numFmtId="166" fontId="79" fillId="0" borderId="0" xfId="1" applyFont="1" applyFill="1" applyBorder="1" applyAlignment="1" applyProtection="1">
      <alignment horizontal="center" vertical="center"/>
    </xf>
    <xf numFmtId="9" fontId="73" fillId="0" borderId="0" xfId="46" applyFont="1" applyFill="1" applyBorder="1" applyAlignment="1" applyProtection="1">
      <alignment horizontal="center" vertical="center"/>
    </xf>
    <xf numFmtId="169" fontId="72" fillId="0" borderId="0" xfId="44" applyNumberFormat="1" applyFont="1" applyFill="1" applyBorder="1" applyAlignment="1" applyProtection="1">
      <alignment horizontal="center" vertical="center"/>
    </xf>
    <xf numFmtId="0" fontId="73" fillId="0" borderId="0" xfId="2" applyFont="1" applyAlignment="1">
      <alignment horizontal="left" vertical="center" wrapText="1"/>
    </xf>
    <xf numFmtId="0" fontId="72" fillId="0" borderId="0" xfId="2" applyFont="1" applyAlignment="1">
      <alignment vertical="center"/>
    </xf>
    <xf numFmtId="166" fontId="72" fillId="0" borderId="0" xfId="44" applyFont="1" applyFill="1" applyBorder="1" applyAlignment="1" applyProtection="1">
      <alignment horizontal="center" vertical="center"/>
    </xf>
    <xf numFmtId="0" fontId="73" fillId="38" borderId="0" xfId="2" applyFont="1" applyFill="1" applyAlignment="1">
      <alignment horizontal="center" vertical="center"/>
    </xf>
    <xf numFmtId="9" fontId="72" fillId="0" borderId="59" xfId="46" applyFont="1" applyFill="1" applyBorder="1" applyAlignment="1" applyProtection="1">
      <alignment horizontal="center" vertical="center" wrapText="1"/>
    </xf>
    <xf numFmtId="166" fontId="75" fillId="2" borderId="64" xfId="1" applyFont="1" applyFill="1" applyBorder="1" applyAlignment="1" applyProtection="1">
      <alignment horizontal="center" vertical="center" wrapText="1"/>
    </xf>
    <xf numFmtId="0" fontId="75" fillId="0" borderId="87" xfId="2" applyFont="1" applyBorder="1" applyAlignment="1">
      <alignment horizontal="left" vertical="center" wrapText="1"/>
    </xf>
    <xf numFmtId="2" fontId="75" fillId="0" borderId="0" xfId="45" applyNumberFormat="1" applyFont="1" applyFill="1" applyBorder="1" applyAlignment="1" applyProtection="1">
      <alignment horizontal="center" vertical="center"/>
    </xf>
    <xf numFmtId="2" fontId="75" fillId="39" borderId="0" xfId="2" applyNumberFormat="1" applyFont="1" applyFill="1" applyAlignment="1">
      <alignment horizontal="center" vertical="center"/>
    </xf>
    <xf numFmtId="166" fontId="73" fillId="37" borderId="64" xfId="1" applyFont="1" applyFill="1" applyBorder="1" applyAlignment="1" applyProtection="1">
      <alignment horizontal="center" vertical="center" wrapText="1"/>
    </xf>
    <xf numFmtId="9" fontId="73" fillId="37" borderId="65" xfId="46" applyFont="1" applyFill="1" applyBorder="1" applyAlignment="1" applyProtection="1">
      <alignment horizontal="center" vertical="center"/>
    </xf>
    <xf numFmtId="166" fontId="75" fillId="37" borderId="65" xfId="1" applyFont="1" applyFill="1" applyBorder="1" applyAlignment="1" applyProtection="1">
      <alignment vertical="center"/>
    </xf>
    <xf numFmtId="0" fontId="75" fillId="37" borderId="59" xfId="2" applyFont="1" applyFill="1" applyBorder="1" applyAlignment="1">
      <alignment horizontal="center" vertical="center" wrapText="1"/>
    </xf>
    <xf numFmtId="166" fontId="75" fillId="37" borderId="67" xfId="2" applyNumberFormat="1" applyFont="1" applyFill="1" applyBorder="1" applyAlignment="1">
      <alignment horizontal="center" vertical="center"/>
    </xf>
    <xf numFmtId="166" fontId="75" fillId="37" borderId="59" xfId="2" applyNumberFormat="1" applyFont="1" applyFill="1" applyBorder="1" applyAlignment="1">
      <alignment horizontal="center" vertical="center"/>
    </xf>
    <xf numFmtId="0" fontId="80" fillId="37" borderId="65" xfId="2" applyFont="1" applyFill="1" applyBorder="1" applyAlignment="1">
      <alignment horizontal="center" vertical="center"/>
    </xf>
    <xf numFmtId="0" fontId="80" fillId="37" borderId="65" xfId="2" applyFont="1" applyFill="1" applyBorder="1" applyAlignment="1">
      <alignment horizontal="center" vertical="center" wrapText="1"/>
    </xf>
    <xf numFmtId="166" fontId="80" fillId="37" borderId="65" xfId="2" applyNumberFormat="1" applyFont="1" applyFill="1" applyBorder="1" applyAlignment="1">
      <alignment horizontal="center" vertical="center"/>
    </xf>
    <xf numFmtId="39" fontId="80" fillId="37" borderId="65" xfId="2" applyNumberFormat="1" applyFont="1" applyFill="1" applyBorder="1" applyAlignment="1">
      <alignment horizontal="center" vertical="center"/>
    </xf>
    <xf numFmtId="2" fontId="73" fillId="2" borderId="65" xfId="2" applyNumberFormat="1" applyFont="1" applyFill="1" applyBorder="1" applyAlignment="1">
      <alignment horizontal="center" vertical="center" wrapText="1"/>
    </xf>
    <xf numFmtId="166" fontId="73" fillId="2" borderId="65" xfId="44" applyFont="1" applyFill="1" applyBorder="1" applyAlignment="1" applyProtection="1">
      <alignment horizontal="center" vertical="center"/>
    </xf>
    <xf numFmtId="166" fontId="73" fillId="2" borderId="64" xfId="44" applyFont="1" applyFill="1" applyBorder="1" applyAlignment="1" applyProtection="1">
      <alignment horizontal="center" vertical="center"/>
    </xf>
    <xf numFmtId="166" fontId="73" fillId="2" borderId="64" xfId="1" applyFont="1" applyFill="1" applyBorder="1" applyAlignment="1">
      <alignment vertical="center"/>
    </xf>
    <xf numFmtId="166" fontId="73" fillId="2" borderId="64" xfId="1" applyFont="1" applyFill="1" applyBorder="1" applyAlignment="1" applyProtection="1">
      <alignment horizontal="center" vertical="center" wrapText="1"/>
    </xf>
    <xf numFmtId="9" fontId="73" fillId="2" borderId="65" xfId="46" applyFont="1" applyFill="1" applyBorder="1" applyAlignment="1" applyProtection="1">
      <alignment horizontal="center" vertical="center"/>
    </xf>
    <xf numFmtId="166" fontId="75" fillId="2" borderId="65" xfId="2" applyNumberFormat="1" applyFont="1" applyFill="1" applyBorder="1" applyAlignment="1">
      <alignment horizontal="center" vertical="center"/>
    </xf>
    <xf numFmtId="0" fontId="75" fillId="2" borderId="87" xfId="2" applyFont="1" applyFill="1" applyBorder="1" applyAlignment="1">
      <alignment horizontal="left" vertical="center" wrapText="1"/>
    </xf>
    <xf numFmtId="2" fontId="75" fillId="2" borderId="0" xfId="2" applyNumberFormat="1" applyFont="1" applyFill="1" applyAlignment="1">
      <alignment horizontal="center" vertical="center"/>
    </xf>
    <xf numFmtId="2" fontId="75" fillId="2" borderId="0" xfId="45" applyNumberFormat="1" applyFont="1" applyFill="1" applyBorder="1" applyAlignment="1" applyProtection="1">
      <alignment horizontal="center" vertical="center"/>
    </xf>
    <xf numFmtId="166" fontId="73" fillId="37" borderId="64" xfId="2" applyNumberFormat="1" applyFont="1" applyFill="1" applyBorder="1" applyAlignment="1">
      <alignment vertical="center"/>
    </xf>
    <xf numFmtId="2" fontId="73" fillId="37" borderId="0" xfId="45" applyNumberFormat="1" applyFont="1" applyFill="1" applyBorder="1" applyAlignment="1" applyProtection="1">
      <alignment horizontal="center" vertical="center"/>
    </xf>
    <xf numFmtId="166" fontId="75" fillId="37" borderId="64" xfId="1" applyFont="1" applyFill="1" applyBorder="1" applyAlignment="1" applyProtection="1">
      <alignment horizontal="center" vertical="center" wrapText="1"/>
    </xf>
    <xf numFmtId="2" fontId="75" fillId="2" borderId="0" xfId="2" applyNumberFormat="1" applyFont="1" applyFill="1" applyAlignment="1">
      <alignment horizontal="right" vertical="center"/>
    </xf>
    <xf numFmtId="166" fontId="73" fillId="37" borderId="0" xfId="1" applyFont="1" applyFill="1" applyBorder="1" applyAlignment="1" applyProtection="1">
      <alignment horizontal="center" vertical="center"/>
    </xf>
    <xf numFmtId="164" fontId="75" fillId="37" borderId="84" xfId="2" applyNumberFormat="1" applyFont="1" applyFill="1" applyBorder="1" applyAlignment="1">
      <alignment horizontal="center" vertical="center"/>
    </xf>
    <xf numFmtId="164" fontId="75" fillId="37" borderId="64" xfId="2" applyNumberFormat="1" applyFont="1" applyFill="1" applyBorder="1" applyAlignment="1">
      <alignment horizontal="center" vertical="center"/>
    </xf>
    <xf numFmtId="2" fontId="75" fillId="37" borderId="0" xfId="2" applyNumberFormat="1" applyFont="1" applyFill="1" applyAlignment="1">
      <alignment horizontal="right" vertical="center"/>
    </xf>
    <xf numFmtId="0" fontId="73" fillId="0" borderId="65" xfId="2" applyFont="1" applyBorder="1" applyAlignment="1">
      <alignment horizontal="center" vertical="center"/>
    </xf>
    <xf numFmtId="166" fontId="75" fillId="2" borderId="75" xfId="1" applyFont="1" applyFill="1" applyBorder="1" applyAlignment="1" applyProtection="1">
      <alignment horizontal="center" vertical="center"/>
    </xf>
    <xf numFmtId="166" fontId="75" fillId="2" borderId="65" xfId="1" applyFont="1" applyFill="1" applyBorder="1" applyAlignment="1" applyProtection="1">
      <alignment horizontal="center" vertical="center"/>
    </xf>
    <xf numFmtId="2" fontId="73" fillId="2" borderId="0" xfId="2" applyNumberFormat="1" applyFont="1" applyFill="1" applyAlignment="1">
      <alignment horizontal="center" vertical="center"/>
    </xf>
    <xf numFmtId="166" fontId="73" fillId="0" borderId="0" xfId="44" applyFont="1" applyFill="1" applyBorder="1" applyAlignment="1" applyProtection="1">
      <alignment horizontal="left" vertical="center"/>
    </xf>
    <xf numFmtId="0" fontId="73" fillId="0" borderId="0" xfId="2" applyFont="1" applyAlignment="1">
      <alignment horizontal="right" vertical="center" wrapText="1"/>
    </xf>
    <xf numFmtId="2" fontId="73" fillId="38" borderId="0" xfId="2" applyNumberFormat="1" applyFont="1" applyFill="1" applyAlignment="1">
      <alignment horizontal="left" vertical="center" wrapText="1"/>
    </xf>
    <xf numFmtId="0" fontId="81" fillId="0" borderId="0" xfId="2" applyFont="1" applyAlignment="1">
      <alignment horizontal="left" vertical="center"/>
    </xf>
    <xf numFmtId="0" fontId="73" fillId="0" borderId="0" xfId="2" applyFont="1" applyAlignment="1">
      <alignment horizontal="left" vertical="center"/>
    </xf>
    <xf numFmtId="0" fontId="73" fillId="0" borderId="0" xfId="2" applyFont="1" applyAlignment="1">
      <alignment horizontal="right" vertical="center"/>
    </xf>
    <xf numFmtId="2" fontId="73" fillId="38" borderId="0" xfId="2" applyNumberFormat="1" applyFont="1" applyFill="1" applyAlignment="1">
      <alignment horizontal="center" vertical="center"/>
    </xf>
    <xf numFmtId="166" fontId="72" fillId="0" borderId="66" xfId="1" applyFont="1" applyFill="1" applyBorder="1" applyAlignment="1" applyProtection="1">
      <alignment horizontal="center" vertical="center" wrapText="1"/>
    </xf>
    <xf numFmtId="0" fontId="72" fillId="0" borderId="66" xfId="2" applyFont="1" applyBorder="1" applyAlignment="1">
      <alignment horizontal="center" vertical="center" wrapText="1"/>
    </xf>
    <xf numFmtId="166" fontId="72" fillId="0" borderId="66" xfId="44" applyFont="1" applyFill="1" applyBorder="1" applyAlignment="1" applyProtection="1">
      <alignment horizontal="center" vertical="center"/>
    </xf>
    <xf numFmtId="9" fontId="72" fillId="0" borderId="66" xfId="46" applyFont="1" applyFill="1" applyBorder="1" applyAlignment="1" applyProtection="1">
      <alignment horizontal="center" vertical="center" wrapText="1"/>
    </xf>
    <xf numFmtId="0" fontId="80" fillId="2" borderId="66" xfId="2" applyFont="1" applyFill="1" applyBorder="1" applyAlignment="1">
      <alignment horizontal="center" vertical="center" wrapText="1"/>
    </xf>
    <xf numFmtId="0" fontId="80" fillId="0" borderId="57" xfId="2" applyFont="1" applyBorder="1" applyAlignment="1">
      <alignment horizontal="center" vertical="center"/>
    </xf>
    <xf numFmtId="166" fontId="80" fillId="2" borderId="66" xfId="44" applyFont="1" applyFill="1" applyBorder="1" applyAlignment="1" applyProtection="1">
      <alignment horizontal="center" vertical="center" wrapText="1"/>
    </xf>
    <xf numFmtId="2" fontId="80" fillId="0" borderId="66" xfId="44" applyNumberFormat="1" applyFont="1" applyFill="1" applyBorder="1" applyAlignment="1" applyProtection="1">
      <alignment horizontal="center" vertical="center" wrapText="1"/>
    </xf>
    <xf numFmtId="166" fontId="75" fillId="0" borderId="66" xfId="1" applyFont="1" applyFill="1" applyBorder="1" applyAlignment="1" applyProtection="1">
      <alignment horizontal="center" vertical="center" wrapText="1"/>
    </xf>
    <xf numFmtId="166" fontId="75" fillId="0" borderId="57" xfId="1" applyFont="1" applyFill="1" applyBorder="1" applyAlignment="1" applyProtection="1">
      <alignment horizontal="center" vertical="center" wrapText="1"/>
    </xf>
    <xf numFmtId="0" fontId="75" fillId="0" borderId="66" xfId="2" applyFont="1" applyBorder="1" applyAlignment="1">
      <alignment horizontal="center" vertical="center" wrapText="1"/>
    </xf>
    <xf numFmtId="0" fontId="75" fillId="0" borderId="57" xfId="2" applyFont="1" applyBorder="1" applyAlignment="1">
      <alignment horizontal="center" vertical="center"/>
    </xf>
    <xf numFmtId="166" fontId="75" fillId="0" borderId="66" xfId="44" applyFont="1" applyFill="1" applyBorder="1" applyAlignment="1" applyProtection="1">
      <alignment horizontal="center" vertical="center" wrapText="1"/>
    </xf>
    <xf numFmtId="2" fontId="75" fillId="0" borderId="66" xfId="44" applyNumberFormat="1" applyFont="1" applyFill="1" applyBorder="1" applyAlignment="1" applyProtection="1">
      <alignment horizontal="center" vertical="center" wrapText="1"/>
    </xf>
    <xf numFmtId="0" fontId="80" fillId="0" borderId="66" xfId="2" applyFont="1" applyBorder="1" applyAlignment="1">
      <alignment horizontal="center" vertical="center" wrapText="1"/>
    </xf>
    <xf numFmtId="2" fontId="73" fillId="0" borderId="66" xfId="44" applyNumberFormat="1" applyFont="1" applyFill="1" applyBorder="1" applyAlignment="1" applyProtection="1">
      <alignment horizontal="center" vertical="center" wrapText="1"/>
    </xf>
    <xf numFmtId="166" fontId="73" fillId="0" borderId="66" xfId="1" applyFont="1" applyFill="1" applyBorder="1" applyAlignment="1" applyProtection="1">
      <alignment horizontal="center" vertical="center" wrapText="1"/>
    </xf>
    <xf numFmtId="0" fontId="73" fillId="0" borderId="16" xfId="2" applyFont="1" applyBorder="1" applyAlignment="1">
      <alignment horizontal="center" vertical="center"/>
    </xf>
    <xf numFmtId="166" fontId="73" fillId="0" borderId="16" xfId="44" applyFont="1" applyFill="1" applyBorder="1" applyAlignment="1" applyProtection="1">
      <alignment horizontal="center" vertical="center"/>
    </xf>
    <xf numFmtId="166" fontId="72" fillId="0" borderId="94" xfId="2" applyNumberFormat="1" applyFont="1" applyBorder="1" applyAlignment="1">
      <alignment horizontal="center" vertical="center"/>
    </xf>
    <xf numFmtId="2" fontId="72" fillId="0" borderId="4" xfId="46" applyNumberFormat="1" applyFont="1" applyFill="1" applyBorder="1" applyAlignment="1" applyProtection="1">
      <alignment horizontal="center" vertical="center"/>
    </xf>
    <xf numFmtId="166" fontId="73" fillId="0" borderId="16" xfId="1" applyFont="1" applyFill="1" applyBorder="1" applyAlignment="1" applyProtection="1">
      <alignment horizontal="center" vertical="center"/>
    </xf>
    <xf numFmtId="0" fontId="73" fillId="0" borderId="95" xfId="2" applyFont="1" applyBorder="1" applyAlignment="1">
      <alignment horizontal="left" vertical="center" wrapText="1"/>
    </xf>
    <xf numFmtId="0" fontId="73" fillId="0" borderId="93" xfId="2" applyFont="1" applyBorder="1" applyAlignment="1">
      <alignment horizontal="center" vertical="center"/>
    </xf>
    <xf numFmtId="0" fontId="73" fillId="0" borderId="95" xfId="2" applyFont="1" applyBorder="1" applyAlignment="1">
      <alignment horizontal="center" vertical="center"/>
    </xf>
    <xf numFmtId="0" fontId="73" fillId="38" borderId="0" xfId="2" applyFont="1" applyFill="1" applyAlignment="1">
      <alignment horizontal="left" vertical="center" wrapText="1"/>
    </xf>
    <xf numFmtId="0" fontId="72" fillId="0" borderId="0" xfId="2" applyFont="1" applyAlignment="1">
      <alignment horizontal="left" vertical="center" wrapText="1"/>
    </xf>
    <xf numFmtId="0" fontId="73" fillId="0" borderId="0" xfId="44" applyNumberFormat="1" applyFont="1" applyFill="1" applyBorder="1" applyAlignment="1" applyProtection="1">
      <alignment horizontal="center" vertical="center"/>
    </xf>
    <xf numFmtId="0" fontId="73" fillId="0" borderId="0" xfId="1" applyNumberFormat="1" applyFont="1" applyFill="1" applyBorder="1" applyAlignment="1" applyProtection="1">
      <alignment horizontal="center" vertical="center"/>
    </xf>
    <xf numFmtId="2" fontId="73" fillId="0" borderId="0" xfId="2" applyNumberFormat="1" applyFont="1" applyAlignment="1">
      <alignment horizontal="right" vertical="center"/>
    </xf>
    <xf numFmtId="164" fontId="73" fillId="0" borderId="0" xfId="47" applyFont="1" applyFill="1" applyBorder="1" applyAlignment="1" applyProtection="1">
      <alignment horizontal="left" vertical="center" wrapText="1"/>
    </xf>
    <xf numFmtId="0" fontId="73" fillId="2" borderId="0" xfId="1" applyNumberFormat="1" applyFont="1" applyFill="1" applyBorder="1" applyAlignment="1" applyProtection="1">
      <alignment horizontal="center" wrapText="1"/>
    </xf>
    <xf numFmtId="0" fontId="68" fillId="2" borderId="0" xfId="48" applyNumberFormat="1" applyFont="1" applyFill="1" applyBorder="1" applyAlignment="1" applyProtection="1">
      <alignment horizontal="center" vertical="top"/>
    </xf>
    <xf numFmtId="169" fontId="72" fillId="2" borderId="0" xfId="1" applyNumberFormat="1" applyFont="1" applyFill="1" applyBorder="1" applyAlignment="1" applyProtection="1">
      <alignment horizontal="center" vertical="center"/>
    </xf>
    <xf numFmtId="166" fontId="73" fillId="2" borderId="0" xfId="1" applyFont="1" applyFill="1" applyBorder="1" applyAlignment="1" applyProtection="1">
      <alignment horizontal="right" vertical="center" wrapText="1"/>
    </xf>
    <xf numFmtId="0" fontId="69" fillId="2" borderId="0" xfId="44" applyNumberFormat="1" applyFont="1" applyFill="1" applyBorder="1" applyAlignment="1" applyProtection="1">
      <alignment horizontal="center" vertical="center"/>
    </xf>
    <xf numFmtId="39" fontId="73" fillId="2" borderId="0" xfId="1" applyNumberFormat="1" applyFont="1" applyFill="1" applyBorder="1" applyAlignment="1" applyProtection="1">
      <alignment vertical="center"/>
    </xf>
    <xf numFmtId="0" fontId="72" fillId="2" borderId="0" xfId="2" applyFont="1" applyFill="1" applyAlignment="1">
      <alignment horizontal="right" wrapText="1"/>
    </xf>
    <xf numFmtId="166" fontId="72" fillId="0" borderId="0" xfId="1" applyFont="1" applyFill="1" applyBorder="1" applyAlignment="1" applyProtection="1">
      <alignment horizontal="right"/>
    </xf>
    <xf numFmtId="0" fontId="72" fillId="0" borderId="0" xfId="2" applyFont="1" applyAlignment="1">
      <alignment horizontal="right" vertical="center"/>
    </xf>
    <xf numFmtId="166" fontId="72" fillId="0" borderId="0" xfId="2" applyNumberFormat="1" applyFont="1" applyAlignment="1">
      <alignment horizontal="left" vertical="center"/>
    </xf>
    <xf numFmtId="2" fontId="72" fillId="2" borderId="0" xfId="1" applyNumberFormat="1" applyFont="1" applyFill="1" applyBorder="1" applyAlignment="1" applyProtection="1">
      <alignment horizontal="right"/>
    </xf>
    <xf numFmtId="166" fontId="69" fillId="2" borderId="0" xfId="44" applyFont="1" applyFill="1" applyBorder="1" applyAlignment="1" applyProtection="1">
      <alignment horizontal="center" vertical="top"/>
    </xf>
    <xf numFmtId="166" fontId="72" fillId="2" borderId="0" xfId="1" applyFont="1" applyFill="1" applyBorder="1" applyAlignment="1" applyProtection="1">
      <alignment horizontal="right"/>
    </xf>
    <xf numFmtId="166" fontId="68" fillId="2" borderId="0" xfId="48" applyNumberFormat="1" applyFont="1" applyFill="1" applyBorder="1" applyAlignment="1" applyProtection="1">
      <alignment horizontal="center" vertical="top"/>
    </xf>
    <xf numFmtId="166" fontId="69" fillId="2" borderId="0" xfId="44" applyFont="1" applyFill="1" applyBorder="1" applyAlignment="1" applyProtection="1">
      <alignment horizontal="center" vertical="center"/>
    </xf>
    <xf numFmtId="0" fontId="72" fillId="0" borderId="0" xfId="2" applyFont="1" applyAlignment="1">
      <alignment horizontal="right"/>
    </xf>
    <xf numFmtId="164" fontId="73" fillId="0" borderId="0" xfId="47" applyFont="1" applyFill="1" applyBorder="1" applyAlignment="1" applyProtection="1">
      <alignment horizontal="center" vertical="center"/>
    </xf>
    <xf numFmtId="164" fontId="75" fillId="37" borderId="0" xfId="47" applyFont="1" applyFill="1" applyBorder="1" applyAlignment="1" applyProtection="1">
      <alignment horizontal="center" vertical="center"/>
    </xf>
    <xf numFmtId="164" fontId="73" fillId="37" borderId="0" xfId="47" applyFont="1" applyFill="1" applyBorder="1" applyAlignment="1" applyProtection="1">
      <alignment horizontal="center" vertical="center"/>
    </xf>
    <xf numFmtId="0" fontId="73" fillId="37" borderId="0" xfId="2" applyFont="1" applyFill="1" applyAlignment="1">
      <alignment horizontal="center" vertical="center"/>
    </xf>
    <xf numFmtId="164" fontId="75" fillId="0" borderId="0" xfId="47" applyFont="1" applyFill="1" applyBorder="1" applyAlignment="1" applyProtection="1">
      <alignment horizontal="center" vertical="center"/>
    </xf>
    <xf numFmtId="166" fontId="75" fillId="0" borderId="0" xfId="1" applyFont="1" applyFill="1" applyBorder="1" applyAlignment="1" applyProtection="1">
      <alignment horizontal="center" vertical="center"/>
    </xf>
    <xf numFmtId="164" fontId="73" fillId="38" borderId="0" xfId="47" applyFont="1" applyFill="1" applyBorder="1" applyAlignment="1" applyProtection="1">
      <alignment horizontal="center" vertical="center"/>
    </xf>
    <xf numFmtId="164" fontId="75" fillId="39" borderId="0" xfId="47" applyFont="1" applyFill="1" applyBorder="1" applyAlignment="1" applyProtection="1">
      <alignment horizontal="center" vertical="center"/>
    </xf>
    <xf numFmtId="0" fontId="75" fillId="39" borderId="0" xfId="2" applyFont="1" applyFill="1" applyAlignment="1">
      <alignment horizontal="center" vertical="center"/>
    </xf>
    <xf numFmtId="164" fontId="75" fillId="2" borderId="0" xfId="47" applyFont="1" applyFill="1" applyBorder="1" applyAlignment="1" applyProtection="1">
      <alignment horizontal="center" vertical="center"/>
    </xf>
    <xf numFmtId="0" fontId="75" fillId="2" borderId="0" xfId="2" applyFont="1" applyFill="1" applyAlignment="1">
      <alignment horizontal="center" vertical="center"/>
    </xf>
    <xf numFmtId="164" fontId="73" fillId="2" borderId="0" xfId="47" applyFont="1" applyFill="1" applyBorder="1" applyAlignment="1" applyProtection="1">
      <alignment horizontal="center" vertical="center"/>
    </xf>
    <xf numFmtId="0" fontId="73" fillId="2" borderId="0" xfId="2" applyFont="1" applyFill="1" applyAlignment="1">
      <alignment horizontal="center" vertical="center"/>
    </xf>
    <xf numFmtId="174" fontId="73" fillId="2" borderId="0" xfId="47" applyNumberFormat="1" applyFont="1" applyFill="1" applyBorder="1" applyAlignment="1" applyProtection="1">
      <alignment horizontal="center" vertical="center"/>
    </xf>
    <xf numFmtId="164" fontId="73" fillId="38" borderId="0" xfId="47" applyFont="1" applyFill="1" applyBorder="1" applyAlignment="1" applyProtection="1">
      <alignment horizontal="left" vertical="center" wrapText="1"/>
    </xf>
    <xf numFmtId="2" fontId="73" fillId="0" borderId="0" xfId="2" applyNumberFormat="1" applyFont="1" applyAlignment="1">
      <alignment horizontal="left" vertical="center" wrapText="1"/>
    </xf>
    <xf numFmtId="0" fontId="73" fillId="2" borderId="0" xfId="1" applyNumberFormat="1" applyFont="1" applyFill="1" applyBorder="1" applyAlignment="1" applyProtection="1">
      <alignment horizontal="center" vertical="center"/>
    </xf>
    <xf numFmtId="169" fontId="73" fillId="2" borderId="0" xfId="1" applyNumberFormat="1" applyFont="1" applyFill="1" applyBorder="1" applyAlignment="1" applyProtection="1">
      <alignment horizontal="center" vertical="center"/>
    </xf>
    <xf numFmtId="0" fontId="72" fillId="2" borderId="0" xfId="2" applyFont="1" applyFill="1" applyAlignment="1">
      <alignment horizontal="right"/>
    </xf>
    <xf numFmtId="166" fontId="73" fillId="35" borderId="0" xfId="1" applyFont="1" applyFill="1" applyBorder="1" applyAlignment="1" applyProtection="1">
      <alignment horizontal="center" vertical="center"/>
    </xf>
    <xf numFmtId="166" fontId="73" fillId="2" borderId="0" xfId="1" applyFont="1" applyFill="1" applyBorder="1" applyAlignment="1" applyProtection="1"/>
    <xf numFmtId="166" fontId="73" fillId="40" borderId="0" xfId="1" applyFont="1" applyFill="1" applyBorder="1" applyAlignment="1" applyProtection="1"/>
    <xf numFmtId="166" fontId="73" fillId="41" borderId="0" xfId="1" applyFont="1" applyFill="1" applyBorder="1" applyAlignment="1" applyProtection="1">
      <alignment horizontal="center" vertical="center"/>
    </xf>
    <xf numFmtId="166" fontId="73" fillId="35" borderId="0" xfId="1" applyFont="1" applyFill="1" applyBorder="1" applyAlignment="1" applyProtection="1"/>
    <xf numFmtId="166" fontId="69" fillId="2" borderId="0" xfId="44" applyFont="1" applyFill="1" applyBorder="1" applyAlignment="1" applyProtection="1">
      <alignment horizontal="left" vertical="center"/>
    </xf>
    <xf numFmtId="39" fontId="73" fillId="2" borderId="0" xfId="44" applyNumberFormat="1" applyFont="1" applyFill="1" applyBorder="1" applyAlignment="1" applyProtection="1">
      <alignment horizontal="center" vertical="center"/>
    </xf>
    <xf numFmtId="2" fontId="72" fillId="2" borderId="0" xfId="1" applyNumberFormat="1" applyFont="1" applyFill="1" applyBorder="1" applyAlignment="1" applyProtection="1">
      <alignment horizontal="right" vertical="center"/>
    </xf>
    <xf numFmtId="166" fontId="73" fillId="2" borderId="0" xfId="44" applyFont="1" applyFill="1" applyBorder="1" applyAlignment="1" applyProtection="1">
      <alignment horizontal="center" vertical="center"/>
    </xf>
    <xf numFmtId="166" fontId="73" fillId="2" borderId="0" xfId="44" applyFont="1" applyFill="1" applyBorder="1" applyAlignment="1" applyProtection="1"/>
    <xf numFmtId="0" fontId="69" fillId="2" borderId="0" xfId="2" applyFont="1" applyFill="1" applyAlignment="1">
      <alignment horizontal="center" vertical="center"/>
    </xf>
    <xf numFmtId="166" fontId="73" fillId="2" borderId="0" xfId="1" applyFont="1" applyFill="1" applyBorder="1" applyAlignment="1" applyProtection="1">
      <alignment horizontal="center" wrapText="1"/>
    </xf>
    <xf numFmtId="0" fontId="73" fillId="2" borderId="0" xfId="2" applyFont="1" applyFill="1" applyAlignment="1">
      <alignment horizontal="right" vertical="center"/>
    </xf>
    <xf numFmtId="39" fontId="72" fillId="2" borderId="0" xfId="1" applyNumberFormat="1" applyFont="1" applyFill="1" applyBorder="1" applyAlignment="1" applyProtection="1">
      <alignment horizontal="center" vertical="center"/>
    </xf>
    <xf numFmtId="0" fontId="69" fillId="2" borderId="0" xfId="2" applyFont="1" applyFill="1" applyAlignment="1">
      <alignment vertical="center"/>
    </xf>
    <xf numFmtId="166" fontId="73" fillId="2" borderId="0" xfId="1" applyFont="1" applyFill="1" applyBorder="1" applyAlignment="1" applyProtection="1">
      <alignment wrapText="1"/>
    </xf>
    <xf numFmtId="39" fontId="73" fillId="2" borderId="0" xfId="1" applyNumberFormat="1" applyFont="1" applyFill="1" applyBorder="1" applyAlignment="1" applyProtection="1">
      <alignment horizontal="center" vertical="center"/>
    </xf>
    <xf numFmtId="2" fontId="73" fillId="0" borderId="64" xfId="2" applyNumberFormat="1" applyFont="1" applyBorder="1" applyAlignment="1">
      <alignment horizontal="center" vertical="center"/>
    </xf>
    <xf numFmtId="166" fontId="73" fillId="0" borderId="64" xfId="1" applyFont="1" applyFill="1" applyBorder="1" applyAlignment="1" applyProtection="1">
      <alignment horizontal="center" vertical="center"/>
    </xf>
    <xf numFmtId="0" fontId="73" fillId="0" borderId="64" xfId="2" applyFont="1" applyBorder="1" applyAlignment="1">
      <alignment horizontal="center" vertical="center"/>
    </xf>
    <xf numFmtId="166" fontId="73" fillId="0" borderId="65" xfId="2" applyNumberFormat="1" applyFont="1" applyBorder="1" applyAlignment="1">
      <alignment horizontal="center" vertical="center"/>
    </xf>
    <xf numFmtId="39" fontId="73" fillId="0" borderId="65" xfId="2" applyNumberFormat="1" applyFont="1" applyBorder="1" applyAlignment="1">
      <alignment horizontal="center" vertical="center"/>
    </xf>
    <xf numFmtId="0" fontId="75" fillId="0" borderId="64" xfId="2" applyFont="1" applyBorder="1" applyAlignment="1">
      <alignment horizontal="center" vertical="center"/>
    </xf>
    <xf numFmtId="166" fontId="73" fillId="0" borderId="84" xfId="44" applyFont="1" applyFill="1" applyBorder="1" applyAlignment="1" applyProtection="1">
      <alignment vertical="center"/>
    </xf>
    <xf numFmtId="166" fontId="73" fillId="0" borderId="64" xfId="44" applyFont="1" applyFill="1" applyBorder="1" applyAlignment="1" applyProtection="1">
      <alignment vertical="center"/>
    </xf>
    <xf numFmtId="166" fontId="73" fillId="0" borderId="65" xfId="1" applyFont="1" applyFill="1" applyBorder="1" applyAlignment="1" applyProtection="1">
      <alignment horizontal="center" vertical="center"/>
    </xf>
    <xf numFmtId="166" fontId="73" fillId="0" borderId="84" xfId="2" applyNumberFormat="1" applyFont="1" applyBorder="1" applyAlignment="1">
      <alignment horizontal="center" vertical="center"/>
    </xf>
    <xf numFmtId="166" fontId="75" fillId="0" borderId="64" xfId="1" applyFont="1" applyFill="1" applyBorder="1" applyAlignment="1" applyProtection="1">
      <alignment horizontal="center" vertical="center" wrapText="1"/>
    </xf>
    <xf numFmtId="9" fontId="73" fillId="0" borderId="65" xfId="46" applyFont="1" applyFill="1" applyBorder="1" applyAlignment="1" applyProtection="1">
      <alignment horizontal="center" vertical="center"/>
    </xf>
    <xf numFmtId="166" fontId="75" fillId="0" borderId="65" xfId="1" applyFont="1" applyFill="1" applyBorder="1" applyAlignment="1" applyProtection="1">
      <alignment vertical="center"/>
    </xf>
    <xf numFmtId="164" fontId="80" fillId="0" borderId="65" xfId="47" applyFont="1" applyFill="1" applyBorder="1" applyAlignment="1" applyProtection="1">
      <alignment horizontal="center" vertical="center" wrapText="1"/>
    </xf>
    <xf numFmtId="166" fontId="80" fillId="0" borderId="64" xfId="2" applyNumberFormat="1" applyFont="1" applyBorder="1" applyAlignment="1">
      <alignment horizontal="center" vertical="center"/>
    </xf>
    <xf numFmtId="166" fontId="80" fillId="0" borderId="65" xfId="2" applyNumberFormat="1" applyFont="1" applyBorder="1" applyAlignment="1">
      <alignment horizontal="center" vertical="center"/>
    </xf>
    <xf numFmtId="39" fontId="80" fillId="0" borderId="65" xfId="2" applyNumberFormat="1" applyFont="1" applyBorder="1" applyAlignment="1">
      <alignment horizontal="center" vertical="center"/>
    </xf>
    <xf numFmtId="0" fontId="0" fillId="37" borderId="0" xfId="0" applyFill="1"/>
    <xf numFmtId="166" fontId="49" fillId="0" borderId="96" xfId="1" applyFont="1" applyFill="1" applyBorder="1" applyAlignment="1">
      <alignment horizontal="center" vertical="center"/>
    </xf>
    <xf numFmtId="0" fontId="46" fillId="0" borderId="97" xfId="0" applyFont="1" applyBorder="1" applyAlignment="1">
      <alignment horizontal="left" vertical="center" wrapText="1"/>
    </xf>
    <xf numFmtId="166" fontId="75" fillId="2" borderId="84" xfId="44" applyFont="1" applyFill="1" applyBorder="1" applyAlignment="1" applyProtection="1">
      <alignment horizontal="center" vertical="center"/>
    </xf>
    <xf numFmtId="166" fontId="75" fillId="2" borderId="64" xfId="44" applyFont="1" applyFill="1" applyBorder="1" applyAlignment="1" applyProtection="1">
      <alignment horizontal="center" vertical="center"/>
    </xf>
    <xf numFmtId="166" fontId="73" fillId="37" borderId="64" xfId="1" applyFont="1" applyFill="1" applyBorder="1" applyAlignment="1">
      <alignment horizontal="center" vertical="center"/>
    </xf>
    <xf numFmtId="166" fontId="73" fillId="37" borderId="84" xfId="44" applyFont="1" applyFill="1" applyBorder="1" applyAlignment="1" applyProtection="1">
      <alignment horizontal="center" vertical="center"/>
    </xf>
    <xf numFmtId="166" fontId="73" fillId="37" borderId="65" xfId="1" applyFont="1" applyFill="1" applyBorder="1" applyAlignment="1" applyProtection="1">
      <alignment horizontal="center" vertical="center"/>
    </xf>
    <xf numFmtId="166" fontId="73" fillId="0" borderId="84" xfId="44" applyFont="1" applyFill="1" applyBorder="1" applyAlignment="1" applyProtection="1">
      <alignment horizontal="center" vertical="center"/>
    </xf>
    <xf numFmtId="166" fontId="73" fillId="0" borderId="64" xfId="44" applyFont="1" applyFill="1" applyBorder="1" applyAlignment="1" applyProtection="1">
      <alignment horizontal="center" vertical="center"/>
    </xf>
    <xf numFmtId="166" fontId="75" fillId="37" borderId="84" xfId="44" applyFont="1" applyFill="1" applyBorder="1" applyAlignment="1" applyProtection="1">
      <alignment horizontal="center" vertical="center"/>
    </xf>
    <xf numFmtId="166" fontId="75" fillId="0" borderId="84" xfId="44" applyFont="1" applyFill="1" applyBorder="1" applyAlignment="1" applyProtection="1">
      <alignment horizontal="center" vertical="center"/>
    </xf>
    <xf numFmtId="166" fontId="73" fillId="2" borderId="65" xfId="1" applyFont="1" applyFill="1" applyBorder="1" applyAlignment="1" applyProtection="1">
      <alignment horizontal="center" vertical="center"/>
    </xf>
    <xf numFmtId="166" fontId="75" fillId="0" borderId="65" xfId="1" applyFont="1" applyFill="1" applyBorder="1" applyAlignment="1" applyProtection="1">
      <alignment horizontal="center" vertical="center"/>
    </xf>
    <xf numFmtId="0" fontId="75" fillId="0" borderId="59" xfId="2" applyFont="1" applyBorder="1" applyAlignment="1">
      <alignment horizontal="center" vertical="center"/>
    </xf>
    <xf numFmtId="0" fontId="73" fillId="0" borderId="24" xfId="2" applyFont="1" applyBorder="1" applyAlignment="1">
      <alignment horizontal="center" vertical="center"/>
    </xf>
    <xf numFmtId="0" fontId="72" fillId="37" borderId="24" xfId="2" applyFont="1" applyFill="1" applyBorder="1" applyAlignment="1">
      <alignment horizontal="center" vertical="center"/>
    </xf>
    <xf numFmtId="0" fontId="73" fillId="37" borderId="30" xfId="2" applyFont="1" applyFill="1" applyBorder="1" applyAlignment="1">
      <alignment horizontal="center" vertical="center"/>
    </xf>
    <xf numFmtId="0" fontId="73" fillId="37" borderId="24" xfId="2" applyFont="1" applyFill="1" applyBorder="1" applyAlignment="1">
      <alignment horizontal="center" vertical="center"/>
    </xf>
    <xf numFmtId="0" fontId="72" fillId="0" borderId="24" xfId="2" applyFont="1" applyBorder="1" applyAlignment="1">
      <alignment horizontal="center" vertical="center"/>
    </xf>
    <xf numFmtId="0" fontId="73" fillId="37" borderId="15" xfId="0" applyFont="1" applyFill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0" fontId="73" fillId="2" borderId="15" xfId="0" applyFont="1" applyFill="1" applyBorder="1" applyAlignment="1">
      <alignment horizontal="center" vertical="center"/>
    </xf>
    <xf numFmtId="0" fontId="75" fillId="37" borderId="87" xfId="2" applyFont="1" applyFill="1" applyBorder="1" applyAlignment="1">
      <alignment horizontal="center" vertical="center"/>
    </xf>
    <xf numFmtId="0" fontId="73" fillId="0" borderId="15" xfId="0" applyFont="1" applyBorder="1" applyAlignment="1">
      <alignment horizontal="center" vertical="center"/>
    </xf>
    <xf numFmtId="166" fontId="49" fillId="0" borderId="17" xfId="1" applyFont="1" applyFill="1" applyBorder="1" applyAlignment="1">
      <alignment horizontal="center" vertical="center"/>
    </xf>
    <xf numFmtId="166" fontId="49" fillId="0" borderId="5" xfId="1" applyFont="1" applyFill="1" applyBorder="1" applyAlignment="1">
      <alignment horizontal="center" vertical="center"/>
    </xf>
    <xf numFmtId="0" fontId="46" fillId="0" borderId="11" xfId="0" quotePrefix="1" applyFont="1" applyBorder="1" applyAlignment="1">
      <alignment vertical="center"/>
    </xf>
    <xf numFmtId="0" fontId="49" fillId="0" borderId="36" xfId="0" applyFont="1" applyBorder="1" applyAlignment="1">
      <alignment vertical="center"/>
    </xf>
    <xf numFmtId="2" fontId="46" fillId="0" borderId="31" xfId="0" applyNumberFormat="1" applyFont="1" applyBorder="1" applyAlignment="1">
      <alignment vertical="center"/>
    </xf>
    <xf numFmtId="167" fontId="49" fillId="0" borderId="31" xfId="1" applyNumberFormat="1" applyFont="1" applyFill="1" applyBorder="1" applyAlignment="1">
      <alignment vertical="center"/>
    </xf>
    <xf numFmtId="167" fontId="54" fillId="0" borderId="31" xfId="1" applyNumberFormat="1" applyFont="1" applyFill="1" applyBorder="1" applyAlignment="1">
      <alignment vertical="center"/>
    </xf>
    <xf numFmtId="168" fontId="49" fillId="0" borderId="31" xfId="0" applyNumberFormat="1" applyFont="1" applyBorder="1" applyAlignment="1">
      <alignment vertical="center"/>
    </xf>
    <xf numFmtId="0" fontId="49" fillId="0" borderId="31" xfId="0" applyFont="1" applyBorder="1" applyAlignment="1">
      <alignment horizontal="center" vertical="center"/>
    </xf>
    <xf numFmtId="2" fontId="49" fillId="0" borderId="31" xfId="0" applyNumberFormat="1" applyFont="1" applyBorder="1" applyAlignment="1">
      <alignment horizontal="center" vertical="center"/>
    </xf>
    <xf numFmtId="166" fontId="52" fillId="0" borderId="31" xfId="0" applyNumberFormat="1" applyFont="1" applyBorder="1" applyAlignment="1">
      <alignment horizontal="center" vertical="center"/>
    </xf>
    <xf numFmtId="166" fontId="53" fillId="0" borderId="31" xfId="0" applyNumberFormat="1" applyFont="1" applyBorder="1" applyAlignment="1">
      <alignment horizontal="center" vertical="center"/>
    </xf>
    <xf numFmtId="168" fontId="49" fillId="0" borderId="31" xfId="0" applyNumberFormat="1" applyFont="1" applyBorder="1" applyAlignment="1">
      <alignment horizontal="center" vertical="center"/>
    </xf>
    <xf numFmtId="166" fontId="54" fillId="0" borderId="31" xfId="1" applyFont="1" applyFill="1" applyBorder="1" applyAlignment="1">
      <alignment horizontal="center" vertical="center"/>
    </xf>
    <xf numFmtId="166" fontId="46" fillId="0" borderId="31" xfId="1" applyFont="1" applyFill="1" applyBorder="1" applyAlignment="1">
      <alignment horizontal="center" vertical="center"/>
    </xf>
    <xf numFmtId="166" fontId="46" fillId="0" borderId="31" xfId="0" applyNumberFormat="1" applyFont="1" applyBorder="1" applyAlignment="1">
      <alignment horizontal="center" vertical="center"/>
    </xf>
    <xf numFmtId="166" fontId="49" fillId="0" borderId="31" xfId="1" applyFont="1" applyFill="1" applyBorder="1" applyAlignment="1">
      <alignment horizontal="center" vertical="center"/>
    </xf>
    <xf numFmtId="166" fontId="49" fillId="0" borderId="37" xfId="1" applyFont="1" applyFill="1" applyBorder="1" applyAlignment="1">
      <alignment horizontal="center" vertical="center"/>
    </xf>
    <xf numFmtId="2" fontId="46" fillId="0" borderId="17" xfId="0" applyNumberFormat="1" applyFont="1" applyBorder="1" applyAlignment="1">
      <alignment vertical="center"/>
    </xf>
    <xf numFmtId="167" fontId="49" fillId="0" borderId="17" xfId="1" applyNumberFormat="1" applyFont="1" applyFill="1" applyBorder="1" applyAlignment="1">
      <alignment vertical="center"/>
    </xf>
    <xf numFmtId="167" fontId="54" fillId="0" borderId="17" xfId="1" applyNumberFormat="1" applyFont="1" applyFill="1" applyBorder="1" applyAlignment="1">
      <alignment vertical="center"/>
    </xf>
    <xf numFmtId="168" fontId="49" fillId="0" borderId="17" xfId="0" applyNumberFormat="1" applyFont="1" applyBorder="1" applyAlignment="1">
      <alignment vertical="center"/>
    </xf>
    <xf numFmtId="0" fontId="49" fillId="0" borderId="17" xfId="0" applyFont="1" applyBorder="1" applyAlignment="1">
      <alignment horizontal="center" vertical="center"/>
    </xf>
    <xf numFmtId="2" fontId="49" fillId="0" borderId="17" xfId="0" applyNumberFormat="1" applyFont="1" applyBorder="1" applyAlignment="1">
      <alignment horizontal="center" vertical="center"/>
    </xf>
    <xf numFmtId="166" fontId="52" fillId="0" borderId="17" xfId="0" applyNumberFormat="1" applyFont="1" applyBorder="1" applyAlignment="1">
      <alignment horizontal="center" vertical="center"/>
    </xf>
    <xf numFmtId="166" fontId="53" fillId="0" borderId="17" xfId="0" applyNumberFormat="1" applyFont="1" applyBorder="1" applyAlignment="1">
      <alignment horizontal="center" vertical="center"/>
    </xf>
    <xf numFmtId="168" fontId="49" fillId="0" borderId="17" xfId="0" applyNumberFormat="1" applyFont="1" applyBorder="1" applyAlignment="1">
      <alignment horizontal="center" vertical="center"/>
    </xf>
    <xf numFmtId="166" fontId="54" fillId="0" borderId="17" xfId="1" applyFont="1" applyFill="1" applyBorder="1" applyAlignment="1">
      <alignment horizontal="center" vertical="center"/>
    </xf>
    <xf numFmtId="166" fontId="46" fillId="0" borderId="17" xfId="1" applyFont="1" applyFill="1" applyBorder="1" applyAlignment="1">
      <alignment horizontal="center" vertical="center"/>
    </xf>
    <xf numFmtId="0" fontId="49" fillId="0" borderId="98" xfId="0" applyFont="1" applyBorder="1" applyAlignment="1">
      <alignment horizontal="left" vertical="center" wrapText="1"/>
    </xf>
    <xf numFmtId="0" fontId="3" fillId="0" borderId="99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2" fontId="75" fillId="0" borderId="64" xfId="2" applyNumberFormat="1" applyFont="1" applyBorder="1" applyAlignment="1">
      <alignment horizontal="center" vertical="center" wrapText="1"/>
    </xf>
    <xf numFmtId="166" fontId="75" fillId="0" borderId="84" xfId="44" applyFont="1" applyFill="1" applyBorder="1" applyAlignment="1" applyProtection="1">
      <alignment vertical="center"/>
    </xf>
    <xf numFmtId="166" fontId="75" fillId="0" borderId="64" xfId="44" applyFont="1" applyFill="1" applyBorder="1" applyAlignment="1" applyProtection="1">
      <alignment vertical="center"/>
    </xf>
    <xf numFmtId="0" fontId="75" fillId="0" borderId="65" xfId="2" applyFont="1" applyBorder="1" applyAlignment="1">
      <alignment horizontal="center" vertical="center" wrapText="1"/>
    </xf>
    <xf numFmtId="166" fontId="75" fillId="0" borderId="64" xfId="2" applyNumberFormat="1" applyFont="1" applyBorder="1" applyAlignment="1">
      <alignment horizontal="center" vertical="center"/>
    </xf>
    <xf numFmtId="2" fontId="75" fillId="0" borderId="0" xfId="2" applyNumberFormat="1" applyFont="1" applyAlignment="1">
      <alignment horizontal="right" vertical="center"/>
    </xf>
    <xf numFmtId="166" fontId="49" fillId="0" borderId="100" xfId="1" applyFont="1" applyFill="1" applyBorder="1" applyAlignment="1">
      <alignment horizontal="center" vertical="center"/>
    </xf>
    <xf numFmtId="167" fontId="46" fillId="0" borderId="17" xfId="1" applyNumberFormat="1" applyFont="1" applyFill="1" applyBorder="1" applyAlignment="1">
      <alignment vertical="center"/>
    </xf>
    <xf numFmtId="167" fontId="51" fillId="0" borderId="17" xfId="1" applyNumberFormat="1" applyFont="1" applyFill="1" applyBorder="1" applyAlignment="1">
      <alignment vertical="center"/>
    </xf>
    <xf numFmtId="9" fontId="54" fillId="0" borderId="17" xfId="1" applyNumberFormat="1" applyFont="1" applyFill="1" applyBorder="1" applyAlignment="1">
      <alignment horizontal="center" vertical="center"/>
    </xf>
    <xf numFmtId="167" fontId="54" fillId="0" borderId="17" xfId="1" applyNumberFormat="1" applyFont="1" applyFill="1" applyBorder="1" applyAlignment="1">
      <alignment horizontal="center" vertical="center"/>
    </xf>
    <xf numFmtId="2" fontId="46" fillId="0" borderId="17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168" fontId="46" fillId="0" borderId="17" xfId="0" applyNumberFormat="1" applyFont="1" applyBorder="1" applyAlignment="1">
      <alignment horizontal="center" vertical="center"/>
    </xf>
    <xf numFmtId="9" fontId="46" fillId="0" borderId="31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vertical="center"/>
    </xf>
    <xf numFmtId="167" fontId="46" fillId="0" borderId="9" xfId="1" applyNumberFormat="1" applyFont="1" applyFill="1" applyBorder="1" applyAlignment="1">
      <alignment horizontal="center" vertical="center"/>
    </xf>
    <xf numFmtId="9" fontId="46" fillId="0" borderId="10" xfId="1" applyNumberFormat="1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horizontal="right" vertical="center"/>
    </xf>
    <xf numFmtId="0" fontId="47" fillId="0" borderId="9" xfId="0" applyFont="1" applyBorder="1" applyAlignment="1">
      <alignment horizontal="right" vertical="center"/>
    </xf>
    <xf numFmtId="0" fontId="46" fillId="0" borderId="101" xfId="0" applyFont="1" applyBorder="1" applyAlignment="1">
      <alignment vertical="center"/>
    </xf>
    <xf numFmtId="2" fontId="46" fillId="0" borderId="101" xfId="0" applyNumberFormat="1" applyFont="1" applyBorder="1" applyAlignment="1">
      <alignment vertical="center"/>
    </xf>
    <xf numFmtId="167" fontId="46" fillId="0" borderId="101" xfId="1" applyNumberFormat="1" applyFont="1" applyFill="1" applyBorder="1" applyAlignment="1">
      <alignment vertical="center"/>
    </xf>
    <xf numFmtId="167" fontId="51" fillId="0" borderId="101" xfId="1" applyNumberFormat="1" applyFont="1" applyFill="1" applyBorder="1" applyAlignment="1">
      <alignment vertical="center"/>
    </xf>
    <xf numFmtId="167" fontId="51" fillId="0" borderId="101" xfId="1" applyNumberFormat="1" applyFont="1" applyFill="1" applyBorder="1" applyAlignment="1">
      <alignment horizontal="center" vertical="center"/>
    </xf>
    <xf numFmtId="167" fontId="46" fillId="0" borderId="101" xfId="1" applyNumberFormat="1" applyFont="1" applyFill="1" applyBorder="1" applyAlignment="1">
      <alignment horizontal="center" vertical="center" wrapText="1"/>
    </xf>
    <xf numFmtId="168" fontId="46" fillId="0" borderId="101" xfId="0" applyNumberFormat="1" applyFont="1" applyBorder="1" applyAlignment="1">
      <alignment vertical="center"/>
    </xf>
    <xf numFmtId="0" fontId="46" fillId="0" borderId="101" xfId="0" applyFont="1" applyBorder="1" applyAlignment="1">
      <alignment horizontal="center" vertical="center"/>
    </xf>
    <xf numFmtId="2" fontId="46" fillId="0" borderId="101" xfId="0" applyNumberFormat="1" applyFont="1" applyBorder="1" applyAlignment="1">
      <alignment horizontal="center" vertical="center"/>
    </xf>
    <xf numFmtId="166" fontId="53" fillId="0" borderId="101" xfId="0" applyNumberFormat="1" applyFont="1" applyBorder="1" applyAlignment="1">
      <alignment horizontal="center" vertical="center"/>
    </xf>
    <xf numFmtId="168" fontId="46" fillId="0" borderId="101" xfId="0" applyNumberFormat="1" applyFont="1" applyBorder="1" applyAlignment="1">
      <alignment horizontal="center" vertical="center"/>
    </xf>
    <xf numFmtId="168" fontId="49" fillId="0" borderId="101" xfId="0" applyNumberFormat="1" applyFont="1" applyBorder="1" applyAlignment="1">
      <alignment horizontal="center" vertical="center"/>
    </xf>
    <xf numFmtId="166" fontId="54" fillId="0" borderId="101" xfId="1" applyFont="1" applyFill="1" applyBorder="1" applyAlignment="1">
      <alignment horizontal="center" vertical="center"/>
    </xf>
    <xf numFmtId="166" fontId="46" fillId="0" borderId="101" xfId="1" applyFont="1" applyFill="1" applyBorder="1" applyAlignment="1">
      <alignment horizontal="center" vertical="center"/>
    </xf>
    <xf numFmtId="166" fontId="46" fillId="0" borderId="101" xfId="0" applyNumberFormat="1" applyFont="1" applyBorder="1" applyAlignment="1">
      <alignment horizontal="center" vertical="center"/>
    </xf>
    <xf numFmtId="166" fontId="49" fillId="0" borderId="101" xfId="1" applyFont="1" applyFill="1" applyBorder="1" applyAlignment="1">
      <alignment horizontal="center" vertical="center"/>
    </xf>
    <xf numFmtId="0" fontId="46" fillId="0" borderId="101" xfId="0" applyFont="1" applyBorder="1" applyAlignment="1">
      <alignment horizontal="left" vertical="center" wrapText="1"/>
    </xf>
    <xf numFmtId="0" fontId="5" fillId="0" borderId="101" xfId="0" applyFont="1" applyBorder="1" applyAlignment="1">
      <alignment vertical="center"/>
    </xf>
    <xf numFmtId="2" fontId="69" fillId="36" borderId="66" xfId="0" applyNumberFormat="1" applyFont="1" applyFill="1" applyBorder="1" applyAlignment="1">
      <alignment horizontal="center"/>
    </xf>
    <xf numFmtId="0" fontId="67" fillId="0" borderId="66" xfId="0" applyFont="1" applyBorder="1" applyAlignment="1">
      <alignment horizontal="center" vertical="center"/>
    </xf>
    <xf numFmtId="0" fontId="68" fillId="0" borderId="66" xfId="0" applyFont="1" applyBorder="1" applyAlignment="1">
      <alignment horizontal="center" vertical="center"/>
    </xf>
    <xf numFmtId="0" fontId="68" fillId="0" borderId="66" xfId="0" applyFont="1" applyBorder="1" applyAlignment="1">
      <alignment horizontal="left" vertical="center"/>
    </xf>
    <xf numFmtId="172" fontId="68" fillId="0" borderId="66" xfId="1" applyNumberFormat="1" applyFont="1" applyBorder="1" applyAlignment="1">
      <alignment horizontal="center" vertical="center"/>
    </xf>
    <xf numFmtId="166" fontId="68" fillId="0" borderId="66" xfId="1" applyFont="1" applyBorder="1" applyAlignment="1">
      <alignment horizontal="center" vertical="center"/>
    </xf>
    <xf numFmtId="0" fontId="69" fillId="0" borderId="66" xfId="0" applyFont="1" applyBorder="1" applyAlignment="1">
      <alignment horizontal="center" vertical="center" wrapText="1"/>
    </xf>
    <xf numFmtId="172" fontId="69" fillId="0" borderId="66" xfId="1" applyNumberFormat="1" applyFont="1" applyBorder="1" applyAlignment="1">
      <alignment horizontal="center" vertical="center" wrapText="1"/>
    </xf>
    <xf numFmtId="166" fontId="69" fillId="0" borderId="66" xfId="1" applyFont="1" applyBorder="1" applyAlignment="1">
      <alignment horizontal="center" vertical="center" wrapText="1"/>
    </xf>
    <xf numFmtId="2" fontId="68" fillId="0" borderId="66" xfId="0" applyNumberFormat="1" applyFont="1" applyBorder="1" applyAlignment="1">
      <alignment horizontal="center" vertical="center"/>
    </xf>
    <xf numFmtId="1" fontId="68" fillId="0" borderId="66" xfId="0" applyNumberFormat="1" applyFont="1" applyBorder="1" applyAlignment="1">
      <alignment horizontal="center" vertical="center"/>
    </xf>
    <xf numFmtId="9" fontId="68" fillId="0" borderId="66" xfId="1" applyNumberFormat="1" applyFont="1" applyBorder="1" applyAlignment="1">
      <alignment horizontal="center" vertical="center"/>
    </xf>
    <xf numFmtId="0" fontId="68" fillId="35" borderId="66" xfId="0" applyFont="1" applyFill="1" applyBorder="1" applyAlignment="1">
      <alignment horizontal="center" vertical="center"/>
    </xf>
    <xf numFmtId="1" fontId="69" fillId="35" borderId="66" xfId="0" applyNumberFormat="1" applyFont="1" applyFill="1" applyBorder="1" applyAlignment="1">
      <alignment horizontal="center" vertical="center"/>
    </xf>
    <xf numFmtId="9" fontId="69" fillId="35" borderId="66" xfId="1" applyNumberFormat="1" applyFont="1" applyFill="1" applyBorder="1" applyAlignment="1">
      <alignment horizontal="center" vertical="center"/>
    </xf>
    <xf numFmtId="166" fontId="68" fillId="35" borderId="66" xfId="1" applyFont="1" applyFill="1" applyBorder="1" applyAlignment="1">
      <alignment horizontal="center" vertical="center"/>
    </xf>
    <xf numFmtId="9" fontId="69" fillId="34" borderId="66" xfId="1" applyNumberFormat="1" applyFont="1" applyFill="1" applyBorder="1" applyAlignment="1">
      <alignment horizontal="center" vertical="center"/>
    </xf>
    <xf numFmtId="46" fontId="0" fillId="0" borderId="0" xfId="0" applyNumberFormat="1"/>
    <xf numFmtId="169" fontId="82" fillId="0" borderId="0" xfId="1" applyNumberFormat="1" applyFont="1" applyFill="1" applyBorder="1" applyAlignment="1" applyProtection="1">
      <alignment horizontal="center" vertical="center"/>
    </xf>
    <xf numFmtId="168" fontId="49" fillId="0" borderId="32" xfId="0" applyNumberFormat="1" applyFont="1" applyBorder="1" applyAlignment="1">
      <alignment horizontal="center" vertical="center"/>
    </xf>
    <xf numFmtId="0" fontId="49" fillId="0" borderId="66" xfId="0" applyFont="1" applyBorder="1" applyAlignment="1">
      <alignment horizontal="center" vertical="center" wrapText="1"/>
    </xf>
    <xf numFmtId="168" fontId="49" fillId="0" borderId="11" xfId="0" applyNumberFormat="1" applyFont="1" applyBorder="1" applyAlignment="1">
      <alignment horizontal="center" vertical="center" wrapText="1"/>
    </xf>
    <xf numFmtId="175" fontId="16" fillId="0" borderId="0" xfId="0" applyNumberFormat="1" applyFont="1" applyAlignment="1">
      <alignment horizontal="center" vertical="center"/>
    </xf>
    <xf numFmtId="172" fontId="68" fillId="0" borderId="66" xfId="1" applyNumberFormat="1" applyFont="1" applyBorder="1" applyAlignment="1">
      <alignment horizontal="center" vertical="center" wrapText="1"/>
    </xf>
    <xf numFmtId="166" fontId="68" fillId="0" borderId="66" xfId="1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2" fontId="68" fillId="0" borderId="66" xfId="0" applyNumberFormat="1" applyFont="1" applyBorder="1" applyAlignment="1">
      <alignment horizontal="center" vertical="center" wrapText="1"/>
    </xf>
    <xf numFmtId="0" fontId="68" fillId="0" borderId="66" xfId="1" applyNumberFormat="1" applyFont="1" applyBorder="1" applyAlignment="1">
      <alignment horizontal="center" vertical="center"/>
    </xf>
    <xf numFmtId="2" fontId="46" fillId="37" borderId="32" xfId="0" applyNumberFormat="1" applyFont="1" applyFill="1" applyBorder="1" applyAlignment="1">
      <alignment horizontal="left" vertical="center"/>
    </xf>
    <xf numFmtId="0" fontId="68" fillId="2" borderId="66" xfId="0" applyFont="1" applyFill="1" applyBorder="1" applyAlignment="1">
      <alignment horizontal="center" vertical="center"/>
    </xf>
    <xf numFmtId="2" fontId="68" fillId="2" borderId="66" xfId="0" applyNumberFormat="1" applyFont="1" applyFill="1" applyBorder="1" applyAlignment="1">
      <alignment horizontal="center" vertical="center"/>
    </xf>
    <xf numFmtId="1" fontId="68" fillId="2" borderId="66" xfId="0" applyNumberFormat="1" applyFont="1" applyFill="1" applyBorder="1" applyAlignment="1">
      <alignment horizontal="center" vertical="center"/>
    </xf>
    <xf numFmtId="172" fontId="68" fillId="2" borderId="66" xfId="1" applyNumberFormat="1" applyFont="1" applyFill="1" applyBorder="1" applyAlignment="1">
      <alignment horizontal="center" vertical="center"/>
    </xf>
    <xf numFmtId="9" fontId="68" fillId="2" borderId="66" xfId="1" applyNumberFormat="1" applyFont="1" applyFill="1" applyBorder="1" applyAlignment="1">
      <alignment horizontal="center" vertical="center"/>
    </xf>
    <xf numFmtId="166" fontId="68" fillId="2" borderId="66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166" fontId="26" fillId="0" borderId="0" xfId="1" applyFont="1" applyFill="1" applyBorder="1" applyAlignment="1" applyProtection="1">
      <alignment horizontal="center" vertical="center"/>
    </xf>
    <xf numFmtId="166" fontId="24" fillId="0" borderId="0" xfId="1" applyFont="1" applyFill="1" applyBorder="1" applyAlignment="1" applyProtection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 wrapText="1"/>
    </xf>
    <xf numFmtId="166" fontId="5" fillId="0" borderId="10" xfId="0" applyNumberFormat="1" applyFont="1" applyBorder="1" applyAlignment="1">
      <alignment horizontal="center" vertical="center" wrapText="1"/>
    </xf>
    <xf numFmtId="166" fontId="5" fillId="0" borderId="6" xfId="1" applyFont="1" applyFill="1" applyBorder="1" applyAlignment="1">
      <alignment horizontal="center" vertical="center" wrapText="1"/>
    </xf>
    <xf numFmtId="166" fontId="5" fillId="0" borderId="10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6" fontId="72" fillId="0" borderId="57" xfId="44" applyFont="1" applyFill="1" applyBorder="1" applyAlignment="1" applyProtection="1">
      <alignment horizontal="center" vertical="center" wrapText="1"/>
    </xf>
    <xf numFmtId="166" fontId="72" fillId="0" borderId="59" xfId="44" applyFont="1" applyFill="1" applyBorder="1" applyAlignment="1" applyProtection="1">
      <alignment horizontal="center" vertical="center" wrapText="1"/>
    </xf>
    <xf numFmtId="0" fontId="72" fillId="0" borderId="57" xfId="2" applyFont="1" applyBorder="1" applyAlignment="1">
      <alignment horizontal="center" vertical="center" wrapText="1"/>
    </xf>
    <xf numFmtId="0" fontId="72" fillId="0" borderId="83" xfId="2" applyFont="1" applyBorder="1" applyAlignment="1">
      <alignment horizontal="center" vertical="center" wrapText="1"/>
    </xf>
    <xf numFmtId="2" fontId="72" fillId="0" borderId="57" xfId="2" applyNumberFormat="1" applyFont="1" applyBorder="1" applyAlignment="1">
      <alignment horizontal="center" vertical="center" wrapText="1"/>
    </xf>
    <xf numFmtId="2" fontId="72" fillId="0" borderId="83" xfId="2" applyNumberFormat="1" applyFont="1" applyBorder="1" applyAlignment="1">
      <alignment horizontal="center" vertical="center" wrapText="1"/>
    </xf>
    <xf numFmtId="166" fontId="72" fillId="0" borderId="83" xfId="44" applyFont="1" applyFill="1" applyBorder="1" applyAlignment="1" applyProtection="1">
      <alignment horizontal="center" vertical="center" wrapText="1"/>
    </xf>
    <xf numFmtId="164" fontId="72" fillId="0" borderId="57" xfId="46" applyNumberFormat="1" applyFont="1" applyFill="1" applyBorder="1" applyAlignment="1" applyProtection="1">
      <alignment horizontal="center" vertical="center" wrapText="1"/>
    </xf>
    <xf numFmtId="164" fontId="72" fillId="0" borderId="83" xfId="46" applyNumberFormat="1" applyFont="1" applyFill="1" applyBorder="1" applyAlignment="1" applyProtection="1">
      <alignment horizontal="center" vertical="center" wrapText="1"/>
    </xf>
    <xf numFmtId="0" fontId="72" fillId="0" borderId="60" xfId="2" applyFont="1" applyBorder="1" applyAlignment="1">
      <alignment horizontal="center" vertical="center" wrapText="1"/>
    </xf>
    <xf numFmtId="166" fontId="72" fillId="0" borderId="57" xfId="1" applyFont="1" applyFill="1" applyBorder="1" applyAlignment="1" applyProtection="1">
      <alignment horizontal="center" vertical="center" wrapText="1"/>
    </xf>
    <xf numFmtId="166" fontId="72" fillId="0" borderId="83" xfId="1" applyFont="1" applyFill="1" applyBorder="1" applyAlignment="1" applyProtection="1">
      <alignment horizontal="center" vertical="center" wrapText="1"/>
    </xf>
    <xf numFmtId="166" fontId="72" fillId="0" borderId="80" xfId="1" applyFont="1" applyFill="1" applyBorder="1" applyAlignment="1" applyProtection="1">
      <alignment horizontal="center" vertical="center" wrapText="1"/>
    </xf>
    <xf numFmtId="166" fontId="72" fillId="0" borderId="81" xfId="1" applyFont="1" applyFill="1" applyBorder="1" applyAlignment="1" applyProtection="1">
      <alignment horizontal="center" vertical="center" wrapText="1"/>
    </xf>
    <xf numFmtId="0" fontId="72" fillId="0" borderId="80" xfId="2" applyFont="1" applyBorder="1" applyAlignment="1">
      <alignment horizontal="center" vertical="center" wrapText="1"/>
    </xf>
    <xf numFmtId="0" fontId="72" fillId="0" borderId="82" xfId="2" applyFont="1" applyBorder="1" applyAlignment="1">
      <alignment horizontal="center" vertical="center" wrapText="1"/>
    </xf>
    <xf numFmtId="0" fontId="72" fillId="0" borderId="81" xfId="2" applyFont="1" applyBorder="1" applyAlignment="1">
      <alignment horizontal="center" vertical="center" wrapText="1"/>
    </xf>
    <xf numFmtId="9" fontId="72" fillId="0" borderId="57" xfId="46" applyFont="1" applyFill="1" applyBorder="1" applyAlignment="1" applyProtection="1">
      <alignment horizontal="center" vertical="center" wrapText="1"/>
    </xf>
    <xf numFmtId="9" fontId="72" fillId="0" borderId="83" xfId="46" applyFont="1" applyFill="1" applyBorder="1" applyAlignment="1" applyProtection="1">
      <alignment horizontal="center" vertical="center" wrapText="1"/>
    </xf>
    <xf numFmtId="2" fontId="72" fillId="0" borderId="60" xfId="2" applyNumberFormat="1" applyFont="1" applyBorder="1" applyAlignment="1">
      <alignment horizontal="center" vertical="center" wrapText="1"/>
    </xf>
    <xf numFmtId="166" fontId="72" fillId="0" borderId="60" xfId="44" applyFont="1" applyFill="1" applyBorder="1" applyAlignment="1" applyProtection="1">
      <alignment horizontal="center" vertical="center" wrapText="1"/>
    </xf>
    <xf numFmtId="9" fontId="72" fillId="0" borderId="60" xfId="46" applyFont="1" applyFill="1" applyBorder="1" applyAlignment="1" applyProtection="1">
      <alignment horizontal="center" vertical="center" wrapText="1"/>
    </xf>
    <xf numFmtId="166" fontId="72" fillId="0" borderId="60" xfId="1" applyFont="1" applyFill="1" applyBorder="1" applyAlignment="1" applyProtection="1">
      <alignment horizontal="center" vertical="center" wrapText="1"/>
    </xf>
    <xf numFmtId="164" fontId="72" fillId="0" borderId="60" xfId="46" applyNumberFormat="1" applyFont="1" applyFill="1" applyBorder="1" applyAlignment="1" applyProtection="1">
      <alignment horizontal="center" vertical="center" wrapText="1"/>
    </xf>
    <xf numFmtId="0" fontId="75" fillId="0" borderId="57" xfId="2" applyFont="1" applyBorder="1" applyAlignment="1">
      <alignment horizontal="center" vertical="center" wrapText="1"/>
    </xf>
    <xf numFmtId="0" fontId="75" fillId="0" borderId="59" xfId="2" applyFont="1" applyBorder="1" applyAlignment="1">
      <alignment horizontal="center" vertical="center" wrapText="1"/>
    </xf>
    <xf numFmtId="0" fontId="75" fillId="0" borderId="83" xfId="2" applyFont="1" applyBorder="1" applyAlignment="1">
      <alignment horizontal="center" vertical="center" wrapText="1"/>
    </xf>
    <xf numFmtId="0" fontId="75" fillId="0" borderId="69" xfId="2" applyFont="1" applyBorder="1" applyAlignment="1">
      <alignment horizontal="left" vertical="center" wrapText="1"/>
    </xf>
    <xf numFmtId="0" fontId="75" fillId="0" borderId="89" xfId="2" applyFont="1" applyBorder="1" applyAlignment="1">
      <alignment horizontal="left" vertical="center" wrapText="1"/>
    </xf>
    <xf numFmtId="0" fontId="75" fillId="0" borderId="70" xfId="2" applyFont="1" applyBorder="1" applyAlignment="1">
      <alignment horizontal="left" vertical="center" wrapText="1"/>
    </xf>
    <xf numFmtId="0" fontId="75" fillId="0" borderId="68" xfId="2" applyFont="1" applyBorder="1" applyAlignment="1">
      <alignment horizontal="left" vertical="center" wrapText="1"/>
    </xf>
    <xf numFmtId="0" fontId="75" fillId="0" borderId="0" xfId="2" applyFont="1" applyAlignment="1">
      <alignment horizontal="left" vertical="center" wrapText="1"/>
    </xf>
    <xf numFmtId="0" fontId="75" fillId="0" borderId="73" xfId="2" applyFont="1" applyBorder="1" applyAlignment="1">
      <alignment horizontal="left" vertical="center" wrapText="1"/>
    </xf>
    <xf numFmtId="0" fontId="75" fillId="0" borderId="90" xfId="2" applyFont="1" applyBorder="1" applyAlignment="1">
      <alignment horizontal="left" vertical="center" wrapText="1"/>
    </xf>
    <xf numFmtId="0" fontId="75" fillId="0" borderId="91" xfId="2" applyFont="1" applyBorder="1" applyAlignment="1">
      <alignment horizontal="left" vertical="center" wrapText="1"/>
    </xf>
    <xf numFmtId="0" fontId="75" fillId="0" borderId="92" xfId="2" applyFont="1" applyBorder="1" applyAlignment="1">
      <alignment horizontal="left" vertical="center" wrapText="1"/>
    </xf>
    <xf numFmtId="0" fontId="72" fillId="0" borderId="69" xfId="2" applyFont="1" applyBorder="1" applyAlignment="1">
      <alignment horizontal="center" vertical="center" wrapText="1"/>
    </xf>
    <xf numFmtId="0" fontId="72" fillId="0" borderId="89" xfId="2" applyFont="1" applyBorder="1" applyAlignment="1">
      <alignment horizontal="center" vertical="center" wrapText="1"/>
    </xf>
    <xf numFmtId="0" fontId="72" fillId="0" borderId="70" xfId="2" applyFont="1" applyBorder="1" applyAlignment="1">
      <alignment horizontal="center" vertical="center" wrapText="1"/>
    </xf>
    <xf numFmtId="0" fontId="72" fillId="0" borderId="71" xfId="2" applyFont="1" applyBorder="1" applyAlignment="1">
      <alignment horizontal="center" vertical="center" wrapText="1"/>
    </xf>
    <xf numFmtId="0" fontId="72" fillId="0" borderId="79" xfId="2" applyFont="1" applyBorder="1" applyAlignment="1">
      <alignment horizontal="center" vertical="center" wrapText="1"/>
    </xf>
    <xf numFmtId="0" fontId="72" fillId="0" borderId="72" xfId="2" applyFont="1" applyBorder="1" applyAlignment="1">
      <alignment horizontal="center" vertical="center" wrapText="1"/>
    </xf>
    <xf numFmtId="0" fontId="75" fillId="0" borderId="60" xfId="2" applyFont="1" applyBorder="1" applyAlignment="1">
      <alignment horizontal="center" vertical="center" wrapText="1"/>
    </xf>
    <xf numFmtId="0" fontId="75" fillId="0" borderId="71" xfId="2" applyFont="1" applyBorder="1" applyAlignment="1">
      <alignment horizontal="left" vertical="center" wrapText="1"/>
    </xf>
    <xf numFmtId="0" fontId="75" fillId="0" borderId="79" xfId="2" applyFont="1" applyBorder="1" applyAlignment="1">
      <alignment horizontal="left" vertical="center" wrapText="1"/>
    </xf>
    <xf numFmtId="0" fontId="75" fillId="0" borderId="72" xfId="2" applyFont="1" applyBorder="1" applyAlignment="1">
      <alignment horizontal="left" vertical="center" wrapText="1"/>
    </xf>
    <xf numFmtId="14" fontId="73" fillId="0" borderId="57" xfId="2" applyNumberFormat="1" applyFont="1" applyBorder="1" applyAlignment="1">
      <alignment horizontal="center" vertical="center"/>
    </xf>
    <xf numFmtId="14" fontId="73" fillId="0" borderId="59" xfId="2" applyNumberFormat="1" applyFont="1" applyBorder="1" applyAlignment="1">
      <alignment horizontal="center" vertical="center"/>
    </xf>
    <xf numFmtId="14" fontId="73" fillId="0" borderId="60" xfId="2" applyNumberFormat="1" applyFont="1" applyBorder="1" applyAlignment="1">
      <alignment horizontal="center" vertical="center"/>
    </xf>
    <xf numFmtId="166" fontId="75" fillId="0" borderId="57" xfId="2" applyNumberFormat="1" applyFont="1" applyBorder="1" applyAlignment="1">
      <alignment horizontal="center" vertical="center"/>
    </xf>
    <xf numFmtId="166" fontId="75" fillId="0" borderId="59" xfId="2" applyNumberFormat="1" applyFont="1" applyBorder="1" applyAlignment="1">
      <alignment horizontal="center" vertical="center"/>
    </xf>
    <xf numFmtId="166" fontId="75" fillId="0" borderId="60" xfId="2" applyNumberFormat="1" applyFont="1" applyBorder="1" applyAlignment="1">
      <alignment horizontal="center" vertical="center"/>
    </xf>
    <xf numFmtId="9" fontId="75" fillId="0" borderId="57" xfId="2" applyNumberFormat="1" applyFont="1" applyBorder="1" applyAlignment="1">
      <alignment horizontal="center" vertical="center"/>
    </xf>
    <xf numFmtId="9" fontId="75" fillId="0" borderId="59" xfId="2" applyNumberFormat="1" applyFont="1" applyBorder="1" applyAlignment="1">
      <alignment horizontal="center" vertical="center"/>
    </xf>
    <xf numFmtId="9" fontId="75" fillId="0" borderId="60" xfId="2" applyNumberFormat="1" applyFont="1" applyBorder="1" applyAlignment="1">
      <alignment horizontal="center" vertical="center"/>
    </xf>
    <xf numFmtId="0" fontId="72" fillId="0" borderId="93" xfId="2" applyFont="1" applyBorder="1" applyAlignment="1">
      <alignment horizontal="center" vertical="center"/>
    </xf>
    <xf numFmtId="0" fontId="72" fillId="0" borderId="94" xfId="2" applyFont="1" applyBorder="1" applyAlignment="1">
      <alignment horizontal="center" vertical="center"/>
    </xf>
    <xf numFmtId="166" fontId="75" fillId="0" borderId="83" xfId="2" applyNumberFormat="1" applyFont="1" applyBorder="1" applyAlignment="1">
      <alignment horizontal="center" vertical="center"/>
    </xf>
    <xf numFmtId="9" fontId="75" fillId="0" borderId="83" xfId="2" applyNumberFormat="1" applyFont="1" applyBorder="1" applyAlignment="1">
      <alignment horizontal="center" vertical="center"/>
    </xf>
    <xf numFmtId="1" fontId="75" fillId="0" borderId="57" xfId="1" applyNumberFormat="1" applyFont="1" applyFill="1" applyBorder="1" applyAlignment="1" applyProtection="1">
      <alignment horizontal="center" vertical="center" wrapText="1"/>
    </xf>
    <xf numFmtId="1" fontId="75" fillId="0" borderId="59" xfId="1" applyNumberFormat="1" applyFont="1" applyFill="1" applyBorder="1" applyAlignment="1" applyProtection="1">
      <alignment horizontal="center" vertical="center" wrapText="1"/>
    </xf>
    <xf numFmtId="1" fontId="75" fillId="0" borderId="83" xfId="1" applyNumberFormat="1" applyFont="1" applyFill="1" applyBorder="1" applyAlignment="1" applyProtection="1">
      <alignment horizontal="center" vertical="center" wrapText="1"/>
    </xf>
    <xf numFmtId="14" fontId="73" fillId="0" borderId="57" xfId="2" applyNumberFormat="1" applyFont="1" applyBorder="1" applyAlignment="1">
      <alignment horizontal="center" vertical="center" wrapText="1"/>
    </xf>
    <xf numFmtId="14" fontId="73" fillId="0" borderId="59" xfId="2" applyNumberFormat="1" applyFont="1" applyBorder="1" applyAlignment="1">
      <alignment horizontal="center" vertical="center" wrapText="1"/>
    </xf>
    <xf numFmtId="14" fontId="73" fillId="0" borderId="83" xfId="2" applyNumberFormat="1" applyFont="1" applyBorder="1" applyAlignment="1">
      <alignment horizontal="center" vertical="center" wrapText="1"/>
    </xf>
    <xf numFmtId="1" fontId="75" fillId="0" borderId="60" xfId="1" applyNumberFormat="1" applyFont="1" applyFill="1" applyBorder="1" applyAlignment="1" applyProtection="1">
      <alignment horizontal="center" vertical="center" wrapText="1"/>
    </xf>
    <xf numFmtId="0" fontId="73" fillId="0" borderId="57" xfId="2" applyFont="1" applyBorder="1" applyAlignment="1">
      <alignment horizontal="center" vertical="center"/>
    </xf>
    <xf numFmtId="0" fontId="73" fillId="0" borderId="59" xfId="2" applyFont="1" applyBorder="1" applyAlignment="1">
      <alignment horizontal="center" vertical="center"/>
    </xf>
    <xf numFmtId="0" fontId="73" fillId="0" borderId="83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9" fontId="26" fillId="0" borderId="0" xfId="1" applyNumberFormat="1" applyFont="1" applyFill="1" applyBorder="1" applyAlignment="1" applyProtection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169" fontId="24" fillId="0" borderId="0" xfId="1" applyNumberFormat="1" applyFont="1" applyFill="1" applyBorder="1" applyAlignment="1" applyProtection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169" fontId="16" fillId="0" borderId="0" xfId="1" applyNumberFormat="1" applyFont="1" applyFill="1" applyBorder="1" applyAlignment="1" applyProtection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166" fontId="49" fillId="0" borderId="78" xfId="0" applyNumberFormat="1" applyFont="1" applyBorder="1" applyAlignment="1">
      <alignment horizontal="center" vertical="center" wrapText="1"/>
    </xf>
    <xf numFmtId="166" fontId="49" fillId="0" borderId="64" xfId="0" applyNumberFormat="1" applyFont="1" applyBorder="1" applyAlignment="1">
      <alignment horizontal="center" vertical="center" wrapText="1"/>
    </xf>
    <xf numFmtId="166" fontId="49" fillId="0" borderId="6" xfId="1" applyFont="1" applyFill="1" applyBorder="1" applyAlignment="1">
      <alignment horizontal="center" vertical="center" wrapText="1"/>
    </xf>
    <xf numFmtId="166" fontId="49" fillId="0" borderId="10" xfId="1" applyFont="1" applyFill="1" applyBorder="1" applyAlignment="1">
      <alignment horizontal="center" vertical="center" wrapText="1"/>
    </xf>
    <xf numFmtId="0" fontId="69" fillId="34" borderId="66" xfId="0" applyFont="1" applyFill="1" applyBorder="1" applyAlignment="1">
      <alignment horizontal="center" vertical="center"/>
    </xf>
    <xf numFmtId="0" fontId="69" fillId="36" borderId="66" xfId="0" applyFont="1" applyFill="1" applyBorder="1" applyAlignment="1">
      <alignment horizontal="center"/>
    </xf>
    <xf numFmtId="0" fontId="69" fillId="0" borderId="69" xfId="0" applyFont="1" applyBorder="1" applyAlignment="1">
      <alignment horizontal="center" vertical="center"/>
    </xf>
    <xf numFmtId="0" fontId="69" fillId="0" borderId="70" xfId="0" applyFont="1" applyBorder="1" applyAlignment="1">
      <alignment horizontal="center" vertical="center"/>
    </xf>
    <xf numFmtId="0" fontId="69" fillId="0" borderId="68" xfId="0" applyFont="1" applyBorder="1" applyAlignment="1">
      <alignment horizontal="center" vertical="center"/>
    </xf>
    <xf numFmtId="0" fontId="69" fillId="0" borderId="73" xfId="0" applyFont="1" applyBorder="1" applyAlignment="1">
      <alignment horizontal="center" vertical="center"/>
    </xf>
    <xf numFmtId="0" fontId="69" fillId="0" borderId="71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 vertical="center"/>
    </xf>
    <xf numFmtId="0" fontId="70" fillId="0" borderId="66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 textRotation="90"/>
    </xf>
    <xf numFmtId="0" fontId="69" fillId="0" borderId="66" xfId="0" applyFont="1" applyBorder="1" applyAlignment="1">
      <alignment horizontal="center" vertical="center"/>
    </xf>
    <xf numFmtId="2" fontId="69" fillId="0" borderId="57" xfId="0" applyNumberFormat="1" applyFont="1" applyBorder="1" applyAlignment="1">
      <alignment horizontal="center" vertical="center"/>
    </xf>
    <xf numFmtId="2" fontId="69" fillId="0" borderId="59" xfId="0" applyNumberFormat="1" applyFont="1" applyBorder="1" applyAlignment="1">
      <alignment horizontal="center" vertical="center"/>
    </xf>
    <xf numFmtId="2" fontId="69" fillId="0" borderId="60" xfId="0" applyNumberFormat="1" applyFont="1" applyBorder="1" applyAlignment="1">
      <alignment horizontal="center" vertical="center"/>
    </xf>
    <xf numFmtId="2" fontId="69" fillId="36" borderId="66" xfId="0" applyNumberFormat="1" applyFont="1" applyFill="1" applyBorder="1" applyAlignment="1">
      <alignment horizontal="center"/>
    </xf>
    <xf numFmtId="167" fontId="46" fillId="0" borderId="31" xfId="1" applyNumberFormat="1" applyFont="1" applyFill="1" applyBorder="1" applyAlignment="1">
      <alignment vertical="center"/>
    </xf>
    <xf numFmtId="2" fontId="46" fillId="2" borderId="11" xfId="0" applyNumberFormat="1" applyFont="1" applyFill="1" applyBorder="1" applyAlignment="1">
      <alignment horizontal="left" vertical="center"/>
    </xf>
    <xf numFmtId="0" fontId="46" fillId="2" borderId="62" xfId="2" applyFont="1" applyFill="1" applyBorder="1" applyAlignment="1">
      <alignment horizontal="left" vertical="center" wrapText="1"/>
    </xf>
  </cellXfs>
  <cellStyles count="49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" xfId="1" builtinId="3"/>
    <cellStyle name="Comma [0] 2" xfId="47"/>
    <cellStyle name="Comma 2" xfId="44"/>
    <cellStyle name="Currency 2" xfId="48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te 2" xfId="39"/>
    <cellStyle name="Output 2" xfId="40"/>
    <cellStyle name="Percent" xfId="45" builtinId="5"/>
    <cellStyle name="Percent 2" xfId="46"/>
    <cellStyle name="Title 2" xfId="41"/>
    <cellStyle name="Total 2" xfId="42"/>
    <cellStyle name="Warning Text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92\Tahun%202023\5.%20Mei\Daily%20Report\Daily%20Report%2015%20MEI%20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et.1"/>
      <sheetName val="PIT GAR 42"/>
      <sheetName val="Sheet1"/>
      <sheetName val="Sheet2"/>
      <sheetName val="Daily All PIT"/>
      <sheetName val="PIT GAR 55"/>
      <sheetName val="PIT GAR 50"/>
      <sheetName val="Fleet"/>
      <sheetName val="Prodty"/>
      <sheetName val="Sheet4"/>
      <sheetName val="Sheet3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F9">
            <v>6</v>
          </cell>
          <cell r="G9">
            <v>1078</v>
          </cell>
        </row>
        <row r="10">
          <cell r="F10">
            <v>4</v>
          </cell>
          <cell r="G10">
            <v>990</v>
          </cell>
        </row>
        <row r="17">
          <cell r="F17">
            <v>8</v>
          </cell>
          <cell r="G17">
            <v>1804</v>
          </cell>
        </row>
        <row r="27">
          <cell r="F27">
            <v>1</v>
          </cell>
          <cell r="G27">
            <v>154</v>
          </cell>
        </row>
        <row r="29">
          <cell r="F29">
            <v>4</v>
          </cell>
          <cell r="G29">
            <v>880</v>
          </cell>
        </row>
        <row r="35">
          <cell r="F35">
            <v>5</v>
          </cell>
          <cell r="G35">
            <v>836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39"/>
  <sheetViews>
    <sheetView workbookViewId="0">
      <selection activeCell="C5" sqref="C5"/>
    </sheetView>
  </sheetViews>
  <sheetFormatPr defaultRowHeight="15" x14ac:dyDescent="0.25"/>
  <cols>
    <col min="7" max="7" width="27.28515625" bestFit="1" customWidth="1"/>
    <col min="13" max="13" width="19.7109375" bestFit="1" customWidth="1"/>
  </cols>
  <sheetData>
    <row r="3" spans="2:18" x14ac:dyDescent="0.25">
      <c r="G3" s="148"/>
    </row>
    <row r="4" spans="2:18" ht="16.5" x14ac:dyDescent="0.3">
      <c r="C4" s="78"/>
      <c r="F4" s="189"/>
      <c r="G4" s="190"/>
      <c r="H4" s="189"/>
      <c r="I4" s="189"/>
      <c r="J4" s="189"/>
      <c r="K4" s="190"/>
      <c r="L4" s="190"/>
      <c r="M4" s="190"/>
      <c r="N4" s="191" t="s">
        <v>63</v>
      </c>
      <c r="O4" s="190"/>
      <c r="P4" s="190"/>
      <c r="Q4" s="190"/>
      <c r="R4" s="190"/>
    </row>
    <row r="5" spans="2:18" ht="16.5" x14ac:dyDescent="0.3">
      <c r="B5" s="78">
        <v>0.12152777777777778</v>
      </c>
      <c r="C5" s="78">
        <v>0.24166666666666667</v>
      </c>
      <c r="D5" s="78">
        <f>C5-B5</f>
        <v>0.12013888888888889</v>
      </c>
      <c r="F5" s="189"/>
      <c r="G5" s="190"/>
      <c r="H5" s="189"/>
      <c r="I5" s="189"/>
      <c r="J5" s="189"/>
      <c r="K5" s="190"/>
      <c r="L5" s="190"/>
      <c r="M5" s="190"/>
      <c r="N5" s="192" t="s">
        <v>64</v>
      </c>
      <c r="O5" s="190"/>
      <c r="P5" s="190"/>
      <c r="Q5" s="190"/>
      <c r="R5" s="190"/>
    </row>
    <row r="6" spans="2:18" ht="16.5" x14ac:dyDescent="0.3">
      <c r="B6" s="78"/>
      <c r="C6" s="78"/>
      <c r="F6" s="189"/>
      <c r="G6" s="190"/>
      <c r="H6" s="189"/>
      <c r="I6" s="189"/>
      <c r="J6" s="189"/>
      <c r="K6" s="190"/>
      <c r="L6" s="190"/>
      <c r="M6" s="190"/>
      <c r="N6" s="190"/>
      <c r="O6" s="190"/>
      <c r="P6" s="190"/>
      <c r="Q6" s="190"/>
      <c r="R6" s="190"/>
    </row>
    <row r="7" spans="2:18" ht="16.5" x14ac:dyDescent="0.3">
      <c r="F7" s="193" t="s">
        <v>65</v>
      </c>
      <c r="G7" s="194" t="s">
        <v>66</v>
      </c>
      <c r="H7" s="193" t="s">
        <v>67</v>
      </c>
      <c r="I7" s="193" t="s">
        <v>68</v>
      </c>
      <c r="J7" s="193" t="s">
        <v>69</v>
      </c>
      <c r="K7" s="190"/>
      <c r="L7" s="190"/>
      <c r="M7" s="195" t="s">
        <v>70</v>
      </c>
      <c r="N7" s="190"/>
      <c r="O7" s="190"/>
      <c r="P7" s="190"/>
      <c r="Q7" s="190"/>
      <c r="R7" s="190"/>
    </row>
    <row r="8" spans="2:18" ht="16.5" x14ac:dyDescent="0.3">
      <c r="F8" s="189">
        <v>1</v>
      </c>
      <c r="G8" s="196" t="s">
        <v>71</v>
      </c>
      <c r="H8" s="197"/>
      <c r="I8" s="197"/>
      <c r="J8" s="198">
        <f>HOUR(I8-H8+24)+MINUTE(I8-H8+60)/60</f>
        <v>0</v>
      </c>
      <c r="K8" s="190"/>
      <c r="L8" s="190"/>
      <c r="M8" s="199">
        <v>0.29166666666666702</v>
      </c>
      <c r="N8" s="190"/>
      <c r="O8" s="190"/>
      <c r="P8" s="190"/>
      <c r="Q8" s="190"/>
      <c r="R8" s="190"/>
    </row>
    <row r="9" spans="2:18" ht="16.5" x14ac:dyDescent="0.3">
      <c r="F9" s="189">
        <f>F8+1</f>
        <v>2</v>
      </c>
      <c r="G9" s="196" t="s">
        <v>72</v>
      </c>
      <c r="H9" s="197"/>
      <c r="I9" s="197"/>
      <c r="J9" s="198">
        <f t="shared" ref="J9:J14" si="0">HOUR(I9-H9+24)+MINUTE(I9-H9+60)/60</f>
        <v>0</v>
      </c>
      <c r="K9" s="190"/>
      <c r="L9" s="190"/>
      <c r="M9" s="199">
        <v>0.33333333333333298</v>
      </c>
      <c r="N9" s="190"/>
      <c r="O9" s="190"/>
      <c r="P9" s="190"/>
      <c r="Q9" s="190"/>
      <c r="R9" s="190"/>
    </row>
    <row r="10" spans="2:18" ht="16.5" x14ac:dyDescent="0.3">
      <c r="F10" s="189">
        <f t="shared" ref="F10:F35" si="1">F9+1</f>
        <v>3</v>
      </c>
      <c r="G10" s="196" t="s">
        <v>73</v>
      </c>
      <c r="H10" s="197"/>
      <c r="I10" s="197"/>
      <c r="J10" s="198">
        <f t="shared" si="0"/>
        <v>0</v>
      </c>
      <c r="K10" s="190"/>
      <c r="L10" s="190"/>
      <c r="M10" s="200">
        <f>IFERROR(M9-M8,0)</f>
        <v>4.1666666666665964E-2</v>
      </c>
      <c r="N10" s="190"/>
      <c r="O10" s="190"/>
      <c r="P10" s="190"/>
      <c r="Q10" s="190"/>
      <c r="R10" s="190"/>
    </row>
    <row r="11" spans="2:18" ht="16.5" x14ac:dyDescent="0.3">
      <c r="F11" s="189">
        <f t="shared" si="1"/>
        <v>4</v>
      </c>
      <c r="G11" s="196" t="s">
        <v>74</v>
      </c>
      <c r="H11" s="197"/>
      <c r="I11" s="197"/>
      <c r="J11" s="198">
        <f t="shared" si="0"/>
        <v>0</v>
      </c>
      <c r="K11" s="190"/>
      <c r="L11" s="190"/>
      <c r="M11" s="201">
        <v>1</v>
      </c>
      <c r="N11" s="190"/>
      <c r="O11" s="190"/>
      <c r="P11" s="190"/>
      <c r="Q11" s="190"/>
      <c r="R11" s="190"/>
    </row>
    <row r="12" spans="2:18" ht="16.5" x14ac:dyDescent="0.3">
      <c r="F12" s="189">
        <f t="shared" si="1"/>
        <v>5</v>
      </c>
      <c r="G12" s="196" t="s">
        <v>75</v>
      </c>
      <c r="H12" s="197"/>
      <c r="I12" s="197"/>
      <c r="J12" s="198">
        <f t="shared" si="0"/>
        <v>0</v>
      </c>
      <c r="K12" s="190"/>
      <c r="L12" s="190"/>
      <c r="M12" s="190"/>
      <c r="N12" s="190"/>
      <c r="O12" s="190"/>
      <c r="P12" s="190"/>
      <c r="Q12" s="190"/>
      <c r="R12" s="190"/>
    </row>
    <row r="13" spans="2:18" ht="16.5" x14ac:dyDescent="0.3">
      <c r="F13" s="189">
        <f t="shared" si="1"/>
        <v>6</v>
      </c>
      <c r="G13" s="196" t="s">
        <v>76</v>
      </c>
      <c r="H13" s="197"/>
      <c r="I13" s="197"/>
      <c r="J13" s="198">
        <f t="shared" si="0"/>
        <v>0</v>
      </c>
      <c r="K13" s="190"/>
      <c r="L13" s="190"/>
      <c r="M13" s="190"/>
      <c r="N13" s="190"/>
      <c r="O13" s="190"/>
      <c r="P13" s="190"/>
      <c r="Q13" s="190"/>
      <c r="R13" s="190"/>
    </row>
    <row r="14" spans="2:18" ht="16.5" x14ac:dyDescent="0.3">
      <c r="F14" s="189">
        <f t="shared" si="1"/>
        <v>7</v>
      </c>
      <c r="G14" s="196" t="s">
        <v>77</v>
      </c>
      <c r="H14" s="197"/>
      <c r="I14" s="197"/>
      <c r="J14" s="198">
        <f t="shared" si="0"/>
        <v>0</v>
      </c>
      <c r="K14" s="190"/>
      <c r="L14" s="190"/>
      <c r="M14" s="190"/>
      <c r="N14" s="190"/>
      <c r="O14" s="190"/>
      <c r="P14" s="190"/>
      <c r="Q14" s="190"/>
      <c r="R14" s="190"/>
    </row>
    <row r="15" spans="2:18" ht="16.5" x14ac:dyDescent="0.3">
      <c r="F15" s="189">
        <f t="shared" si="1"/>
        <v>8</v>
      </c>
      <c r="G15" s="196" t="s">
        <v>78</v>
      </c>
      <c r="H15" s="197"/>
      <c r="I15" s="197"/>
      <c r="J15" s="202" t="str">
        <f>IF($D15="","",IF($D15&gt;$C15,$D15-$C15,M11-$C15+$D15)/M10)</f>
        <v/>
      </c>
      <c r="K15" s="190"/>
      <c r="L15" s="190"/>
      <c r="M15" s="190"/>
      <c r="N15" s="190"/>
      <c r="O15" s="190"/>
      <c r="P15" s="190"/>
      <c r="Q15" s="190"/>
      <c r="R15" s="190"/>
    </row>
    <row r="16" spans="2:18" ht="16.5" x14ac:dyDescent="0.3">
      <c r="F16" s="189">
        <f t="shared" si="1"/>
        <v>9</v>
      </c>
      <c r="G16" s="196" t="s">
        <v>79</v>
      </c>
      <c r="H16" s="189"/>
      <c r="I16" s="189"/>
      <c r="J16" s="203" t="str">
        <f>IF($D16="","",IF($D16&gt;$C16,$D16-$C16,M12-$C16+$D16)/M11)</f>
        <v/>
      </c>
      <c r="K16" s="190"/>
      <c r="L16" s="190"/>
      <c r="M16" s="190"/>
      <c r="N16" s="190"/>
      <c r="O16" s="190"/>
      <c r="P16" s="190"/>
      <c r="Q16" s="190"/>
      <c r="R16" s="190"/>
    </row>
    <row r="17" spans="6:18" ht="16.5" x14ac:dyDescent="0.3">
      <c r="F17" s="189">
        <f t="shared" si="1"/>
        <v>10</v>
      </c>
      <c r="G17" s="196" t="s">
        <v>80</v>
      </c>
      <c r="H17" s="197"/>
      <c r="I17" s="197"/>
      <c r="J17" s="204">
        <f>HOUR(I17-H17+24)+MINUTE(I17-H17+60)/60</f>
        <v>0</v>
      </c>
      <c r="K17" s="190"/>
      <c r="L17" s="190"/>
      <c r="M17" s="190"/>
      <c r="N17" s="190"/>
      <c r="O17" s="190"/>
      <c r="P17" s="190"/>
      <c r="Q17" s="190"/>
      <c r="R17" s="190"/>
    </row>
    <row r="18" spans="6:18" ht="16.5" x14ac:dyDescent="0.3">
      <c r="F18" s="189">
        <f t="shared" si="1"/>
        <v>11</v>
      </c>
      <c r="G18" s="196" t="s">
        <v>81</v>
      </c>
      <c r="H18" s="197"/>
      <c r="I18" s="197"/>
      <c r="J18" s="204">
        <f t="shared" ref="J18:J35" si="2">HOUR(I18-H18+24)+MINUTE(I18-H18+60)/60</f>
        <v>0</v>
      </c>
      <c r="K18" s="190"/>
      <c r="L18" s="190"/>
      <c r="M18" s="190"/>
      <c r="N18" s="190"/>
      <c r="O18" s="190"/>
      <c r="P18" s="190"/>
      <c r="Q18" s="190"/>
      <c r="R18" s="190"/>
    </row>
    <row r="19" spans="6:18" ht="16.5" x14ac:dyDescent="0.3">
      <c r="F19" s="189">
        <f t="shared" si="1"/>
        <v>12</v>
      </c>
      <c r="G19" s="196" t="s">
        <v>82</v>
      </c>
      <c r="H19" s="197"/>
      <c r="I19" s="197"/>
      <c r="J19" s="204">
        <f t="shared" si="2"/>
        <v>0</v>
      </c>
      <c r="K19" s="190"/>
      <c r="L19" s="190"/>
      <c r="M19" s="190"/>
      <c r="N19" s="190"/>
      <c r="O19" s="190"/>
      <c r="P19" s="190"/>
      <c r="Q19" s="190"/>
      <c r="R19" s="190"/>
    </row>
    <row r="20" spans="6:18" ht="16.5" x14ac:dyDescent="0.3">
      <c r="F20" s="189">
        <f t="shared" si="1"/>
        <v>13</v>
      </c>
      <c r="G20" s="196" t="s">
        <v>83</v>
      </c>
      <c r="H20" s="197"/>
      <c r="I20" s="197"/>
      <c r="J20" s="204">
        <f t="shared" si="2"/>
        <v>0</v>
      </c>
      <c r="K20" s="190"/>
      <c r="L20" s="190"/>
      <c r="M20" s="190"/>
      <c r="N20" s="190"/>
      <c r="O20" s="190"/>
      <c r="P20" s="190"/>
      <c r="Q20" s="190"/>
      <c r="R20" s="190"/>
    </row>
    <row r="21" spans="6:18" ht="16.5" x14ac:dyDescent="0.3">
      <c r="F21" s="189">
        <f t="shared" si="1"/>
        <v>14</v>
      </c>
      <c r="G21" s="196" t="s">
        <v>84</v>
      </c>
      <c r="H21" s="197"/>
      <c r="I21" s="197"/>
      <c r="J21" s="204">
        <f t="shared" si="2"/>
        <v>0</v>
      </c>
      <c r="K21" s="190"/>
      <c r="L21" s="190"/>
      <c r="M21" s="190"/>
      <c r="N21" s="190"/>
      <c r="O21" s="190"/>
      <c r="P21" s="190"/>
      <c r="Q21" s="190"/>
      <c r="R21" s="190"/>
    </row>
    <row r="22" spans="6:18" ht="16.5" x14ac:dyDescent="0.3">
      <c r="F22" s="189">
        <f t="shared" si="1"/>
        <v>15</v>
      </c>
      <c r="G22" s="196" t="s">
        <v>85</v>
      </c>
      <c r="H22" s="197"/>
      <c r="I22" s="197"/>
      <c r="J22" s="204">
        <f t="shared" si="2"/>
        <v>0</v>
      </c>
      <c r="K22" s="190"/>
      <c r="L22" s="190"/>
      <c r="M22" s="190"/>
      <c r="N22" s="190"/>
      <c r="O22" s="190"/>
      <c r="P22" s="190"/>
      <c r="Q22" s="190"/>
      <c r="R22" s="190"/>
    </row>
    <row r="23" spans="6:18" ht="16.5" x14ac:dyDescent="0.3">
      <c r="F23" s="189">
        <f t="shared" si="1"/>
        <v>16</v>
      </c>
      <c r="G23" s="196" t="s">
        <v>86</v>
      </c>
      <c r="H23" s="197"/>
      <c r="I23" s="197"/>
      <c r="J23" s="204">
        <f t="shared" si="2"/>
        <v>0</v>
      </c>
      <c r="K23" s="190"/>
      <c r="L23" s="190"/>
      <c r="M23" s="190"/>
      <c r="N23" s="190"/>
      <c r="O23" s="190"/>
      <c r="P23" s="190"/>
      <c r="Q23" s="190"/>
      <c r="R23" s="190"/>
    </row>
    <row r="24" spans="6:18" ht="16.5" x14ac:dyDescent="0.3">
      <c r="F24" s="189">
        <f t="shared" si="1"/>
        <v>17</v>
      </c>
      <c r="G24" s="196" t="s">
        <v>87</v>
      </c>
      <c r="H24" s="197"/>
      <c r="I24" s="197"/>
      <c r="J24" s="204">
        <f t="shared" si="2"/>
        <v>0</v>
      </c>
      <c r="K24" s="190"/>
      <c r="L24" s="190"/>
      <c r="M24" s="190"/>
      <c r="N24" s="190"/>
      <c r="O24" s="190"/>
      <c r="P24" s="190"/>
      <c r="Q24" s="190"/>
      <c r="R24" s="190"/>
    </row>
    <row r="25" spans="6:18" ht="16.5" x14ac:dyDescent="0.3">
      <c r="F25" s="189">
        <f t="shared" si="1"/>
        <v>18</v>
      </c>
      <c r="G25" s="196" t="s">
        <v>88</v>
      </c>
      <c r="H25" s="197"/>
      <c r="I25" s="197"/>
      <c r="J25" s="204">
        <f t="shared" si="2"/>
        <v>0</v>
      </c>
      <c r="K25" s="190"/>
      <c r="L25" s="190"/>
      <c r="M25" s="190"/>
      <c r="N25" s="190"/>
      <c r="O25" s="190"/>
      <c r="P25" s="190"/>
      <c r="Q25" s="190"/>
      <c r="R25" s="190"/>
    </row>
    <row r="26" spans="6:18" ht="16.5" x14ac:dyDescent="0.3">
      <c r="F26" s="189">
        <f t="shared" si="1"/>
        <v>19</v>
      </c>
      <c r="G26" s="196"/>
      <c r="H26" s="189"/>
      <c r="I26" s="189"/>
      <c r="J26" s="204"/>
      <c r="K26" s="190"/>
      <c r="L26" s="190"/>
      <c r="M26" s="190"/>
      <c r="N26" s="190"/>
      <c r="O26" s="190"/>
      <c r="P26" s="190"/>
      <c r="Q26" s="190"/>
      <c r="R26" s="190"/>
    </row>
    <row r="27" spans="6:18" ht="16.5" x14ac:dyDescent="0.3">
      <c r="F27" s="189">
        <f t="shared" si="1"/>
        <v>20</v>
      </c>
      <c r="G27" s="196" t="s">
        <v>89</v>
      </c>
      <c r="H27" s="197"/>
      <c r="I27" s="197"/>
      <c r="J27" s="204">
        <f t="shared" si="2"/>
        <v>0</v>
      </c>
      <c r="K27" s="190"/>
      <c r="L27" s="190"/>
      <c r="M27" s="190"/>
      <c r="N27" s="190"/>
      <c r="O27" s="190"/>
      <c r="P27" s="190"/>
      <c r="Q27" s="190"/>
      <c r="R27" s="190"/>
    </row>
    <row r="28" spans="6:18" ht="16.5" x14ac:dyDescent="0.3">
      <c r="F28" s="189">
        <f t="shared" si="1"/>
        <v>21</v>
      </c>
      <c r="G28" s="196" t="s">
        <v>90</v>
      </c>
      <c r="H28" s="197"/>
      <c r="I28" s="197"/>
      <c r="J28" s="204">
        <f t="shared" si="2"/>
        <v>0</v>
      </c>
      <c r="K28" s="190"/>
      <c r="L28" s="190"/>
      <c r="M28" s="190"/>
      <c r="N28" s="190"/>
      <c r="O28" s="190"/>
      <c r="P28" s="190"/>
      <c r="Q28" s="190"/>
      <c r="R28" s="190"/>
    </row>
    <row r="29" spans="6:18" ht="16.5" x14ac:dyDescent="0.3">
      <c r="F29" s="189">
        <f t="shared" si="1"/>
        <v>22</v>
      </c>
      <c r="G29" s="196" t="s">
        <v>91</v>
      </c>
      <c r="H29" s="197"/>
      <c r="I29" s="197"/>
      <c r="J29" s="204">
        <f t="shared" si="2"/>
        <v>0</v>
      </c>
      <c r="K29" s="190"/>
      <c r="L29" s="190"/>
      <c r="M29" s="190"/>
      <c r="N29" s="190"/>
      <c r="O29" s="190"/>
      <c r="P29" s="190"/>
      <c r="Q29" s="190"/>
      <c r="R29" s="190"/>
    </row>
    <row r="30" spans="6:18" ht="16.5" x14ac:dyDescent="0.3">
      <c r="F30" s="189">
        <f t="shared" si="1"/>
        <v>23</v>
      </c>
      <c r="G30" s="196"/>
      <c r="H30" s="197"/>
      <c r="I30" s="197"/>
      <c r="J30" s="204">
        <f t="shared" si="2"/>
        <v>0</v>
      </c>
      <c r="K30" s="190"/>
      <c r="L30" s="190"/>
      <c r="M30" s="190"/>
      <c r="N30" s="190"/>
      <c r="O30" s="190"/>
      <c r="P30" s="190"/>
      <c r="Q30" s="190"/>
      <c r="R30" s="190"/>
    </row>
    <row r="31" spans="6:18" ht="16.5" x14ac:dyDescent="0.3">
      <c r="F31" s="189">
        <f t="shared" si="1"/>
        <v>24</v>
      </c>
      <c r="G31" s="196" t="s">
        <v>92</v>
      </c>
      <c r="H31" s="197"/>
      <c r="I31" s="197"/>
      <c r="J31" s="204">
        <f t="shared" si="2"/>
        <v>0</v>
      </c>
      <c r="K31" s="190"/>
      <c r="L31" s="190"/>
      <c r="M31" s="190"/>
      <c r="N31" s="190"/>
      <c r="O31" s="190"/>
      <c r="P31" s="190"/>
      <c r="Q31" s="190"/>
      <c r="R31" s="190"/>
    </row>
    <row r="32" spans="6:18" ht="16.5" x14ac:dyDescent="0.3">
      <c r="F32" s="189">
        <f t="shared" si="1"/>
        <v>25</v>
      </c>
      <c r="G32" s="196" t="s">
        <v>93</v>
      </c>
      <c r="H32" s="197"/>
      <c r="I32" s="197"/>
      <c r="J32" s="204">
        <f t="shared" si="2"/>
        <v>0</v>
      </c>
      <c r="K32" s="190"/>
      <c r="L32" s="190"/>
      <c r="M32" s="190"/>
      <c r="N32" s="190"/>
      <c r="O32" s="190"/>
      <c r="P32" s="190"/>
      <c r="Q32" s="190"/>
      <c r="R32" s="190"/>
    </row>
    <row r="33" spans="5:18" ht="16.5" x14ac:dyDescent="0.3">
      <c r="F33" s="189">
        <f t="shared" si="1"/>
        <v>26</v>
      </c>
      <c r="G33" s="196" t="s">
        <v>94</v>
      </c>
      <c r="H33" s="197"/>
      <c r="I33" s="197"/>
      <c r="J33" s="204">
        <f t="shared" si="2"/>
        <v>0</v>
      </c>
      <c r="K33" s="190"/>
      <c r="L33" s="190"/>
      <c r="M33" s="190"/>
      <c r="N33" s="190"/>
      <c r="O33" s="190"/>
      <c r="P33" s="190"/>
      <c r="Q33" s="190"/>
      <c r="R33" s="190"/>
    </row>
    <row r="34" spans="5:18" ht="16.5" x14ac:dyDescent="0.3">
      <c r="F34" s="189">
        <f t="shared" si="1"/>
        <v>27</v>
      </c>
      <c r="G34" s="196" t="s">
        <v>95</v>
      </c>
      <c r="H34" s="197"/>
      <c r="I34" s="197"/>
      <c r="J34" s="204">
        <f t="shared" si="2"/>
        <v>0</v>
      </c>
      <c r="K34" s="190"/>
      <c r="L34" s="190"/>
      <c r="M34" s="190"/>
      <c r="N34" s="190"/>
      <c r="O34" s="190"/>
      <c r="P34" s="190"/>
      <c r="Q34" s="190"/>
      <c r="R34" s="190"/>
    </row>
    <row r="35" spans="5:18" ht="16.5" x14ac:dyDescent="0.3">
      <c r="F35" s="189">
        <f t="shared" si="1"/>
        <v>28</v>
      </c>
      <c r="G35" s="196" t="s">
        <v>96</v>
      </c>
      <c r="H35" s="197"/>
      <c r="I35" s="197"/>
      <c r="J35" s="204">
        <f t="shared" si="2"/>
        <v>0</v>
      </c>
      <c r="K35" s="190"/>
      <c r="L35" s="190"/>
      <c r="M35" s="190"/>
      <c r="N35" s="190"/>
      <c r="O35" s="190"/>
      <c r="P35" s="190"/>
      <c r="Q35" s="190"/>
      <c r="R35" s="190"/>
    </row>
    <row r="36" spans="5:18" ht="16.5" x14ac:dyDescent="0.3">
      <c r="F36" s="189"/>
      <c r="G36" s="196"/>
      <c r="H36" s="189"/>
      <c r="I36" s="189"/>
      <c r="J36" s="189"/>
      <c r="K36" s="190"/>
      <c r="L36" s="190"/>
      <c r="M36" s="190"/>
      <c r="N36" s="190"/>
      <c r="O36" s="190"/>
      <c r="P36" s="190"/>
      <c r="Q36" s="190"/>
      <c r="R36" s="190"/>
    </row>
    <row r="37" spans="5:18" ht="16.5" x14ac:dyDescent="0.3">
      <c r="F37" s="205"/>
      <c r="G37" s="206" t="s">
        <v>97</v>
      </c>
      <c r="H37" s="205"/>
      <c r="I37" s="205"/>
      <c r="J37" s="207">
        <f>SUM(J8:J36)</f>
        <v>0</v>
      </c>
      <c r="K37" s="190"/>
      <c r="L37" s="190"/>
      <c r="M37" s="190"/>
      <c r="N37" s="190"/>
      <c r="O37" s="190"/>
      <c r="P37" s="190"/>
      <c r="Q37" s="190"/>
      <c r="R37" s="190"/>
    </row>
    <row r="39" spans="5:18" x14ac:dyDescent="0.25">
      <c r="E39" s="78"/>
      <c r="F39" s="78"/>
    </row>
  </sheetData>
  <sortState ref="G3:G37">
    <sortCondition ref="G3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53"/>
  <sheetViews>
    <sheetView topLeftCell="A4" zoomScale="40" zoomScaleNormal="40" zoomScaleSheetLayoutView="10" workbookViewId="0">
      <selection activeCell="B42" sqref="B42"/>
    </sheetView>
  </sheetViews>
  <sheetFormatPr defaultColWidth="9" defaultRowHeight="39" x14ac:dyDescent="0.25"/>
  <cols>
    <col min="1" max="1" width="18" style="28" customWidth="1"/>
    <col min="2" max="2" width="43.42578125" style="28" bestFit="1" customWidth="1"/>
    <col min="3" max="3" width="24.85546875" style="28" bestFit="1" customWidth="1"/>
    <col min="4" max="4" width="41.7109375" style="28" customWidth="1"/>
    <col min="5" max="5" width="42" style="31" bestFit="1" customWidth="1"/>
    <col min="6" max="6" width="23.85546875" style="28" bestFit="1" customWidth="1"/>
    <col min="7" max="7" width="25.85546875" style="28" bestFit="1" customWidth="1"/>
    <col min="8" max="8" width="37" style="77" bestFit="1" customWidth="1"/>
    <col min="9" max="9" width="34.42578125" style="120" bestFit="1" customWidth="1"/>
    <col min="10" max="10" width="28.7109375" style="121" bestFit="1" customWidth="1"/>
    <col min="11" max="11" width="23.7109375" style="28" customWidth="1"/>
    <col min="12" max="12" width="30.28515625" style="31" customWidth="1"/>
    <col min="13" max="13" width="17.7109375" style="28" bestFit="1" customWidth="1"/>
    <col min="14" max="14" width="43.7109375" style="28" customWidth="1"/>
    <col min="15" max="15" width="45.5703125" style="28" customWidth="1"/>
    <col min="16" max="16" width="22.28515625" style="28" bestFit="1" customWidth="1"/>
    <col min="17" max="17" width="55.140625" style="44" customWidth="1"/>
    <col min="18" max="18" width="22" style="28" bestFit="1" customWidth="1"/>
    <col min="19" max="19" width="16.5703125" style="43" bestFit="1" customWidth="1"/>
    <col min="20" max="20" width="29.85546875" style="28" bestFit="1" customWidth="1"/>
    <col min="21" max="21" width="15.5703125" style="28" bestFit="1" customWidth="1"/>
    <col min="22" max="22" width="255.140625" style="28" customWidth="1"/>
    <col min="23" max="23" width="13.7109375" style="28" customWidth="1"/>
    <col min="24" max="24" width="27" style="28" bestFit="1" customWidth="1"/>
    <col min="25" max="27" width="11.5703125" style="28" bestFit="1" customWidth="1"/>
    <col min="28" max="28" width="12.140625" style="28" bestFit="1" customWidth="1"/>
    <col min="29" max="16384" width="9" style="28"/>
  </cols>
  <sheetData>
    <row r="1" spans="1:24" x14ac:dyDescent="0.25">
      <c r="A1" s="28" t="s">
        <v>0</v>
      </c>
      <c r="D1" s="122"/>
      <c r="E1" s="61"/>
      <c r="F1" s="31"/>
      <c r="G1" s="36"/>
      <c r="H1" s="70"/>
      <c r="I1" s="131"/>
      <c r="J1" s="40"/>
      <c r="K1" s="40"/>
      <c r="L1" s="40"/>
      <c r="M1" s="6"/>
      <c r="N1" s="6"/>
      <c r="O1" s="40"/>
      <c r="P1" s="40"/>
      <c r="Q1" s="40"/>
      <c r="R1" s="40"/>
      <c r="T1" s="44"/>
      <c r="U1" s="44"/>
      <c r="V1" s="62"/>
    </row>
    <row r="2" spans="1:24" x14ac:dyDescent="0.25">
      <c r="A2" s="28" t="s">
        <v>55</v>
      </c>
      <c r="D2" s="122"/>
      <c r="E2" s="61"/>
      <c r="F2" s="31"/>
      <c r="G2" s="36"/>
      <c r="H2" s="70"/>
      <c r="I2" s="132"/>
      <c r="J2" s="40"/>
      <c r="K2" s="6"/>
      <c r="L2" s="6"/>
      <c r="M2" s="36"/>
      <c r="N2" s="36"/>
      <c r="O2" s="40"/>
      <c r="P2" s="40"/>
      <c r="Q2" s="40"/>
      <c r="R2" s="40"/>
      <c r="T2" s="44"/>
      <c r="U2" s="44"/>
      <c r="V2" s="63" t="s">
        <v>33</v>
      </c>
    </row>
    <row r="3" spans="1:24" ht="39.75" thickBot="1" x14ac:dyDescent="0.3">
      <c r="A3" s="28" t="s">
        <v>24</v>
      </c>
      <c r="D3" s="122"/>
      <c r="E3" s="61"/>
      <c r="F3" s="31"/>
      <c r="G3" s="36"/>
      <c r="H3" s="70"/>
      <c r="I3" s="132"/>
      <c r="J3" s="40"/>
      <c r="K3" s="6"/>
      <c r="L3" s="6"/>
      <c r="M3" s="36"/>
      <c r="N3" s="36"/>
      <c r="O3" s="40"/>
      <c r="P3" s="40"/>
      <c r="Q3" s="40"/>
      <c r="R3" s="40"/>
      <c r="T3" s="44"/>
      <c r="U3" s="44"/>
      <c r="V3" s="62"/>
    </row>
    <row r="4" spans="1:24" ht="39.75" thickBot="1" x14ac:dyDescent="0.3">
      <c r="A4" s="791"/>
      <c r="B4" s="786" t="s">
        <v>1</v>
      </c>
      <c r="C4" s="793" t="s">
        <v>2</v>
      </c>
      <c r="D4" s="794"/>
      <c r="E4" s="795"/>
      <c r="F4" s="795"/>
      <c r="G4" s="153"/>
      <c r="H4" s="71"/>
      <c r="I4" s="796" t="s">
        <v>15</v>
      </c>
      <c r="J4" s="798" t="s">
        <v>29</v>
      </c>
      <c r="K4" s="800" t="s">
        <v>3</v>
      </c>
      <c r="L4" s="801"/>
      <c r="M4" s="781" t="s">
        <v>4</v>
      </c>
      <c r="N4" s="782"/>
      <c r="O4" s="782"/>
      <c r="P4" s="783"/>
      <c r="Q4" s="784" t="s">
        <v>16</v>
      </c>
      <c r="R4" s="786" t="s">
        <v>5</v>
      </c>
      <c r="S4" s="151" t="s">
        <v>6</v>
      </c>
      <c r="T4" s="788" t="s">
        <v>17</v>
      </c>
      <c r="U4" s="149"/>
      <c r="V4" s="789" t="s">
        <v>7</v>
      </c>
    </row>
    <row r="5" spans="1:24" ht="96" customHeight="1" thickBot="1" x14ac:dyDescent="0.3">
      <c r="A5" s="792"/>
      <c r="B5" s="787"/>
      <c r="C5" s="152" t="s">
        <v>8</v>
      </c>
      <c r="D5" s="15" t="s">
        <v>9</v>
      </c>
      <c r="E5" s="16" t="s">
        <v>13</v>
      </c>
      <c r="F5" s="153" t="s">
        <v>5</v>
      </c>
      <c r="G5" s="17" t="s">
        <v>10</v>
      </c>
      <c r="H5" s="72" t="s">
        <v>31</v>
      </c>
      <c r="I5" s="797"/>
      <c r="J5" s="799"/>
      <c r="K5" s="153" t="s">
        <v>8</v>
      </c>
      <c r="L5" s="153" t="s">
        <v>9</v>
      </c>
      <c r="M5" s="18" t="s">
        <v>8</v>
      </c>
      <c r="N5" s="68" t="s">
        <v>32</v>
      </c>
      <c r="O5" s="19" t="s">
        <v>12</v>
      </c>
      <c r="P5" s="19" t="s">
        <v>14</v>
      </c>
      <c r="Q5" s="785"/>
      <c r="R5" s="787"/>
      <c r="S5" s="151" t="s">
        <v>11</v>
      </c>
      <c r="T5" s="788"/>
      <c r="U5" s="150" t="s">
        <v>23</v>
      </c>
      <c r="V5" s="790"/>
    </row>
    <row r="6" spans="1:24" s="69" customFormat="1" ht="78" x14ac:dyDescent="0.25">
      <c r="A6" s="11" t="s">
        <v>19</v>
      </c>
      <c r="B6" s="105" t="s">
        <v>38</v>
      </c>
      <c r="C6" s="106">
        <v>4000</v>
      </c>
      <c r="D6" s="123">
        <f>[1]Fleet!$G$10</f>
        <v>990</v>
      </c>
      <c r="E6" s="107" t="s">
        <v>46</v>
      </c>
      <c r="F6" s="7">
        <f>C6-D6</f>
        <v>3010</v>
      </c>
      <c r="G6" s="41">
        <v>10</v>
      </c>
      <c r="H6" s="73">
        <v>4</v>
      </c>
      <c r="I6" s="133">
        <v>3.39</v>
      </c>
      <c r="J6" s="8">
        <f>[1]Fleet!$F$10</f>
        <v>4</v>
      </c>
      <c r="K6" s="41">
        <v>5</v>
      </c>
      <c r="L6" s="104">
        <v>4</v>
      </c>
      <c r="M6" s="37">
        <f>C6/10</f>
        <v>400</v>
      </c>
      <c r="N6" s="37">
        <f>+D6/H6</f>
        <v>247.5</v>
      </c>
      <c r="O6" s="13">
        <f>+IFERROR(D6/I6,0)</f>
        <v>292.0353982300885</v>
      </c>
      <c r="P6" s="13">
        <f>+IFERROR(D6/J6,0)</f>
        <v>247.5</v>
      </c>
      <c r="Q6" s="51">
        <f>+M6*I6</f>
        <v>1356</v>
      </c>
      <c r="R6" s="45">
        <f>+Q6-D6</f>
        <v>366</v>
      </c>
      <c r="S6" s="59">
        <v>1.8</v>
      </c>
      <c r="T6" s="47">
        <f>+IFERROR(D6/J6/22,0)</f>
        <v>11.25</v>
      </c>
      <c r="U6" s="48">
        <f>+IFERROR(P6/L6/22,0)</f>
        <v>2.8125</v>
      </c>
      <c r="V6" s="102" t="s">
        <v>50</v>
      </c>
      <c r="W6" s="108"/>
    </row>
    <row r="7" spans="1:24" s="69" customFormat="1" ht="46.5" thickBot="1" x14ac:dyDescent="0.3">
      <c r="A7" s="109"/>
      <c r="B7" s="67" t="s">
        <v>49</v>
      </c>
      <c r="C7" s="110"/>
      <c r="D7" s="124"/>
      <c r="E7" s="111"/>
      <c r="F7" s="7">
        <f t="shared" ref="F7:F12" si="0">C7-D7</f>
        <v>0</v>
      </c>
      <c r="G7" s="41"/>
      <c r="H7" s="73"/>
      <c r="I7" s="133"/>
      <c r="J7" s="14"/>
      <c r="K7" s="41"/>
      <c r="L7" s="12"/>
      <c r="M7" s="37"/>
      <c r="N7" s="37"/>
      <c r="O7" s="13"/>
      <c r="P7" s="13"/>
      <c r="Q7" s="45"/>
      <c r="R7" s="45"/>
      <c r="S7" s="49"/>
      <c r="T7" s="47"/>
      <c r="U7" s="50"/>
      <c r="V7" s="57"/>
      <c r="W7" s="108"/>
    </row>
    <row r="8" spans="1:24" s="69" customFormat="1" ht="45.75" x14ac:dyDescent="0.25">
      <c r="A8" s="139" t="s">
        <v>19</v>
      </c>
      <c r="B8" s="105" t="s">
        <v>42</v>
      </c>
      <c r="C8" s="106"/>
      <c r="D8" s="123"/>
      <c r="E8" s="107"/>
      <c r="F8" s="7">
        <f t="shared" si="0"/>
        <v>0</v>
      </c>
      <c r="G8" s="41"/>
      <c r="H8" s="73"/>
      <c r="I8" s="133"/>
      <c r="J8" s="8"/>
      <c r="K8" s="41"/>
      <c r="L8" s="104"/>
      <c r="M8" s="37">
        <f>C8/10</f>
        <v>0</v>
      </c>
      <c r="N8" s="37" t="e">
        <f>+D8/H8</f>
        <v>#DIV/0!</v>
      </c>
      <c r="O8" s="13">
        <f>+IFERROR(D8/I8,0)</f>
        <v>0</v>
      </c>
      <c r="P8" s="13">
        <f>+IFERROR(D8/J8,0)</f>
        <v>0</v>
      </c>
      <c r="Q8" s="51">
        <f>+M8*I8</f>
        <v>0</v>
      </c>
      <c r="R8" s="45">
        <f>+Q8-D8</f>
        <v>0</v>
      </c>
      <c r="S8" s="46"/>
      <c r="T8" s="47">
        <f>+IFERROR(D8/J8/22,0)</f>
        <v>0</v>
      </c>
      <c r="U8" s="48">
        <f>+IFERROR(P8/L8/22,0)</f>
        <v>0</v>
      </c>
      <c r="V8" s="101"/>
      <c r="W8" s="108"/>
    </row>
    <row r="9" spans="1:24" s="69" customFormat="1" ht="46.5" thickBot="1" x14ac:dyDescent="0.3">
      <c r="A9" s="94"/>
      <c r="B9" s="67"/>
      <c r="C9" s="138"/>
      <c r="D9" s="130"/>
      <c r="E9" s="119"/>
      <c r="F9" s="7"/>
      <c r="G9" s="41"/>
      <c r="H9" s="73"/>
      <c r="I9" s="133"/>
      <c r="J9" s="14"/>
      <c r="K9" s="41"/>
      <c r="L9" s="12"/>
      <c r="M9" s="37"/>
      <c r="N9" s="37"/>
      <c r="O9" s="13"/>
      <c r="P9" s="13"/>
      <c r="Q9" s="45"/>
      <c r="R9" s="45"/>
      <c r="S9" s="93"/>
      <c r="T9" s="47"/>
      <c r="U9" s="48"/>
      <c r="V9" s="103"/>
      <c r="W9" s="108"/>
    </row>
    <row r="10" spans="1:24" s="69" customFormat="1" ht="195" x14ac:dyDescent="0.25">
      <c r="A10" s="11" t="s">
        <v>19</v>
      </c>
      <c r="B10" s="105" t="s">
        <v>41</v>
      </c>
      <c r="C10" s="106">
        <v>4000</v>
      </c>
      <c r="D10" s="123">
        <f>[1]Fleet!$G$9</f>
        <v>1078</v>
      </c>
      <c r="E10" s="107" t="s">
        <v>46</v>
      </c>
      <c r="F10" s="7">
        <f t="shared" si="0"/>
        <v>2922</v>
      </c>
      <c r="G10" s="41">
        <v>10</v>
      </c>
      <c r="H10" s="73">
        <v>5</v>
      </c>
      <c r="I10" s="133">
        <v>4.4800000000000004</v>
      </c>
      <c r="J10" s="8">
        <f>[1]Fleet!$F$9</f>
        <v>6</v>
      </c>
      <c r="K10" s="41">
        <v>5</v>
      </c>
      <c r="L10" s="104">
        <v>4</v>
      </c>
      <c r="M10" s="37">
        <f>C10/10</f>
        <v>400</v>
      </c>
      <c r="N10" s="37">
        <f>+D10/H10</f>
        <v>215.6</v>
      </c>
      <c r="O10" s="13">
        <f>+IFERROR(D10/I10,0)</f>
        <v>240.62499999999997</v>
      </c>
      <c r="P10" s="13">
        <f>+IFERROR(D10/J10,0)</f>
        <v>179.66666666666666</v>
      </c>
      <c r="Q10" s="51">
        <f>+M10*I10</f>
        <v>1792.0000000000002</v>
      </c>
      <c r="R10" s="45">
        <f>+Q10-D10</f>
        <v>714.00000000000023</v>
      </c>
      <c r="S10" s="46">
        <v>1.8</v>
      </c>
      <c r="T10" s="47">
        <f>+IFERROR(D10/J10/22,0)</f>
        <v>8.1666666666666661</v>
      </c>
      <c r="U10" s="48">
        <f>+IFERROR(P10/L10/22,0)</f>
        <v>2.0416666666666665</v>
      </c>
      <c r="V10" s="102" t="s">
        <v>48</v>
      </c>
      <c r="W10" s="108"/>
    </row>
    <row r="11" spans="1:24" s="69" customFormat="1" ht="46.5" thickBot="1" x14ac:dyDescent="0.3">
      <c r="A11" s="109"/>
      <c r="B11" s="67" t="s">
        <v>49</v>
      </c>
      <c r="C11" s="110"/>
      <c r="D11" s="124"/>
      <c r="E11" s="111"/>
      <c r="F11" s="7">
        <f t="shared" si="0"/>
        <v>0</v>
      </c>
      <c r="G11" s="41"/>
      <c r="H11" s="73"/>
      <c r="I11" s="133"/>
      <c r="J11" s="14"/>
      <c r="K11" s="41"/>
      <c r="L11" s="12"/>
      <c r="M11" s="37"/>
      <c r="N11" s="37"/>
      <c r="O11" s="13"/>
      <c r="P11" s="13"/>
      <c r="Q11" s="45"/>
      <c r="R11" s="45"/>
      <c r="S11" s="49"/>
      <c r="T11" s="47"/>
      <c r="U11" s="50"/>
      <c r="V11" s="57"/>
      <c r="W11" s="108"/>
    </row>
    <row r="12" spans="1:24" s="69" customFormat="1" ht="156" x14ac:dyDescent="0.25">
      <c r="A12" s="11" t="s">
        <v>19</v>
      </c>
      <c r="B12" s="105" t="s">
        <v>37</v>
      </c>
      <c r="C12" s="106">
        <v>3500</v>
      </c>
      <c r="D12" s="123">
        <f>[1]Fleet!$G$17</f>
        <v>1804</v>
      </c>
      <c r="E12" s="107" t="s">
        <v>47</v>
      </c>
      <c r="F12" s="7">
        <f t="shared" si="0"/>
        <v>1696</v>
      </c>
      <c r="G12" s="41">
        <v>10</v>
      </c>
      <c r="H12" s="73">
        <v>8</v>
      </c>
      <c r="I12" s="133">
        <v>7.53</v>
      </c>
      <c r="J12" s="8">
        <f>[1]Fleet!$F$17</f>
        <v>8</v>
      </c>
      <c r="K12" s="41">
        <v>5</v>
      </c>
      <c r="L12" s="104">
        <v>4</v>
      </c>
      <c r="M12" s="37">
        <f>C12/10</f>
        <v>350</v>
      </c>
      <c r="N12" s="37">
        <f>+D12/H12</f>
        <v>225.5</v>
      </c>
      <c r="O12" s="13">
        <f>+IFERROR(D12/I12,0)</f>
        <v>239.57503320053121</v>
      </c>
      <c r="P12" s="13">
        <f>+IFERROR(D12/J12,0)</f>
        <v>225.5</v>
      </c>
      <c r="Q12" s="51">
        <f>+M12*I12</f>
        <v>2635.5</v>
      </c>
      <c r="R12" s="51">
        <f>+Q12-D12</f>
        <v>831.5</v>
      </c>
      <c r="S12" s="59">
        <v>1.8</v>
      </c>
      <c r="T12" s="47">
        <f>+IFERROR(D12/J12/22,0)</f>
        <v>10.25</v>
      </c>
      <c r="U12" s="48">
        <f>+IFERROR(P12/L12/22,0)</f>
        <v>2.5625</v>
      </c>
      <c r="V12" s="101" t="s">
        <v>51</v>
      </c>
      <c r="W12" s="108"/>
    </row>
    <row r="13" spans="1:24" s="69" customFormat="1" ht="46.5" thickBot="1" x14ac:dyDescent="0.3">
      <c r="A13" s="109"/>
      <c r="B13" s="67"/>
      <c r="C13" s="110"/>
      <c r="D13" s="124"/>
      <c r="E13" s="111"/>
      <c r="F13" s="7"/>
      <c r="G13" s="41"/>
      <c r="H13" s="73"/>
      <c r="I13" s="133"/>
      <c r="J13" s="14"/>
      <c r="K13" s="41"/>
      <c r="L13" s="12"/>
      <c r="M13" s="37"/>
      <c r="N13" s="37"/>
      <c r="O13" s="13"/>
      <c r="P13" s="13"/>
      <c r="Q13" s="45"/>
      <c r="R13" s="45"/>
      <c r="S13" s="49"/>
      <c r="T13" s="47"/>
      <c r="U13" s="50"/>
      <c r="V13" s="57"/>
      <c r="W13" s="108"/>
    </row>
    <row r="14" spans="1:24" ht="46.5" thickBot="1" x14ac:dyDescent="0.3">
      <c r="A14" s="20" t="s">
        <v>22</v>
      </c>
      <c r="B14" s="21"/>
      <c r="C14" s="22">
        <f t="shared" ref="C14:K14" si="1">SUM(C6:C13)</f>
        <v>11500</v>
      </c>
      <c r="D14" s="22">
        <f>SUM(D6:D12)</f>
        <v>3872</v>
      </c>
      <c r="E14" s="22">
        <f t="shared" si="1"/>
        <v>0</v>
      </c>
      <c r="F14" s="22">
        <f t="shared" si="1"/>
        <v>7628</v>
      </c>
      <c r="G14" s="22">
        <f t="shared" si="1"/>
        <v>30</v>
      </c>
      <c r="H14" s="22"/>
      <c r="I14" s="22"/>
      <c r="J14" s="22"/>
      <c r="K14" s="22">
        <f t="shared" si="1"/>
        <v>15</v>
      </c>
      <c r="L14" s="22"/>
      <c r="M14" s="23">
        <f>+C14/G14</f>
        <v>383.33333333333331</v>
      </c>
      <c r="N14" s="23" t="e">
        <f>+D14/H14</f>
        <v>#DIV/0!</v>
      </c>
      <c r="O14" s="23" t="e">
        <f>+D14/I14</f>
        <v>#DIV/0!</v>
      </c>
      <c r="P14" s="60">
        <f>+IFERROR(D14/J14,0)</f>
        <v>0</v>
      </c>
      <c r="Q14" s="22">
        <f>SUM(Q6:Q13)</f>
        <v>5783.5</v>
      </c>
      <c r="R14" s="22">
        <f>SUM(R6:R13)</f>
        <v>1911.5000000000002</v>
      </c>
      <c r="S14" s="25"/>
      <c r="T14" s="25"/>
      <c r="U14" s="26"/>
      <c r="V14" s="58"/>
    </row>
    <row r="15" spans="1:24" s="69" customFormat="1" ht="45.75" x14ac:dyDescent="0.25">
      <c r="A15" s="1" t="s">
        <v>20</v>
      </c>
      <c r="B15" s="4" t="s">
        <v>39</v>
      </c>
      <c r="C15" s="106">
        <v>4000</v>
      </c>
      <c r="D15" s="125"/>
      <c r="E15" s="107"/>
      <c r="F15" s="7">
        <f>+D15-C15</f>
        <v>-4000</v>
      </c>
      <c r="G15" s="41">
        <v>10</v>
      </c>
      <c r="H15" s="74"/>
      <c r="I15" s="134"/>
      <c r="J15" s="8"/>
      <c r="K15" s="42">
        <v>5</v>
      </c>
      <c r="L15" s="42"/>
      <c r="M15" s="38">
        <f>C15/10</f>
        <v>400</v>
      </c>
      <c r="N15" s="37" t="e">
        <f>+D15/H15</f>
        <v>#DIV/0!</v>
      </c>
      <c r="O15" s="13">
        <f>+IFERROR(D15/I15,0)</f>
        <v>0</v>
      </c>
      <c r="P15" s="13">
        <f>+IFERROR(D15/J15,0)</f>
        <v>0</v>
      </c>
      <c r="Q15" s="51">
        <f>+M15*I15</f>
        <v>0</v>
      </c>
      <c r="R15" s="51">
        <f>+Q15-D15</f>
        <v>0</v>
      </c>
      <c r="S15" s="59"/>
      <c r="T15" s="47">
        <f>+IFERROR(D15/J15/22,0)</f>
        <v>0</v>
      </c>
      <c r="U15" s="48">
        <f>+IFERROR(P15/L15/22,0)</f>
        <v>0</v>
      </c>
      <c r="V15" s="102"/>
      <c r="W15" s="108"/>
      <c r="X15" s="69">
        <f>50+12</f>
        <v>62</v>
      </c>
    </row>
    <row r="16" spans="1:24" s="69" customFormat="1" ht="46.5" thickBot="1" x14ac:dyDescent="0.3">
      <c r="A16" s="92"/>
      <c r="B16" s="67"/>
      <c r="C16" s="112"/>
      <c r="D16" s="126"/>
      <c r="E16" s="113"/>
      <c r="F16" s="2"/>
      <c r="G16" s="42"/>
      <c r="H16" s="74"/>
      <c r="I16" s="134"/>
      <c r="J16" s="8"/>
      <c r="K16" s="42"/>
      <c r="L16" s="3"/>
      <c r="M16" s="38"/>
      <c r="N16" s="37"/>
      <c r="O16" s="10"/>
      <c r="P16" s="10"/>
      <c r="Q16" s="51"/>
      <c r="R16" s="51"/>
      <c r="S16" s="52"/>
      <c r="T16" s="53"/>
      <c r="U16" s="54"/>
      <c r="V16" s="57"/>
      <c r="W16" s="108"/>
    </row>
    <row r="17" spans="1:23" s="69" customFormat="1" ht="117" x14ac:dyDescent="0.25">
      <c r="A17" s="1" t="s">
        <v>20</v>
      </c>
      <c r="B17" s="4" t="s">
        <v>40</v>
      </c>
      <c r="C17" s="106">
        <v>4000</v>
      </c>
      <c r="D17" s="125">
        <f>[1]Fleet!$G$27</f>
        <v>154</v>
      </c>
      <c r="E17" s="107" t="s">
        <v>46</v>
      </c>
      <c r="F17" s="7">
        <f>C17-D17</f>
        <v>3846</v>
      </c>
      <c r="G17" s="42">
        <v>10</v>
      </c>
      <c r="H17" s="74">
        <v>1</v>
      </c>
      <c r="I17" s="134">
        <v>0.44</v>
      </c>
      <c r="J17" s="8">
        <f>[1]Fleet!$F$27</f>
        <v>1</v>
      </c>
      <c r="K17" s="42">
        <v>5</v>
      </c>
      <c r="L17" s="35">
        <v>4</v>
      </c>
      <c r="M17" s="38">
        <f>C17/10</f>
        <v>400</v>
      </c>
      <c r="N17" s="37">
        <f>+D17/H17</f>
        <v>154</v>
      </c>
      <c r="O17" s="13">
        <f>+IFERROR(D17/I17,0)</f>
        <v>350</v>
      </c>
      <c r="P17" s="13">
        <f>+IFERROR(D17/J17,0)</f>
        <v>154</v>
      </c>
      <c r="Q17" s="51">
        <f>+M17*I17</f>
        <v>176</v>
      </c>
      <c r="R17" s="51">
        <f>+Q17-D17</f>
        <v>22</v>
      </c>
      <c r="S17" s="93">
        <v>1.8</v>
      </c>
      <c r="T17" s="47">
        <f>+IFERROR(D17/J17/22,0)</f>
        <v>7</v>
      </c>
      <c r="U17" s="48">
        <f>+IFERROR(P17/L17/22,0)</f>
        <v>1.75</v>
      </c>
      <c r="V17" s="101" t="s">
        <v>53</v>
      </c>
      <c r="W17" s="108"/>
    </row>
    <row r="18" spans="1:23" s="69" customFormat="1" ht="46.5" thickBot="1" x14ac:dyDescent="0.3">
      <c r="A18" s="92"/>
      <c r="B18" s="4" t="s">
        <v>45</v>
      </c>
      <c r="C18" s="112"/>
      <c r="D18" s="126"/>
      <c r="E18" s="113"/>
      <c r="F18" s="7"/>
      <c r="G18" s="42"/>
      <c r="H18" s="74"/>
      <c r="I18" s="134"/>
      <c r="J18" s="8"/>
      <c r="K18" s="42"/>
      <c r="L18" s="3"/>
      <c r="M18" s="38"/>
      <c r="N18" s="38"/>
      <c r="O18" s="13">
        <f>+IFERROR(D18/I18,0)</f>
        <v>0</v>
      </c>
      <c r="P18" s="10"/>
      <c r="Q18" s="51" t="s">
        <v>36</v>
      </c>
      <c r="R18" s="51"/>
      <c r="S18" s="52"/>
      <c r="T18" s="53"/>
      <c r="U18" s="54"/>
      <c r="V18" s="57"/>
      <c r="W18" s="108"/>
    </row>
    <row r="19" spans="1:23" s="69" customFormat="1" ht="156" x14ac:dyDescent="0.25">
      <c r="A19" s="1" t="s">
        <v>20</v>
      </c>
      <c r="B19" s="4" t="s">
        <v>43</v>
      </c>
      <c r="C19" s="106">
        <v>4000</v>
      </c>
      <c r="D19" s="126">
        <f>[1]Fleet!$G$29</f>
        <v>880</v>
      </c>
      <c r="E19" s="107" t="s">
        <v>47</v>
      </c>
      <c r="F19" s="7">
        <f>C19-D19</f>
        <v>3120</v>
      </c>
      <c r="G19" s="41">
        <v>10</v>
      </c>
      <c r="H19" s="74">
        <v>4</v>
      </c>
      <c r="I19" s="134">
        <v>3.25</v>
      </c>
      <c r="J19" s="8">
        <f>[1]Fleet!$F$29</f>
        <v>4</v>
      </c>
      <c r="K19" s="146">
        <v>5</v>
      </c>
      <c r="L19" s="145">
        <v>4</v>
      </c>
      <c r="M19" s="147">
        <f>C19/10</f>
        <v>400</v>
      </c>
      <c r="N19" s="37">
        <f>+D19/H19</f>
        <v>220</v>
      </c>
      <c r="O19" s="13">
        <f>+IFERROR(D19/I19,0)</f>
        <v>270.76923076923077</v>
      </c>
      <c r="P19" s="13">
        <f>+IFERROR(D19/J19,0)</f>
        <v>220</v>
      </c>
      <c r="Q19" s="51">
        <f>+M19*I19</f>
        <v>1300</v>
      </c>
      <c r="R19" s="51">
        <f>+Q19-D19</f>
        <v>420</v>
      </c>
      <c r="S19" s="59">
        <v>2.1</v>
      </c>
      <c r="T19" s="47">
        <f>+IFERROR(D19/J19/22,0)</f>
        <v>10</v>
      </c>
      <c r="U19" s="48">
        <f>+IFERROR(P19/L19/22,0)</f>
        <v>2.5</v>
      </c>
      <c r="V19" s="101" t="s">
        <v>52</v>
      </c>
      <c r="W19" s="108"/>
    </row>
    <row r="20" spans="1:23" s="69" customFormat="1" ht="46.5" thickBot="1" x14ac:dyDescent="0.3">
      <c r="A20" s="92"/>
      <c r="B20" s="4" t="s">
        <v>45</v>
      </c>
      <c r="C20" s="112"/>
      <c r="D20" s="126"/>
      <c r="E20" s="113"/>
      <c r="F20" s="2"/>
      <c r="G20" s="42"/>
      <c r="H20" s="74"/>
      <c r="I20" s="134"/>
      <c r="J20" s="9"/>
      <c r="K20" s="42"/>
      <c r="L20" s="3"/>
      <c r="M20" s="38"/>
      <c r="N20" s="38"/>
      <c r="O20" s="13">
        <f>+IFERROR(D20/I20,0)</f>
        <v>0</v>
      </c>
      <c r="P20" s="10"/>
      <c r="Q20" s="51"/>
      <c r="R20" s="51"/>
      <c r="S20" s="52"/>
      <c r="T20" s="53"/>
      <c r="U20" s="54"/>
      <c r="V20" s="57"/>
      <c r="W20" s="108"/>
    </row>
    <row r="21" spans="1:23" s="69" customFormat="1" ht="195" x14ac:dyDescent="0.25">
      <c r="A21" s="1" t="s">
        <v>20</v>
      </c>
      <c r="B21" s="105" t="s">
        <v>37</v>
      </c>
      <c r="C21" s="106">
        <v>3500</v>
      </c>
      <c r="D21" s="127">
        <f>[1]Fleet!$G$35</f>
        <v>836</v>
      </c>
      <c r="E21" s="107" t="s">
        <v>47</v>
      </c>
      <c r="F21" s="7">
        <f>C21-D21</f>
        <v>2664</v>
      </c>
      <c r="G21" s="42">
        <v>10</v>
      </c>
      <c r="H21" s="74">
        <v>3</v>
      </c>
      <c r="I21" s="134">
        <v>2.21</v>
      </c>
      <c r="J21" s="8">
        <f>[1]Fleet!$F$35</f>
        <v>5</v>
      </c>
      <c r="K21" s="42">
        <v>4</v>
      </c>
      <c r="L21" s="42">
        <v>4</v>
      </c>
      <c r="M21" s="38">
        <f>C21/10</f>
        <v>350</v>
      </c>
      <c r="N21" s="37">
        <f>+D21/H21</f>
        <v>278.66666666666669</v>
      </c>
      <c r="O21" s="13">
        <f>+IFERROR(D21/I21,0)</f>
        <v>378.28054298642536</v>
      </c>
      <c r="P21" s="13">
        <f>+IFERROR(D21/J21,0)</f>
        <v>167.2</v>
      </c>
      <c r="Q21" s="51">
        <f>+M21*I21</f>
        <v>773.5</v>
      </c>
      <c r="R21" s="51">
        <f>+Q21-D21</f>
        <v>-62.5</v>
      </c>
      <c r="S21" s="93">
        <v>2.1</v>
      </c>
      <c r="T21" s="47">
        <f>+IFERROR(D21/J21/22,0)</f>
        <v>7.6</v>
      </c>
      <c r="U21" s="48">
        <f>+IFERROR(P21/L21/22,0)</f>
        <v>1.9</v>
      </c>
      <c r="V21" s="101" t="s">
        <v>54</v>
      </c>
      <c r="W21" s="108"/>
    </row>
    <row r="22" spans="1:23" s="69" customFormat="1" ht="45.75" x14ac:dyDescent="0.25">
      <c r="A22" s="92"/>
      <c r="B22" s="4"/>
      <c r="C22" s="112"/>
      <c r="D22" s="127"/>
      <c r="E22" s="113"/>
      <c r="F22" s="7"/>
      <c r="G22" s="42"/>
      <c r="H22" s="74"/>
      <c r="I22" s="134"/>
      <c r="J22" s="9"/>
      <c r="K22" s="42"/>
      <c r="L22" s="3"/>
      <c r="M22" s="38"/>
      <c r="N22" s="37"/>
      <c r="O22" s="13"/>
      <c r="P22" s="13"/>
      <c r="Q22" s="51"/>
      <c r="R22" s="51"/>
      <c r="S22" s="59"/>
      <c r="T22" s="53"/>
      <c r="U22" s="54"/>
      <c r="V22" s="5"/>
      <c r="W22" s="108"/>
    </row>
    <row r="23" spans="1:23" ht="46.5" thickBot="1" x14ac:dyDescent="0.3">
      <c r="A23" s="114"/>
      <c r="B23" s="79"/>
      <c r="C23" s="115"/>
      <c r="D23" s="128"/>
      <c r="E23" s="116"/>
      <c r="F23" s="80"/>
      <c r="G23" s="81"/>
      <c r="H23" s="82"/>
      <c r="I23" s="135"/>
      <c r="J23" s="83"/>
      <c r="K23" s="81"/>
      <c r="L23" s="84"/>
      <c r="M23" s="85"/>
      <c r="N23" s="85"/>
      <c r="O23" s="86"/>
      <c r="P23" s="86"/>
      <c r="Q23" s="87"/>
      <c r="R23" s="87"/>
      <c r="S23" s="88"/>
      <c r="T23" s="89"/>
      <c r="U23" s="90"/>
      <c r="V23" s="91"/>
    </row>
    <row r="24" spans="1:23" ht="41.25" thickBot="1" x14ac:dyDescent="0.3">
      <c r="A24" s="20" t="s">
        <v>21</v>
      </c>
      <c r="B24" s="21"/>
      <c r="C24" s="22">
        <f t="shared" ref="C24:L24" si="2">SUM(C15:C22)</f>
        <v>15500</v>
      </c>
      <c r="D24" s="22">
        <f>SUM(D19+D21+D17)</f>
        <v>1870</v>
      </c>
      <c r="E24" s="22">
        <f t="shared" si="2"/>
        <v>0</v>
      </c>
      <c r="F24" s="22">
        <f t="shared" si="2"/>
        <v>5630</v>
      </c>
      <c r="G24" s="22">
        <f t="shared" si="2"/>
        <v>40</v>
      </c>
      <c r="H24" s="22">
        <f t="shared" si="2"/>
        <v>8</v>
      </c>
      <c r="I24" s="22">
        <f t="shared" si="2"/>
        <v>5.9</v>
      </c>
      <c r="J24" s="22">
        <f t="shared" si="2"/>
        <v>10</v>
      </c>
      <c r="K24" s="22">
        <v>5</v>
      </c>
      <c r="L24" s="22">
        <f t="shared" si="2"/>
        <v>12</v>
      </c>
      <c r="M24" s="23">
        <f>C24/G24</f>
        <v>387.5</v>
      </c>
      <c r="N24" s="23">
        <f>+D24/H24</f>
        <v>233.75</v>
      </c>
      <c r="O24" s="24">
        <f>+D24/I24</f>
        <v>316.94915254237287</v>
      </c>
      <c r="P24" s="24">
        <f>+D24/J24</f>
        <v>187</v>
      </c>
      <c r="Q24" s="22">
        <f>SUM(Q15:Q22)</f>
        <v>2249.5</v>
      </c>
      <c r="R24" s="22">
        <f>SUM(R15:R22)</f>
        <v>379.5</v>
      </c>
      <c r="S24" s="25"/>
      <c r="T24" s="25"/>
      <c r="U24" s="26"/>
      <c r="V24" s="27"/>
    </row>
    <row r="25" spans="1:23" ht="36" x14ac:dyDescent="0.25">
      <c r="A25" s="31"/>
      <c r="B25" s="97" t="s">
        <v>25</v>
      </c>
      <c r="C25" s="63"/>
      <c r="D25" s="63"/>
      <c r="E25" s="63"/>
      <c r="F25" s="63"/>
      <c r="G25" s="140"/>
      <c r="H25" s="140"/>
      <c r="I25" s="63"/>
      <c r="J25" s="140"/>
      <c r="K25" s="780" t="s">
        <v>26</v>
      </c>
      <c r="L25" s="780"/>
      <c r="M25" s="780"/>
      <c r="N25" s="155"/>
      <c r="P25" s="65"/>
      <c r="Q25" s="155"/>
      <c r="R25" s="65"/>
      <c r="S25" s="6"/>
      <c r="T25" s="55"/>
      <c r="U25" s="55"/>
      <c r="V25" s="29"/>
    </row>
    <row r="26" spans="1:23" ht="36" x14ac:dyDescent="0.25">
      <c r="A26" s="31"/>
      <c r="B26" s="97"/>
      <c r="C26" s="63"/>
      <c r="D26" s="63"/>
      <c r="E26" s="63"/>
      <c r="F26" s="63"/>
      <c r="G26" s="140"/>
      <c r="H26" s="140"/>
      <c r="I26" s="63"/>
      <c r="J26" s="140"/>
      <c r="K26" s="154"/>
      <c r="L26" s="154"/>
      <c r="M26" s="154"/>
      <c r="N26" s="155"/>
      <c r="P26" s="65"/>
      <c r="Q26" s="155"/>
      <c r="R26" s="65"/>
      <c r="S26" s="6"/>
      <c r="T26" s="55"/>
      <c r="U26" s="55"/>
      <c r="V26" s="29"/>
    </row>
    <row r="27" spans="1:23" ht="36" x14ac:dyDescent="0.25">
      <c r="A27" s="31"/>
      <c r="B27" s="97"/>
      <c r="C27" s="63"/>
      <c r="D27" s="63"/>
      <c r="E27" s="63"/>
      <c r="F27" s="63"/>
      <c r="G27" s="140"/>
      <c r="H27" s="140"/>
      <c r="I27" s="63"/>
      <c r="J27" s="140"/>
      <c r="K27" s="154"/>
      <c r="L27" s="154"/>
      <c r="M27" s="154"/>
      <c r="N27" s="155"/>
      <c r="P27" s="65"/>
      <c r="Q27" s="155"/>
      <c r="R27" s="65"/>
      <c r="S27" s="6"/>
      <c r="T27" s="55"/>
      <c r="U27" s="55"/>
      <c r="V27" s="29"/>
    </row>
    <row r="28" spans="1:23" ht="36" x14ac:dyDescent="0.25">
      <c r="A28" s="31"/>
      <c r="B28" s="97"/>
      <c r="C28" s="63"/>
      <c r="D28" s="63"/>
      <c r="E28" s="63"/>
      <c r="F28" s="63"/>
      <c r="G28" s="140"/>
      <c r="H28" s="140"/>
      <c r="I28" s="63"/>
      <c r="J28" s="140"/>
      <c r="K28" s="154"/>
      <c r="L28" s="154"/>
      <c r="M28" s="154"/>
      <c r="N28" s="155"/>
      <c r="P28" s="65"/>
      <c r="Q28" s="155"/>
      <c r="R28" s="65"/>
      <c r="S28" s="6"/>
      <c r="T28" s="55"/>
      <c r="U28" s="55"/>
      <c r="V28" s="29"/>
    </row>
    <row r="29" spans="1:23" ht="36" x14ac:dyDescent="0.25">
      <c r="A29" s="31"/>
      <c r="B29" s="97"/>
      <c r="C29" s="63"/>
      <c r="D29" s="63"/>
      <c r="E29" s="63"/>
      <c r="F29" s="63"/>
      <c r="G29" s="140"/>
      <c r="H29" s="140"/>
      <c r="I29" s="63"/>
      <c r="J29" s="140"/>
      <c r="K29" s="154"/>
      <c r="L29" s="154"/>
      <c r="M29" s="154"/>
      <c r="N29" s="155"/>
      <c r="P29" s="65"/>
      <c r="Q29" s="155"/>
      <c r="R29" s="65"/>
      <c r="S29" s="6"/>
      <c r="T29" s="55"/>
      <c r="U29" s="55"/>
      <c r="V29" s="29"/>
    </row>
    <row r="30" spans="1:23" ht="36" x14ac:dyDescent="0.25">
      <c r="A30" s="31"/>
      <c r="B30" s="97"/>
      <c r="C30" s="63"/>
      <c r="D30" s="63"/>
      <c r="E30" s="63"/>
      <c r="F30" s="63"/>
      <c r="G30" s="140"/>
      <c r="H30" s="140"/>
      <c r="I30" s="63"/>
      <c r="J30" s="140"/>
      <c r="K30" s="154"/>
      <c r="L30" s="154"/>
      <c r="M30" s="154"/>
      <c r="N30" s="155"/>
      <c r="P30" s="65"/>
      <c r="Q30" s="155"/>
      <c r="R30" s="65"/>
      <c r="S30" s="6"/>
      <c r="T30" s="55"/>
      <c r="U30" s="55"/>
      <c r="V30" s="29"/>
    </row>
    <row r="31" spans="1:23" ht="36" x14ac:dyDescent="0.25">
      <c r="A31" s="31"/>
      <c r="B31" s="97"/>
      <c r="C31" s="63"/>
      <c r="D31" s="63"/>
      <c r="E31" s="63"/>
      <c r="F31" s="63"/>
      <c r="G31" s="140"/>
      <c r="H31" s="140"/>
      <c r="I31" s="63"/>
      <c r="J31" s="140"/>
      <c r="K31" s="154"/>
      <c r="L31" s="154"/>
      <c r="M31" s="154"/>
      <c r="N31" s="155"/>
      <c r="P31" s="65"/>
      <c r="Q31" s="155"/>
      <c r="R31" s="65"/>
      <c r="S31" s="6"/>
      <c r="T31" s="55"/>
      <c r="U31" s="55"/>
      <c r="V31" s="29"/>
    </row>
    <row r="32" spans="1:23" ht="36" x14ac:dyDescent="0.25">
      <c r="A32" s="31"/>
      <c r="B32" s="97"/>
      <c r="C32" s="63"/>
      <c r="D32" s="63"/>
      <c r="E32" s="63"/>
      <c r="F32" s="63"/>
      <c r="G32" s="140"/>
      <c r="H32" s="140"/>
      <c r="I32" s="63"/>
      <c r="J32" s="140"/>
      <c r="K32" s="154"/>
      <c r="L32" s="154"/>
      <c r="M32" s="154"/>
      <c r="N32" s="155"/>
      <c r="P32" s="65"/>
      <c r="Q32" s="155"/>
      <c r="R32" s="65"/>
      <c r="S32" s="6"/>
      <c r="T32" s="55"/>
      <c r="U32" s="55"/>
      <c r="V32" s="29"/>
    </row>
    <row r="33" spans="1:22" ht="45.75" x14ac:dyDescent="0.25">
      <c r="A33" s="31"/>
      <c r="B33" s="63"/>
      <c r="C33" s="63"/>
      <c r="D33" s="63"/>
      <c r="E33" s="63"/>
      <c r="F33" s="63"/>
      <c r="G33" s="140"/>
      <c r="H33" s="140"/>
      <c r="I33" s="140"/>
      <c r="J33" s="140"/>
      <c r="K33" s="142"/>
      <c r="L33" s="154"/>
      <c r="M33" s="143"/>
      <c r="N33" s="39"/>
      <c r="O33" s="34"/>
      <c r="P33" s="34"/>
      <c r="Q33" s="56"/>
      <c r="R33" s="56"/>
      <c r="S33" s="6"/>
      <c r="T33" s="55"/>
      <c r="U33" s="55"/>
      <c r="V33" s="29"/>
    </row>
    <row r="34" spans="1:22" ht="45.75" x14ac:dyDescent="0.25">
      <c r="A34" s="31"/>
      <c r="B34" s="98" t="s">
        <v>44</v>
      </c>
      <c r="C34" s="99"/>
      <c r="D34" s="63"/>
      <c r="E34" s="99"/>
      <c r="F34" s="99"/>
      <c r="G34" s="140"/>
      <c r="H34" s="140"/>
      <c r="I34" s="137"/>
      <c r="J34" s="141"/>
      <c r="K34" s="779" t="s">
        <v>44</v>
      </c>
      <c r="L34" s="779"/>
      <c r="M34" s="779"/>
      <c r="N34" s="39"/>
      <c r="O34" s="34"/>
      <c r="P34" s="34"/>
      <c r="Q34" s="56"/>
      <c r="R34" s="56"/>
      <c r="S34" s="6"/>
      <c r="T34" s="55"/>
      <c r="U34" s="55"/>
      <c r="V34" s="29"/>
    </row>
    <row r="35" spans="1:22" ht="45.75" x14ac:dyDescent="0.25">
      <c r="A35" s="31"/>
      <c r="B35" s="97" t="s">
        <v>56</v>
      </c>
      <c r="C35" s="100"/>
      <c r="D35" s="63"/>
      <c r="E35" s="63"/>
      <c r="F35" s="63"/>
      <c r="G35" s="63"/>
      <c r="H35" s="63"/>
      <c r="I35" s="63"/>
      <c r="J35" s="140"/>
      <c r="K35" s="780" t="s">
        <v>27</v>
      </c>
      <c r="L35" s="780"/>
      <c r="M35" s="780"/>
      <c r="N35" s="39"/>
      <c r="O35" s="34"/>
      <c r="P35" s="34"/>
      <c r="Q35" s="56"/>
      <c r="R35" s="56"/>
      <c r="S35" s="6"/>
      <c r="T35" s="55"/>
      <c r="U35" s="55"/>
      <c r="V35" s="29"/>
    </row>
    <row r="36" spans="1:22" ht="45.75" x14ac:dyDescent="0.25">
      <c r="A36" s="31"/>
      <c r="B36" s="64"/>
      <c r="C36" s="64"/>
      <c r="D36" s="64"/>
      <c r="E36" s="64"/>
      <c r="F36" s="64"/>
      <c r="G36" s="155"/>
      <c r="H36" s="75"/>
      <c r="I36" s="155"/>
      <c r="J36" s="155"/>
      <c r="K36" s="142"/>
      <c r="L36" s="144"/>
      <c r="M36" s="143"/>
      <c r="N36" s="39"/>
      <c r="O36" s="34"/>
      <c r="P36" s="34"/>
      <c r="Q36" s="56"/>
      <c r="R36" s="56"/>
      <c r="S36" s="6"/>
      <c r="T36" s="55"/>
      <c r="U36" s="55"/>
      <c r="V36" s="29"/>
    </row>
    <row r="37" spans="1:22" ht="45.75" x14ac:dyDescent="0.25">
      <c r="A37" s="31"/>
      <c r="B37" s="64"/>
      <c r="C37" s="64"/>
      <c r="D37" s="64"/>
      <c r="E37" s="64"/>
      <c r="F37" s="64"/>
      <c r="G37" s="155"/>
      <c r="H37" s="75"/>
      <c r="I37" s="155"/>
      <c r="J37" s="155"/>
      <c r="K37" s="36"/>
      <c r="L37" s="28"/>
      <c r="M37" s="39"/>
      <c r="N37" s="39"/>
      <c r="O37" s="34"/>
      <c r="P37" s="34"/>
      <c r="Q37" s="56"/>
      <c r="R37" s="56"/>
      <c r="S37" s="6"/>
      <c r="T37" s="55"/>
      <c r="U37" s="55"/>
      <c r="V37" s="29"/>
    </row>
    <row r="38" spans="1:22" ht="45.75" x14ac:dyDescent="0.25">
      <c r="A38" s="31"/>
      <c r="B38" s="64"/>
      <c r="C38" s="64"/>
      <c r="D38" s="64"/>
      <c r="E38" s="64"/>
      <c r="F38" s="64"/>
      <c r="G38" s="155"/>
      <c r="H38" s="75"/>
      <c r="I38" s="155"/>
      <c r="J38" s="155"/>
      <c r="K38" s="36"/>
      <c r="L38" s="155"/>
      <c r="M38" s="39"/>
      <c r="N38" s="39"/>
      <c r="O38" s="34"/>
      <c r="P38" s="34"/>
      <c r="Q38" s="56"/>
      <c r="R38" s="56"/>
      <c r="S38" s="6"/>
      <c r="T38" s="55"/>
      <c r="U38" s="55"/>
      <c r="V38" s="29"/>
    </row>
    <row r="39" spans="1:22" ht="45.75" x14ac:dyDescent="0.25">
      <c r="A39" s="31"/>
      <c r="B39" s="30"/>
      <c r="C39" s="117"/>
      <c r="D39" s="129"/>
      <c r="E39" s="118"/>
      <c r="F39" s="31"/>
      <c r="G39" s="36"/>
      <c r="H39" s="70"/>
      <c r="I39" s="136"/>
      <c r="J39" s="32"/>
      <c r="K39" s="36"/>
      <c r="L39" s="33"/>
      <c r="M39" s="39"/>
      <c r="N39" s="39"/>
      <c r="O39" s="34"/>
      <c r="P39" s="34"/>
      <c r="Q39" s="56"/>
      <c r="R39" s="56"/>
      <c r="S39" s="6"/>
      <c r="T39" s="55"/>
      <c r="U39" s="55"/>
      <c r="V39" s="29"/>
    </row>
    <row r="40" spans="1:22" ht="45.75" x14ac:dyDescent="0.25">
      <c r="A40" s="31"/>
      <c r="B40" s="30"/>
      <c r="C40" s="117"/>
      <c r="D40" s="129"/>
      <c r="E40" s="118"/>
      <c r="F40" s="31"/>
      <c r="G40" s="36"/>
      <c r="H40" s="70"/>
      <c r="I40" s="136"/>
      <c r="J40" s="32"/>
      <c r="K40" s="36"/>
      <c r="L40" s="33"/>
      <c r="M40" s="39"/>
      <c r="N40" s="39"/>
      <c r="O40" s="34"/>
      <c r="P40" s="34"/>
      <c r="Q40" s="56"/>
      <c r="R40" s="56"/>
      <c r="S40" s="6"/>
      <c r="T40" s="55"/>
      <c r="U40" s="55"/>
      <c r="V40" s="29"/>
    </row>
    <row r="41" spans="1:22" ht="45.75" x14ac:dyDescent="0.25">
      <c r="A41" s="31"/>
      <c r="B41" s="30"/>
      <c r="C41" s="117"/>
      <c r="D41" s="129"/>
      <c r="E41" s="118"/>
      <c r="F41" s="31"/>
      <c r="G41" s="36"/>
      <c r="H41" s="70"/>
      <c r="I41" s="136"/>
      <c r="J41" s="32"/>
      <c r="K41" s="36"/>
      <c r="L41" s="33"/>
      <c r="M41" s="39"/>
      <c r="N41" s="39"/>
      <c r="O41" s="34"/>
      <c r="P41" s="34"/>
      <c r="Q41" s="56"/>
      <c r="R41" s="56"/>
      <c r="S41" s="6"/>
      <c r="T41" s="55"/>
      <c r="U41" s="55"/>
      <c r="V41" s="29"/>
    </row>
    <row r="42" spans="1:22" ht="45.75" x14ac:dyDescent="0.25">
      <c r="A42" s="31"/>
      <c r="B42" s="30"/>
      <c r="C42" s="117"/>
      <c r="D42" s="129"/>
      <c r="E42" s="118"/>
      <c r="F42" s="31"/>
      <c r="G42" s="36"/>
      <c r="H42" s="70"/>
      <c r="I42" s="136"/>
      <c r="J42" s="32"/>
      <c r="K42" s="36"/>
      <c r="L42" s="33"/>
      <c r="M42" s="39"/>
      <c r="N42" s="39"/>
      <c r="O42" s="34"/>
      <c r="P42" s="34"/>
      <c r="Q42" s="56"/>
      <c r="R42" s="56"/>
      <c r="S42" s="6"/>
      <c r="T42" s="55"/>
      <c r="U42" s="55"/>
      <c r="V42" s="29"/>
    </row>
    <row r="43" spans="1:22" ht="45.75" x14ac:dyDescent="0.25">
      <c r="A43" s="31"/>
      <c r="B43" s="30"/>
      <c r="C43" s="117"/>
      <c r="D43" s="129"/>
      <c r="E43" s="118"/>
      <c r="F43" s="31"/>
      <c r="G43" s="36"/>
      <c r="H43" s="70"/>
      <c r="I43" s="136"/>
      <c r="J43" s="32"/>
      <c r="K43" s="36"/>
      <c r="L43" s="33"/>
      <c r="M43" s="39"/>
      <c r="N43" s="39"/>
      <c r="O43" s="34"/>
      <c r="P43" s="34"/>
      <c r="Q43" s="56"/>
      <c r="R43" s="56"/>
      <c r="S43" s="6"/>
      <c r="T43" s="55"/>
      <c r="U43" s="55"/>
      <c r="V43" s="29"/>
    </row>
    <row r="44" spans="1:22" ht="45.75" x14ac:dyDescent="0.25">
      <c r="A44" s="31"/>
      <c r="B44" s="30"/>
      <c r="C44" s="117"/>
      <c r="D44" s="129"/>
      <c r="E44" s="118"/>
      <c r="F44" s="31"/>
      <c r="G44" s="36"/>
      <c r="H44" s="70"/>
      <c r="I44" s="136"/>
      <c r="J44" s="32"/>
      <c r="K44" s="36"/>
      <c r="L44" s="33"/>
      <c r="M44" s="39"/>
      <c r="N44" s="39"/>
      <c r="O44" s="34"/>
      <c r="P44" s="34"/>
      <c r="Q44" s="56"/>
      <c r="R44" s="56"/>
      <c r="S44" s="6"/>
      <c r="T44" s="55"/>
      <c r="U44" s="55"/>
      <c r="V44" s="29"/>
    </row>
    <row r="45" spans="1:22" ht="45.75" x14ac:dyDescent="0.25">
      <c r="A45" s="31"/>
      <c r="B45" s="30"/>
      <c r="C45" s="117"/>
      <c r="D45" s="129"/>
      <c r="E45" s="118"/>
      <c r="F45" s="31"/>
      <c r="G45" s="36"/>
      <c r="H45" s="70"/>
      <c r="I45" s="136"/>
      <c r="J45" s="32"/>
      <c r="K45" s="36"/>
      <c r="L45" s="33"/>
      <c r="M45" s="39"/>
      <c r="N45" s="39"/>
      <c r="O45" s="34"/>
      <c r="P45" s="34"/>
      <c r="Q45" s="56"/>
      <c r="R45" s="56"/>
      <c r="S45" s="6"/>
      <c r="T45" s="55"/>
      <c r="U45" s="55"/>
      <c r="V45" s="29"/>
    </row>
    <row r="46" spans="1:22" ht="45.75" x14ac:dyDescent="0.25">
      <c r="A46" s="31"/>
      <c r="B46" s="30"/>
      <c r="C46" s="117"/>
      <c r="D46" s="129"/>
      <c r="E46" s="118"/>
      <c r="F46" s="31"/>
      <c r="G46" s="36"/>
      <c r="H46" s="70"/>
      <c r="I46" s="136"/>
      <c r="J46" s="32"/>
      <c r="K46" s="36"/>
      <c r="L46" s="33"/>
      <c r="M46" s="39"/>
      <c r="N46" s="39"/>
      <c r="O46" s="34"/>
      <c r="P46" s="34"/>
      <c r="Q46" s="56"/>
      <c r="R46" s="56"/>
      <c r="S46" s="6"/>
      <c r="T46" s="55"/>
      <c r="U46" s="55"/>
      <c r="V46" s="29"/>
    </row>
    <row r="47" spans="1:22" x14ac:dyDescent="0.25">
      <c r="C47" s="120"/>
      <c r="D47" s="122"/>
      <c r="E47" s="61"/>
      <c r="F47" s="31"/>
      <c r="G47" s="36"/>
      <c r="H47" s="70"/>
      <c r="I47" s="132"/>
      <c r="J47" s="40"/>
      <c r="K47" s="36"/>
      <c r="L47" s="36"/>
      <c r="M47" s="6"/>
      <c r="N47" s="6"/>
      <c r="O47" s="40"/>
      <c r="P47" s="40"/>
      <c r="Q47" s="40"/>
      <c r="R47" s="40"/>
      <c r="T47" s="44"/>
      <c r="U47" s="44"/>
      <c r="V47" s="62"/>
    </row>
    <row r="48" spans="1:22" x14ac:dyDescent="0.25">
      <c r="D48" s="122"/>
      <c r="E48" s="61"/>
      <c r="F48" s="31"/>
      <c r="G48" s="36"/>
      <c r="H48" s="70"/>
      <c r="I48" s="132"/>
      <c r="J48" s="40"/>
      <c r="K48" s="36"/>
      <c r="L48" s="36"/>
      <c r="M48" s="6"/>
      <c r="N48" s="6"/>
      <c r="O48" s="40"/>
      <c r="P48" s="40"/>
      <c r="Q48" s="40"/>
      <c r="R48" s="40"/>
      <c r="T48" s="44"/>
      <c r="U48" s="44"/>
      <c r="V48" s="62"/>
    </row>
    <row r="49" spans="4:22" x14ac:dyDescent="0.25">
      <c r="D49" s="122"/>
      <c r="E49" s="61"/>
      <c r="F49" s="31"/>
      <c r="G49" s="6"/>
      <c r="H49" s="76"/>
      <c r="I49" s="132"/>
      <c r="J49" s="40"/>
      <c r="K49" s="36"/>
      <c r="L49" s="36"/>
      <c r="M49" s="6"/>
      <c r="N49" s="6"/>
      <c r="O49" s="40"/>
      <c r="P49" s="40"/>
      <c r="Q49" s="40"/>
      <c r="R49" s="40"/>
      <c r="T49" s="44"/>
      <c r="U49" s="44"/>
      <c r="V49" s="62"/>
    </row>
    <row r="50" spans="4:22" x14ac:dyDescent="0.25">
      <c r="D50" s="122"/>
      <c r="E50" s="61"/>
      <c r="F50" s="66"/>
      <c r="G50" s="36"/>
      <c r="H50" s="70"/>
      <c r="I50" s="132"/>
      <c r="J50" s="40"/>
      <c r="K50" s="36"/>
      <c r="L50" s="36"/>
      <c r="M50" s="36"/>
      <c r="N50" s="36"/>
      <c r="O50" s="40"/>
      <c r="P50" s="40"/>
      <c r="Q50" s="40"/>
      <c r="R50" s="40"/>
      <c r="T50" s="44"/>
      <c r="U50" s="44"/>
      <c r="V50" s="62"/>
    </row>
    <row r="51" spans="4:22" x14ac:dyDescent="0.25">
      <c r="D51" s="122"/>
      <c r="E51" s="61"/>
      <c r="F51" s="31"/>
      <c r="G51" s="36"/>
      <c r="H51" s="70"/>
      <c r="I51" s="132"/>
      <c r="J51" s="40"/>
      <c r="K51" s="36"/>
      <c r="L51" s="36"/>
      <c r="M51" s="36"/>
      <c r="N51" s="36"/>
      <c r="O51" s="40"/>
      <c r="P51" s="40"/>
      <c r="Q51" s="40"/>
      <c r="R51" s="40"/>
      <c r="T51" s="44"/>
      <c r="U51" s="44"/>
      <c r="V51" s="62"/>
    </row>
    <row r="52" spans="4:22" x14ac:dyDescent="0.25">
      <c r="D52" s="122"/>
      <c r="E52" s="61"/>
      <c r="F52" s="66"/>
      <c r="G52" s="36"/>
      <c r="H52" s="70"/>
      <c r="I52" s="132"/>
      <c r="J52" s="40"/>
      <c r="K52" s="36"/>
      <c r="L52" s="36"/>
      <c r="M52" s="36"/>
      <c r="N52" s="36"/>
      <c r="O52" s="40"/>
      <c r="P52" s="40"/>
      <c r="Q52" s="40"/>
      <c r="R52" s="40"/>
      <c r="T52" s="44"/>
      <c r="U52" s="44"/>
      <c r="V52" s="62"/>
    </row>
    <row r="53" spans="4:22" x14ac:dyDescent="0.25">
      <c r="D53" s="122"/>
      <c r="E53" s="61"/>
      <c r="F53" s="31"/>
      <c r="G53" s="36"/>
      <c r="H53" s="70"/>
      <c r="I53" s="132"/>
      <c r="J53" s="40"/>
      <c r="K53" s="36"/>
      <c r="L53" s="36"/>
      <c r="M53" s="36"/>
      <c r="N53" s="36"/>
      <c r="O53" s="40"/>
      <c r="P53" s="40"/>
      <c r="Q53" s="40"/>
      <c r="R53" s="40"/>
      <c r="T53" s="44"/>
      <c r="U53" s="44"/>
      <c r="V53" s="62"/>
    </row>
  </sheetData>
  <mergeCells count="14">
    <mergeCell ref="T4:T5"/>
    <mergeCell ref="V4:V5"/>
    <mergeCell ref="K25:M25"/>
    <mergeCell ref="A4:A5"/>
    <mergeCell ref="B4:B5"/>
    <mergeCell ref="C4:F4"/>
    <mergeCell ref="I4:I5"/>
    <mergeCell ref="J4:J5"/>
    <mergeCell ref="K4:L4"/>
    <mergeCell ref="K34:M34"/>
    <mergeCell ref="K35:M35"/>
    <mergeCell ref="M4:P4"/>
    <mergeCell ref="Q4:Q5"/>
    <mergeCell ref="R4:R5"/>
  </mergeCells>
  <pageMargins left="0.25" right="0.25" top="0.75" bottom="0.75" header="0.3" footer="0.3"/>
  <pageSetup paperSize="8" scale="34" fitToWidth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M98"/>
  <sheetViews>
    <sheetView topLeftCell="A4" workbookViewId="0">
      <selection activeCell="G35" sqref="G35"/>
    </sheetView>
  </sheetViews>
  <sheetFormatPr defaultRowHeight="15" x14ac:dyDescent="0.25"/>
  <cols>
    <col min="1" max="1" width="18.28515625" customWidth="1"/>
    <col min="2" max="2" width="13.85546875" bestFit="1" customWidth="1"/>
    <col min="3" max="3" width="19" bestFit="1" customWidth="1"/>
    <col min="4" max="5" width="14.5703125" customWidth="1"/>
    <col min="6" max="6" width="12.28515625" customWidth="1"/>
    <col min="7" max="7" width="18.28515625" customWidth="1"/>
    <col min="8" max="8" width="12.28515625" bestFit="1" customWidth="1"/>
    <col min="9" max="9" width="19.140625" bestFit="1" customWidth="1"/>
    <col min="10" max="10" width="7.7109375" bestFit="1" customWidth="1"/>
    <col min="11" max="11" width="8.7109375" bestFit="1" customWidth="1"/>
    <col min="12" max="12" width="11.42578125" bestFit="1" customWidth="1"/>
    <col min="13" max="13" width="8.28515625" bestFit="1" customWidth="1"/>
    <col min="14" max="14" width="21.140625" bestFit="1" customWidth="1"/>
    <col min="15" max="15" width="26.5703125" bestFit="1" customWidth="1"/>
    <col min="16" max="16" width="8" bestFit="1" customWidth="1"/>
    <col min="17" max="17" width="7.28515625" bestFit="1" customWidth="1"/>
    <col min="18" max="18" width="7.7109375" bestFit="1" customWidth="1"/>
    <col min="19" max="19" width="8.42578125" bestFit="1" customWidth="1"/>
    <col min="20" max="20" width="13.140625" bestFit="1" customWidth="1"/>
    <col min="26" max="26" width="7.5703125" bestFit="1" customWidth="1"/>
    <col min="27" max="27" width="9.7109375" bestFit="1" customWidth="1"/>
    <col min="28" max="28" width="13.7109375" bestFit="1" customWidth="1"/>
  </cols>
  <sheetData>
    <row r="1" spans="1:39" x14ac:dyDescent="0.25">
      <c r="A1" s="359" t="s">
        <v>144</v>
      </c>
      <c r="B1" s="360"/>
      <c r="C1" s="360"/>
      <c r="D1" s="361"/>
      <c r="E1" s="361"/>
      <c r="F1" s="360"/>
      <c r="G1" s="362"/>
      <c r="H1" s="362"/>
      <c r="I1" s="362"/>
      <c r="J1" s="360"/>
      <c r="K1" s="360"/>
      <c r="L1" s="360"/>
      <c r="M1" s="362"/>
      <c r="N1" s="360"/>
      <c r="O1" s="360"/>
      <c r="P1" s="360"/>
      <c r="Q1" s="360"/>
      <c r="R1" s="360"/>
      <c r="S1" s="360"/>
      <c r="T1" s="363" t="s">
        <v>145</v>
      </c>
      <c r="U1" s="360"/>
      <c r="V1" s="360"/>
      <c r="W1" s="360"/>
      <c r="X1" s="592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</row>
    <row r="2" spans="1:39" x14ac:dyDescent="0.25">
      <c r="A2" s="359" t="s">
        <v>146</v>
      </c>
      <c r="B2" s="360"/>
      <c r="C2" s="360"/>
      <c r="D2" s="361"/>
      <c r="E2" s="361"/>
      <c r="F2" s="360"/>
      <c r="G2" s="362"/>
      <c r="H2" s="362"/>
      <c r="I2" s="362"/>
      <c r="J2" s="364"/>
      <c r="K2" s="361"/>
      <c r="L2" s="360"/>
      <c r="M2" s="362"/>
      <c r="N2" s="360"/>
      <c r="O2" s="365"/>
      <c r="P2" s="365"/>
      <c r="Q2" s="365"/>
      <c r="R2" s="365"/>
      <c r="S2" s="365"/>
      <c r="T2" s="366"/>
      <c r="U2" s="360"/>
      <c r="V2" s="360"/>
      <c r="W2" s="360"/>
      <c r="X2" s="592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</row>
    <row r="3" spans="1:39" x14ac:dyDescent="0.25">
      <c r="A3" s="359"/>
      <c r="B3" s="360"/>
      <c r="C3" s="360"/>
      <c r="D3" s="361"/>
      <c r="E3" s="361"/>
      <c r="F3" s="360"/>
      <c r="G3" s="362"/>
      <c r="H3" s="362"/>
      <c r="I3" s="362"/>
      <c r="J3" s="364"/>
      <c r="K3" s="364"/>
      <c r="L3" s="360"/>
      <c r="M3" s="362"/>
      <c r="N3" s="360"/>
      <c r="O3" s="365"/>
      <c r="P3" s="365"/>
      <c r="Q3" s="365"/>
      <c r="R3" s="365"/>
      <c r="S3" s="365"/>
      <c r="T3" s="366"/>
      <c r="U3" s="360"/>
      <c r="V3" s="360"/>
      <c r="W3" s="360"/>
      <c r="X3" s="592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0"/>
      <c r="AM3" s="360"/>
    </row>
    <row r="4" spans="1:39" x14ac:dyDescent="0.25">
      <c r="A4" s="359"/>
      <c r="B4" s="367"/>
      <c r="C4" s="367"/>
      <c r="D4" s="361"/>
      <c r="E4" s="368"/>
      <c r="F4" s="369"/>
      <c r="G4" s="370"/>
      <c r="H4" s="362"/>
      <c r="I4" s="371"/>
      <c r="J4" s="362"/>
      <c r="K4" s="364"/>
      <c r="L4" s="360"/>
      <c r="M4" s="362"/>
      <c r="N4" s="360"/>
      <c r="O4" s="365"/>
      <c r="P4" s="367"/>
      <c r="Q4" s="367"/>
      <c r="R4" s="367"/>
      <c r="S4" s="371"/>
      <c r="T4" s="372"/>
      <c r="U4" s="371"/>
      <c r="V4" s="360"/>
      <c r="W4" s="371"/>
      <c r="X4" s="592"/>
      <c r="Y4" s="360"/>
      <c r="Z4" s="360"/>
      <c r="AA4" s="360"/>
      <c r="AB4" s="360"/>
      <c r="AC4" s="360"/>
      <c r="AD4" s="360"/>
      <c r="AE4" s="360"/>
      <c r="AF4" s="360"/>
      <c r="AG4" s="360"/>
      <c r="AH4" s="360"/>
      <c r="AI4" s="360"/>
      <c r="AJ4" s="360"/>
      <c r="AK4" s="360"/>
      <c r="AL4" s="360"/>
      <c r="AM4" s="360"/>
    </row>
    <row r="5" spans="1:39" x14ac:dyDescent="0.25">
      <c r="A5" s="373" t="s">
        <v>147</v>
      </c>
      <c r="B5" s="374"/>
      <c r="C5" s="375"/>
      <c r="D5" s="376"/>
      <c r="E5" s="377"/>
      <c r="F5" s="375"/>
      <c r="G5" s="378"/>
      <c r="H5" s="379"/>
      <c r="I5" s="371"/>
      <c r="J5" s="380"/>
      <c r="K5" s="375"/>
      <c r="L5" s="381"/>
      <c r="M5" s="382"/>
      <c r="N5" s="374"/>
      <c r="O5" s="383"/>
      <c r="P5" s="383"/>
      <c r="Q5" s="383"/>
      <c r="R5" s="383"/>
      <c r="S5" s="383"/>
      <c r="T5" s="384"/>
      <c r="U5" s="360"/>
      <c r="V5" s="371"/>
      <c r="W5" s="371"/>
      <c r="X5" s="592"/>
      <c r="Y5" s="360"/>
      <c r="Z5" s="360"/>
      <c r="AA5" s="367"/>
      <c r="AB5" s="367"/>
      <c r="AC5" s="360"/>
      <c r="AD5" s="360"/>
      <c r="AE5" s="360"/>
      <c r="AF5" s="360"/>
      <c r="AG5" s="360"/>
      <c r="AH5" s="360"/>
      <c r="AI5" s="360"/>
      <c r="AJ5" s="360"/>
      <c r="AK5" s="360"/>
      <c r="AL5" s="360"/>
      <c r="AM5" s="360"/>
    </row>
    <row r="6" spans="1:39" x14ac:dyDescent="0.25">
      <c r="A6" s="804" t="s">
        <v>148</v>
      </c>
      <c r="B6" s="804" t="s">
        <v>1</v>
      </c>
      <c r="C6" s="806" t="s">
        <v>149</v>
      </c>
      <c r="D6" s="802" t="s">
        <v>185</v>
      </c>
      <c r="E6" s="802" t="s">
        <v>186</v>
      </c>
      <c r="F6" s="802" t="s">
        <v>196</v>
      </c>
      <c r="G6" s="812" t="s">
        <v>153</v>
      </c>
      <c r="H6" s="814" t="s">
        <v>154</v>
      </c>
      <c r="I6" s="815"/>
      <c r="J6" s="816" t="s">
        <v>155</v>
      </c>
      <c r="K6" s="817"/>
      <c r="L6" s="818"/>
      <c r="M6" s="812" t="s">
        <v>156</v>
      </c>
      <c r="N6" s="804" t="s">
        <v>157</v>
      </c>
      <c r="O6" s="385" t="s">
        <v>158</v>
      </c>
      <c r="P6" s="819" t="s">
        <v>159</v>
      </c>
      <c r="Q6" s="809" t="s">
        <v>160</v>
      </c>
      <c r="R6" s="809" t="s">
        <v>161</v>
      </c>
      <c r="S6" s="802" t="s">
        <v>152</v>
      </c>
      <c r="T6" s="804" t="s">
        <v>162</v>
      </c>
      <c r="U6" s="360"/>
      <c r="V6" s="371"/>
      <c r="W6" s="360"/>
      <c r="X6" s="592"/>
      <c r="Y6" s="369"/>
      <c r="Z6" s="360"/>
      <c r="AA6" s="360"/>
      <c r="AB6" s="360"/>
      <c r="AC6" s="365"/>
      <c r="AD6" s="360"/>
      <c r="AE6" s="360"/>
      <c r="AF6" s="360"/>
      <c r="AG6" s="360"/>
      <c r="AH6" s="360"/>
      <c r="AI6" s="360"/>
      <c r="AJ6" s="360"/>
      <c r="AK6" s="360"/>
      <c r="AL6" s="360"/>
      <c r="AM6" s="360"/>
    </row>
    <row r="7" spans="1:39" ht="12" customHeight="1" thickBot="1" x14ac:dyDescent="0.3">
      <c r="A7" s="805"/>
      <c r="B7" s="805"/>
      <c r="C7" s="807"/>
      <c r="D7" s="808"/>
      <c r="E7" s="803"/>
      <c r="F7" s="803"/>
      <c r="G7" s="813"/>
      <c r="H7" s="386" t="s">
        <v>163</v>
      </c>
      <c r="I7" s="386" t="s">
        <v>164</v>
      </c>
      <c r="J7" s="387" t="s">
        <v>8</v>
      </c>
      <c r="K7" s="388" t="s">
        <v>9</v>
      </c>
      <c r="L7" s="389" t="s">
        <v>105</v>
      </c>
      <c r="M7" s="813"/>
      <c r="N7" s="805"/>
      <c r="O7" s="390" t="s">
        <v>165</v>
      </c>
      <c r="P7" s="820"/>
      <c r="Q7" s="810"/>
      <c r="R7" s="810"/>
      <c r="S7" s="808"/>
      <c r="T7" s="811"/>
      <c r="U7" s="360"/>
      <c r="V7" s="360"/>
      <c r="W7" s="360"/>
      <c r="X7" s="592"/>
      <c r="Y7" s="360"/>
      <c r="Z7" s="360"/>
      <c r="AA7" s="360"/>
      <c r="AB7" s="360"/>
      <c r="AC7" s="360"/>
      <c r="AD7" s="360"/>
      <c r="AE7" s="360"/>
      <c r="AF7" s="360"/>
      <c r="AG7" s="360"/>
      <c r="AH7" s="360"/>
      <c r="AI7" s="360"/>
      <c r="AJ7" s="360"/>
      <c r="AK7" s="360"/>
      <c r="AL7" s="360"/>
      <c r="AM7" s="360"/>
    </row>
    <row r="8" spans="1:39" s="327" customFormat="1" ht="11.25" customHeight="1" thickBot="1" x14ac:dyDescent="0.3">
      <c r="A8" s="391">
        <v>45604</v>
      </c>
      <c r="B8" s="392" t="s">
        <v>138</v>
      </c>
      <c r="C8" s="396"/>
      <c r="D8" s="648"/>
      <c r="E8" s="649"/>
      <c r="F8" s="448">
        <f>E8-D8</f>
        <v>0</v>
      </c>
      <c r="G8" s="472"/>
      <c r="H8" s="536" t="s">
        <v>166</v>
      </c>
      <c r="I8" s="657"/>
      <c r="J8" s="399">
        <v>400</v>
      </c>
      <c r="K8" s="400" t="s">
        <v>167</v>
      </c>
      <c r="L8" s="401" t="s">
        <v>167</v>
      </c>
      <c r="M8" s="402"/>
      <c r="N8" s="399"/>
      <c r="O8" s="392"/>
      <c r="P8" s="399"/>
      <c r="Q8" s="403"/>
      <c r="R8" s="404"/>
      <c r="S8" s="405"/>
      <c r="T8" s="660"/>
      <c r="U8" s="360"/>
      <c r="V8" s="360"/>
      <c r="W8" s="369"/>
      <c r="X8" s="592"/>
      <c r="Y8" s="369"/>
      <c r="Z8" s="369"/>
      <c r="AA8" s="369"/>
      <c r="AB8" s="369"/>
      <c r="AC8" s="369"/>
      <c r="AD8" s="360"/>
      <c r="AE8" s="360"/>
      <c r="AF8" s="360"/>
      <c r="AG8" s="360"/>
      <c r="AH8" s="360"/>
      <c r="AI8" s="360"/>
      <c r="AJ8" s="360"/>
      <c r="AK8" s="360"/>
      <c r="AL8" s="360"/>
      <c r="AM8" s="360"/>
    </row>
    <row r="9" spans="1:39" s="327" customFormat="1" ht="11.25" customHeight="1" thickBot="1" x14ac:dyDescent="0.3">
      <c r="A9" s="391">
        <f>$A$8</f>
        <v>45604</v>
      </c>
      <c r="B9" s="406" t="s">
        <v>168</v>
      </c>
      <c r="C9" s="407"/>
      <c r="D9" s="408"/>
      <c r="E9" s="409"/>
      <c r="F9" s="410">
        <f t="shared" ref="F9:F21" si="0">E9-D9</f>
        <v>0</v>
      </c>
      <c r="G9" s="650"/>
      <c r="H9" s="652" t="s">
        <v>169</v>
      </c>
      <c r="I9" s="652"/>
      <c r="J9" s="406">
        <v>400</v>
      </c>
      <c r="K9" s="407">
        <v>297</v>
      </c>
      <c r="L9" s="412">
        <v>0.74250000000000005</v>
      </c>
      <c r="M9" s="413"/>
      <c r="N9" s="406"/>
      <c r="O9" s="414"/>
      <c r="P9" s="406"/>
      <c r="Q9" s="416"/>
      <c r="R9" s="416"/>
      <c r="S9" s="417"/>
      <c r="T9" s="661" t="s">
        <v>170</v>
      </c>
      <c r="U9" s="418"/>
      <c r="V9" s="419"/>
      <c r="W9" s="418"/>
      <c r="X9" s="593"/>
      <c r="Y9" s="418"/>
      <c r="Z9" s="418"/>
      <c r="AA9" s="471"/>
      <c r="AB9" s="418"/>
      <c r="AC9" s="471"/>
      <c r="AD9" s="471"/>
      <c r="AE9" s="471"/>
      <c r="AF9" s="471"/>
      <c r="AG9" s="471"/>
      <c r="AH9" s="471"/>
      <c r="AI9" s="471"/>
      <c r="AJ9" s="471"/>
      <c r="AK9" s="471"/>
      <c r="AL9" s="471"/>
      <c r="AM9" s="471"/>
    </row>
    <row r="10" spans="1:39" s="327" customFormat="1" ht="11.25" customHeight="1" x14ac:dyDescent="0.25">
      <c r="A10" s="391">
        <f t="shared" ref="A10:A21" si="1">$A$8</f>
        <v>45604</v>
      </c>
      <c r="B10" s="420" t="s">
        <v>171</v>
      </c>
      <c r="C10" s="407"/>
      <c r="D10" s="651"/>
      <c r="E10" s="409"/>
      <c r="F10" s="410">
        <f t="shared" si="0"/>
        <v>0</v>
      </c>
      <c r="G10" s="407"/>
      <c r="H10" s="652" t="s">
        <v>169</v>
      </c>
      <c r="I10" s="652"/>
      <c r="J10" s="406">
        <v>400</v>
      </c>
      <c r="K10" s="407">
        <v>264</v>
      </c>
      <c r="L10" s="412">
        <v>0.66</v>
      </c>
      <c r="M10" s="413"/>
      <c r="N10" s="406"/>
      <c r="O10" s="420"/>
      <c r="P10" s="420"/>
      <c r="Q10" s="424"/>
      <c r="R10" s="424"/>
      <c r="S10" s="425"/>
      <c r="T10" s="662" t="s">
        <v>172</v>
      </c>
      <c r="U10" s="426"/>
      <c r="V10" s="426"/>
      <c r="W10" s="426"/>
      <c r="X10" s="594"/>
      <c r="Y10" s="426"/>
      <c r="Z10" s="530"/>
      <c r="AA10" s="595"/>
      <c r="AB10" s="426"/>
      <c r="AC10" s="595"/>
      <c r="AD10" s="595"/>
      <c r="AE10" s="595"/>
      <c r="AF10" s="595"/>
      <c r="AG10" s="595"/>
      <c r="AH10" s="595"/>
      <c r="AI10" s="595"/>
      <c r="AJ10" s="595"/>
      <c r="AK10" s="595"/>
      <c r="AL10" s="595"/>
      <c r="AM10" s="595"/>
    </row>
    <row r="11" spans="1:39" s="327" customFormat="1" ht="11.25" customHeight="1" x14ac:dyDescent="0.25">
      <c r="A11" s="391">
        <f t="shared" si="1"/>
        <v>45604</v>
      </c>
      <c r="B11" s="534" t="s">
        <v>173</v>
      </c>
      <c r="C11" s="431" t="s">
        <v>208</v>
      </c>
      <c r="D11" s="446">
        <v>41200</v>
      </c>
      <c r="E11" s="447">
        <v>41210</v>
      </c>
      <c r="F11" s="410">
        <f t="shared" si="0"/>
        <v>10</v>
      </c>
      <c r="G11" s="472">
        <f>+(44+46+44+35+1)*22</f>
        <v>3740</v>
      </c>
      <c r="H11" s="658" t="s">
        <v>166</v>
      </c>
      <c r="I11" s="636"/>
      <c r="J11" s="534">
        <v>400</v>
      </c>
      <c r="K11" s="431" t="s">
        <v>167</v>
      </c>
      <c r="L11" s="432" t="s">
        <v>167</v>
      </c>
      <c r="M11" s="433"/>
      <c r="N11" s="630">
        <v>3</v>
      </c>
      <c r="O11" s="534"/>
      <c r="P11" s="534"/>
      <c r="Q11" s="631"/>
      <c r="R11" s="631"/>
      <c r="S11" s="632">
        <v>0</v>
      </c>
      <c r="T11" s="660"/>
      <c r="U11" s="434"/>
      <c r="V11" s="434"/>
      <c r="W11" s="434"/>
      <c r="X11" s="596"/>
      <c r="Y11" s="434"/>
      <c r="Z11" s="597"/>
      <c r="AA11" s="476"/>
      <c r="AB11" s="434"/>
      <c r="AC11" s="434"/>
      <c r="AD11" s="476"/>
      <c r="AE11" s="476"/>
      <c r="AF11" s="476"/>
      <c r="AG11" s="476"/>
      <c r="AH11" s="476"/>
      <c r="AI11" s="476"/>
      <c r="AJ11" s="476"/>
      <c r="AK11" s="476"/>
      <c r="AL11" s="476"/>
      <c r="AM11" s="476"/>
    </row>
    <row r="12" spans="1:39" s="327" customFormat="1" ht="11.25" customHeight="1" x14ac:dyDescent="0.25">
      <c r="A12" s="391">
        <f t="shared" si="1"/>
        <v>45604</v>
      </c>
      <c r="B12" s="414" t="s">
        <v>174</v>
      </c>
      <c r="C12" s="407"/>
      <c r="D12" s="408"/>
      <c r="E12" s="409"/>
      <c r="F12" s="410">
        <f t="shared" si="0"/>
        <v>0</v>
      </c>
      <c r="G12" s="650"/>
      <c r="H12" s="467" t="s">
        <v>166</v>
      </c>
      <c r="I12" s="652"/>
      <c r="J12" s="420">
        <v>400</v>
      </c>
      <c r="K12" s="407">
        <v>176</v>
      </c>
      <c r="L12" s="412">
        <v>0.44</v>
      </c>
      <c r="M12" s="469"/>
      <c r="N12" s="436"/>
      <c r="O12" s="420"/>
      <c r="P12" s="420"/>
      <c r="Q12" s="424"/>
      <c r="R12" s="424"/>
      <c r="S12" s="425">
        <v>0</v>
      </c>
      <c r="T12" s="661" t="s">
        <v>170</v>
      </c>
      <c r="U12" s="426"/>
      <c r="V12" s="426"/>
      <c r="W12" s="426"/>
      <c r="X12" s="594"/>
      <c r="Y12" s="426"/>
      <c r="Z12" s="530"/>
      <c r="AA12" s="426"/>
      <c r="AB12" s="426"/>
      <c r="AC12" s="595"/>
      <c r="AD12" s="595"/>
      <c r="AE12" s="595"/>
      <c r="AF12" s="595"/>
      <c r="AG12" s="595"/>
      <c r="AH12" s="595"/>
      <c r="AI12" s="595"/>
      <c r="AJ12" s="595"/>
      <c r="AK12" s="595"/>
      <c r="AL12" s="595"/>
      <c r="AM12" s="595"/>
    </row>
    <row r="13" spans="1:39" s="327" customFormat="1" ht="11.25" customHeight="1" x14ac:dyDescent="0.25">
      <c r="A13" s="391">
        <f t="shared" si="1"/>
        <v>45604</v>
      </c>
      <c r="B13" s="406" t="s">
        <v>175</v>
      </c>
      <c r="C13" s="407"/>
      <c r="D13" s="408"/>
      <c r="E13" s="409"/>
      <c r="F13" s="410">
        <f t="shared" si="0"/>
        <v>0</v>
      </c>
      <c r="G13" s="650"/>
      <c r="H13" s="467" t="s">
        <v>169</v>
      </c>
      <c r="I13" s="652"/>
      <c r="J13" s="420">
        <v>400</v>
      </c>
      <c r="K13" s="407" t="s">
        <v>167</v>
      </c>
      <c r="L13" s="412" t="s">
        <v>167</v>
      </c>
      <c r="M13" s="652"/>
      <c r="N13" s="420"/>
      <c r="O13" s="420"/>
      <c r="P13" s="420"/>
      <c r="Q13" s="424"/>
      <c r="R13" s="424"/>
      <c r="S13" s="425"/>
      <c r="T13" s="663"/>
      <c r="U13" s="426"/>
      <c r="V13" s="426"/>
      <c r="W13" s="426"/>
      <c r="X13" s="594"/>
      <c r="Y13" s="426"/>
      <c r="Z13" s="530"/>
      <c r="AA13" s="426"/>
      <c r="AB13" s="426"/>
      <c r="AC13" s="595"/>
      <c r="AD13" s="595"/>
      <c r="AE13" s="595"/>
      <c r="AF13" s="595"/>
      <c r="AG13" s="595"/>
      <c r="AH13" s="595"/>
      <c r="AI13" s="595"/>
      <c r="AJ13" s="595"/>
      <c r="AK13" s="595"/>
      <c r="AL13" s="595"/>
      <c r="AM13" s="595"/>
    </row>
    <row r="14" spans="1:39" s="327" customFormat="1" ht="11.25" customHeight="1" x14ac:dyDescent="0.25">
      <c r="A14" s="391">
        <f t="shared" si="1"/>
        <v>45604</v>
      </c>
      <c r="B14" s="633" t="s">
        <v>176</v>
      </c>
      <c r="C14" s="628"/>
      <c r="D14" s="653"/>
      <c r="E14" s="654"/>
      <c r="F14" s="448">
        <f>E14-D14</f>
        <v>0</v>
      </c>
      <c r="G14" s="472"/>
      <c r="H14" s="658" t="s">
        <v>166</v>
      </c>
      <c r="I14" s="636"/>
      <c r="J14" s="534">
        <v>400</v>
      </c>
      <c r="K14" s="431" t="s">
        <v>167</v>
      </c>
      <c r="L14" s="432" t="s">
        <v>167</v>
      </c>
      <c r="M14" s="433"/>
      <c r="N14" s="630"/>
      <c r="O14" s="534"/>
      <c r="P14" s="534"/>
      <c r="Q14" s="631"/>
      <c r="R14" s="631"/>
      <c r="S14" s="632">
        <v>0</v>
      </c>
      <c r="T14" s="664" t="s">
        <v>177</v>
      </c>
      <c r="U14" s="439"/>
      <c r="V14" s="440"/>
      <c r="W14" s="369"/>
      <c r="X14" s="592"/>
      <c r="Y14" s="369"/>
      <c r="Z14" s="362"/>
      <c r="AA14" s="369"/>
      <c r="AB14" s="369"/>
      <c r="AC14" s="360"/>
      <c r="AD14" s="360"/>
      <c r="AE14" s="360"/>
      <c r="AF14" s="360"/>
      <c r="AG14" s="360"/>
      <c r="AH14" s="360"/>
      <c r="AI14" s="360"/>
      <c r="AJ14" s="360"/>
      <c r="AK14" s="360"/>
      <c r="AL14" s="360"/>
      <c r="AM14" s="360"/>
    </row>
    <row r="15" spans="1:39" s="327" customFormat="1" ht="11.25" customHeight="1" x14ac:dyDescent="0.25">
      <c r="A15" s="391">
        <f t="shared" si="1"/>
        <v>45604</v>
      </c>
      <c r="B15" s="420" t="s">
        <v>178</v>
      </c>
      <c r="C15" s="407"/>
      <c r="D15" s="427"/>
      <c r="E15" s="428"/>
      <c r="F15" s="410">
        <f t="shared" si="0"/>
        <v>0</v>
      </c>
      <c r="G15" s="629"/>
      <c r="H15" s="652" t="s">
        <v>169</v>
      </c>
      <c r="I15" s="652"/>
      <c r="J15" s="420">
        <v>400</v>
      </c>
      <c r="K15" s="407">
        <v>154</v>
      </c>
      <c r="L15" s="412">
        <v>0.38500000000000001</v>
      </c>
      <c r="M15" s="441"/>
      <c r="N15" s="436"/>
      <c r="O15" s="420"/>
      <c r="P15" s="420"/>
      <c r="Q15" s="424"/>
      <c r="R15" s="424"/>
      <c r="S15" s="425"/>
      <c r="T15" s="665" t="s">
        <v>179</v>
      </c>
      <c r="U15" s="426"/>
      <c r="V15" s="443"/>
      <c r="W15" s="426"/>
      <c r="X15" s="594"/>
      <c r="Y15" s="426"/>
      <c r="Z15" s="426">
        <v>0</v>
      </c>
      <c r="AA15" s="595" t="e">
        <v>#DIV/0!</v>
      </c>
      <c r="AB15" s="426"/>
      <c r="AC15" s="595"/>
      <c r="AD15" s="595"/>
      <c r="AE15" s="595"/>
      <c r="AF15" s="595"/>
      <c r="AG15" s="595"/>
      <c r="AH15" s="595"/>
      <c r="AI15" s="595"/>
      <c r="AJ15" s="595"/>
      <c r="AK15" s="595"/>
      <c r="AL15" s="595"/>
      <c r="AM15" s="595"/>
    </row>
    <row r="16" spans="1:39" s="327" customFormat="1" ht="11.25" customHeight="1" x14ac:dyDescent="0.25">
      <c r="A16" s="391">
        <f t="shared" si="1"/>
        <v>45604</v>
      </c>
      <c r="B16" s="445" t="s">
        <v>180</v>
      </c>
      <c r="C16" s="431" t="s">
        <v>212</v>
      </c>
      <c r="D16" s="446">
        <v>29827</v>
      </c>
      <c r="E16" s="447">
        <v>29837</v>
      </c>
      <c r="F16" s="448">
        <f t="shared" si="0"/>
        <v>10</v>
      </c>
      <c r="G16" s="472">
        <f>+(38+37+31+36+29)*22</f>
        <v>3762</v>
      </c>
      <c r="H16" s="658" t="s">
        <v>169</v>
      </c>
      <c r="I16" s="658"/>
      <c r="J16" s="445">
        <v>400</v>
      </c>
      <c r="K16" s="431" t="s">
        <v>167</v>
      </c>
      <c r="L16" s="432" t="s">
        <v>167</v>
      </c>
      <c r="M16" s="450"/>
      <c r="N16" s="445">
        <v>3</v>
      </c>
      <c r="O16" s="445"/>
      <c r="P16" s="659"/>
      <c r="Q16" s="450"/>
      <c r="R16" s="451"/>
      <c r="S16" s="452"/>
      <c r="T16" s="666"/>
      <c r="U16" s="434"/>
      <c r="V16" s="453"/>
      <c r="W16" s="434"/>
      <c r="X16" s="596"/>
      <c r="Y16" s="434"/>
      <c r="Z16" s="434"/>
      <c r="AA16" s="476"/>
      <c r="AB16" s="434"/>
      <c r="AC16" s="476"/>
      <c r="AD16" s="476"/>
      <c r="AE16" s="476"/>
      <c r="AF16" s="476"/>
      <c r="AG16" s="476"/>
      <c r="AH16" s="476"/>
      <c r="AI16" s="476"/>
      <c r="AJ16" s="476"/>
      <c r="AK16" s="476"/>
      <c r="AL16" s="476"/>
      <c r="AM16" s="476"/>
    </row>
    <row r="17" spans="1:39" s="327" customFormat="1" ht="11.25" customHeight="1" x14ac:dyDescent="0.25">
      <c r="A17" s="391">
        <f t="shared" si="1"/>
        <v>45604</v>
      </c>
      <c r="B17" s="437" t="s">
        <v>181</v>
      </c>
      <c r="C17" s="396" t="s">
        <v>214</v>
      </c>
      <c r="D17" s="648">
        <v>12686</v>
      </c>
      <c r="E17" s="649">
        <v>12696</v>
      </c>
      <c r="F17" s="448">
        <f t="shared" si="0"/>
        <v>10</v>
      </c>
      <c r="G17" s="472">
        <f>+(38+36+26+33+12)*22</f>
        <v>3190</v>
      </c>
      <c r="H17" s="536" t="s">
        <v>166</v>
      </c>
      <c r="I17" s="657"/>
      <c r="J17" s="455">
        <v>350</v>
      </c>
      <c r="K17" s="431">
        <v>166.5</v>
      </c>
      <c r="L17" s="432">
        <v>0.4757142857142857</v>
      </c>
      <c r="M17" s="536"/>
      <c r="N17" s="455">
        <v>3</v>
      </c>
      <c r="O17" s="437"/>
      <c r="P17" s="457"/>
      <c r="Q17" s="455"/>
      <c r="R17" s="459"/>
      <c r="S17" s="460">
        <v>0</v>
      </c>
      <c r="T17" s="667" t="s">
        <v>179</v>
      </c>
      <c r="U17" s="462"/>
      <c r="V17" s="434"/>
      <c r="W17" s="434"/>
      <c r="X17" s="596"/>
      <c r="Y17" s="434"/>
      <c r="Z17" s="434">
        <v>0</v>
      </c>
      <c r="AA17" s="476" t="e">
        <v>#DIV/0!</v>
      </c>
      <c r="AB17" s="434"/>
      <c r="AC17" s="434"/>
      <c r="AD17" s="476"/>
      <c r="AE17" s="476"/>
      <c r="AF17" s="476"/>
      <c r="AG17" s="476"/>
      <c r="AH17" s="476"/>
      <c r="AI17" s="476"/>
      <c r="AJ17" s="476"/>
      <c r="AK17" s="476"/>
      <c r="AL17" s="476"/>
      <c r="AM17" s="476"/>
    </row>
    <row r="18" spans="1:39" s="327" customFormat="1" ht="11.25" customHeight="1" x14ac:dyDescent="0.25">
      <c r="A18" s="391">
        <f t="shared" si="1"/>
        <v>45604</v>
      </c>
      <c r="B18" s="436" t="s">
        <v>182</v>
      </c>
      <c r="C18" s="410"/>
      <c r="D18" s="655"/>
      <c r="E18" s="428"/>
      <c r="F18" s="410">
        <f t="shared" si="0"/>
        <v>0</v>
      </c>
      <c r="G18" s="466"/>
      <c r="H18" s="652" t="s">
        <v>169</v>
      </c>
      <c r="I18" s="467"/>
      <c r="J18" s="406">
        <v>350</v>
      </c>
      <c r="K18" s="407">
        <v>265.12820512822987</v>
      </c>
      <c r="L18" s="412">
        <v>0.7575091575092282</v>
      </c>
      <c r="M18" s="652"/>
      <c r="N18" s="406"/>
      <c r="O18" s="406"/>
      <c r="P18" s="406"/>
      <c r="Q18" s="469"/>
      <c r="R18" s="416"/>
      <c r="S18" s="417"/>
      <c r="T18" s="668"/>
      <c r="U18" s="470"/>
      <c r="V18" s="426"/>
      <c r="W18" s="426"/>
      <c r="X18" s="594"/>
      <c r="Y18" s="426"/>
      <c r="Z18" s="426">
        <v>0</v>
      </c>
      <c r="AA18" s="595" t="e">
        <v>#DIV/0!</v>
      </c>
      <c r="AB18" s="426"/>
      <c r="AC18" s="426"/>
      <c r="AD18" s="595"/>
      <c r="AE18" s="595"/>
      <c r="AF18" s="595"/>
      <c r="AG18" s="595"/>
      <c r="AH18" s="595"/>
      <c r="AI18" s="595"/>
      <c r="AJ18" s="595"/>
      <c r="AK18" s="595"/>
      <c r="AL18" s="595"/>
      <c r="AM18" s="595"/>
    </row>
    <row r="19" spans="1:39" s="327" customFormat="1" ht="11.25" customHeight="1" x14ac:dyDescent="0.25">
      <c r="A19" s="391">
        <f t="shared" si="1"/>
        <v>45604</v>
      </c>
      <c r="B19" s="534" t="s">
        <v>137</v>
      </c>
      <c r="C19" s="448" t="s">
        <v>210</v>
      </c>
      <c r="D19" s="656">
        <v>5156</v>
      </c>
      <c r="E19" s="447">
        <v>5166</v>
      </c>
      <c r="F19" s="448">
        <f t="shared" si="0"/>
        <v>10</v>
      </c>
      <c r="G19" s="472">
        <f>+(43+11+42+34+28+26)*22</f>
        <v>4048</v>
      </c>
      <c r="H19" s="636" t="s">
        <v>169</v>
      </c>
      <c r="I19" s="636"/>
      <c r="J19" s="534">
        <v>350</v>
      </c>
      <c r="K19" s="431" t="s">
        <v>167</v>
      </c>
      <c r="L19" s="432" t="s">
        <v>167</v>
      </c>
      <c r="M19" s="636"/>
      <c r="N19" s="445"/>
      <c r="O19" s="534"/>
      <c r="P19" s="534"/>
      <c r="Q19" s="637"/>
      <c r="R19" s="433"/>
      <c r="S19" s="632"/>
      <c r="T19" s="669" t="s">
        <v>179</v>
      </c>
      <c r="U19" s="476"/>
      <c r="V19" s="434"/>
      <c r="W19" s="434"/>
      <c r="X19" s="596"/>
      <c r="Y19" s="369"/>
      <c r="Z19" s="369">
        <v>0</v>
      </c>
      <c r="AA19" s="360" t="e">
        <v>#DIV/0!</v>
      </c>
      <c r="AB19" s="476"/>
      <c r="AC19" s="476"/>
      <c r="AD19" s="476"/>
      <c r="AE19" s="476"/>
      <c r="AF19" s="476"/>
      <c r="AG19" s="476"/>
      <c r="AH19" s="476"/>
      <c r="AI19" s="476"/>
      <c r="AJ19" s="476"/>
      <c r="AK19" s="476"/>
      <c r="AL19" s="476"/>
      <c r="AM19" s="476"/>
    </row>
    <row r="20" spans="1:39" s="327" customFormat="1" ht="11.25" hidden="1" customHeight="1" x14ac:dyDescent="0.25">
      <c r="A20" s="391">
        <f t="shared" si="1"/>
        <v>45604</v>
      </c>
      <c r="B20" s="534" t="s">
        <v>183</v>
      </c>
      <c r="C20" s="448"/>
      <c r="D20" s="656"/>
      <c r="E20" s="447"/>
      <c r="F20" s="448">
        <f t="shared" si="0"/>
        <v>0</v>
      </c>
      <c r="G20" s="449"/>
      <c r="H20" s="636" t="s">
        <v>169</v>
      </c>
      <c r="I20" s="636"/>
      <c r="J20" s="534">
        <v>350</v>
      </c>
      <c r="K20" s="431" t="s">
        <v>167</v>
      </c>
      <c r="L20" s="432" t="s">
        <v>167</v>
      </c>
      <c r="M20" s="636"/>
      <c r="N20" s="445"/>
      <c r="O20" s="534"/>
      <c r="P20" s="534"/>
      <c r="Q20" s="637"/>
      <c r="R20" s="433"/>
      <c r="S20" s="632"/>
      <c r="T20" s="669"/>
      <c r="U20" s="476"/>
      <c r="V20" s="434"/>
      <c r="W20" s="434"/>
      <c r="X20" s="596"/>
      <c r="Y20" s="369"/>
      <c r="Z20" s="369">
        <v>0</v>
      </c>
      <c r="AA20" s="360" t="e">
        <v>#DIV/0!</v>
      </c>
      <c r="AB20" s="476"/>
      <c r="AC20" s="476"/>
      <c r="AD20" s="476"/>
      <c r="AE20" s="476"/>
      <c r="AF20" s="476"/>
      <c r="AG20" s="476"/>
      <c r="AH20" s="476"/>
      <c r="AI20" s="476"/>
      <c r="AJ20" s="476"/>
      <c r="AK20" s="476"/>
      <c r="AL20" s="476"/>
      <c r="AM20" s="476"/>
    </row>
    <row r="21" spans="1:39" s="327" customFormat="1" ht="11.25" customHeight="1" thickBot="1" x14ac:dyDescent="0.3">
      <c r="A21" s="391">
        <f t="shared" si="1"/>
        <v>45604</v>
      </c>
      <c r="B21" s="455" t="s">
        <v>184</v>
      </c>
      <c r="C21" s="396" t="s">
        <v>216</v>
      </c>
      <c r="D21" s="648">
        <v>15062</v>
      </c>
      <c r="E21" s="447">
        <v>15072</v>
      </c>
      <c r="F21" s="448">
        <f t="shared" si="0"/>
        <v>10</v>
      </c>
      <c r="G21" s="472">
        <f>+(61+64+53+54+1+6)*22</f>
        <v>5258</v>
      </c>
      <c r="H21" s="536" t="s">
        <v>166</v>
      </c>
      <c r="I21" s="657"/>
      <c r="J21" s="473">
        <v>500</v>
      </c>
      <c r="K21" s="400" t="s">
        <v>167</v>
      </c>
      <c r="L21" s="401" t="s">
        <v>167</v>
      </c>
      <c r="M21" s="474"/>
      <c r="N21" s="455"/>
      <c r="O21" s="455"/>
      <c r="P21" s="455"/>
      <c r="Q21" s="455"/>
      <c r="R21" s="475"/>
      <c r="S21" s="460">
        <v>0</v>
      </c>
      <c r="T21" s="660"/>
      <c r="U21" s="476"/>
      <c r="V21" s="434"/>
      <c r="W21" s="434"/>
      <c r="X21" s="596"/>
      <c r="Y21" s="369"/>
      <c r="Z21" s="369">
        <v>0</v>
      </c>
      <c r="AA21" s="360" t="e">
        <v>#DIV/0!</v>
      </c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  <c r="AL21" s="476"/>
      <c r="AM21" s="476"/>
    </row>
    <row r="22" spans="1:39" ht="15.75" thickBot="1" x14ac:dyDescent="0.3">
      <c r="A22" s="477"/>
      <c r="B22" s="478" t="s">
        <v>126</v>
      </c>
      <c r="C22" s="479"/>
      <c r="D22" s="479"/>
      <c r="E22" s="479"/>
      <c r="F22" s="480">
        <f>SUM(F8:F21)</f>
        <v>50</v>
      </c>
      <c r="G22" s="480">
        <f>SUM(G8:G21)</f>
        <v>19998</v>
      </c>
      <c r="H22" s="481"/>
      <c r="I22" s="481"/>
      <c r="J22" s="482"/>
      <c r="K22" s="483"/>
      <c r="L22" s="484"/>
      <c r="M22" s="485"/>
      <c r="N22" s="486"/>
      <c r="O22" s="487"/>
      <c r="P22" s="487"/>
      <c r="Q22" s="487"/>
      <c r="R22" s="487" t="s">
        <v>36</v>
      </c>
      <c r="S22" s="488">
        <v>0</v>
      </c>
      <c r="T22" s="489"/>
      <c r="U22" s="490"/>
      <c r="V22" s="369"/>
      <c r="W22" s="369"/>
      <c r="X22" s="592"/>
      <c r="Y22" s="369"/>
      <c r="Z22" s="369">
        <v>0</v>
      </c>
      <c r="AA22" s="360" t="e">
        <v>#DIV/0!</v>
      </c>
      <c r="AB22" s="360"/>
      <c r="AC22" s="360"/>
      <c r="AD22" s="360"/>
      <c r="AE22" s="360"/>
      <c r="AF22" s="360"/>
      <c r="AG22" s="360"/>
      <c r="AH22" s="360"/>
      <c r="AI22" s="360"/>
      <c r="AJ22" s="360"/>
      <c r="AK22" s="360"/>
      <c r="AL22" s="360"/>
      <c r="AM22" s="360"/>
    </row>
    <row r="23" spans="1:39" x14ac:dyDescent="0.25">
      <c r="A23" s="360"/>
      <c r="B23" s="490"/>
      <c r="C23" s="369"/>
      <c r="D23" s="361"/>
      <c r="E23" s="361"/>
      <c r="F23" s="491"/>
      <c r="G23" s="492"/>
      <c r="H23" s="493"/>
      <c r="I23" s="494"/>
      <c r="J23" s="360"/>
      <c r="K23" s="369"/>
      <c r="L23" s="495"/>
      <c r="M23" s="362"/>
      <c r="N23" s="496">
        <v>1.4</v>
      </c>
      <c r="O23" s="492"/>
      <c r="P23" s="492"/>
      <c r="Q23" s="492"/>
      <c r="R23" s="492"/>
      <c r="S23" s="492"/>
      <c r="T23" s="497"/>
      <c r="U23" s="360"/>
      <c r="V23" s="369"/>
      <c r="W23" s="369"/>
      <c r="X23" s="592"/>
      <c r="Y23" s="360"/>
      <c r="Z23" s="360"/>
      <c r="AA23" s="360"/>
      <c r="AB23" s="360"/>
      <c r="AC23" s="360"/>
      <c r="AD23" s="360"/>
      <c r="AE23" s="360"/>
      <c r="AF23" s="360"/>
      <c r="AG23" s="360"/>
      <c r="AH23" s="360"/>
      <c r="AI23" s="360"/>
      <c r="AJ23" s="360"/>
      <c r="AK23" s="360"/>
      <c r="AL23" s="360"/>
      <c r="AM23" s="360"/>
    </row>
    <row r="24" spans="1:39" x14ac:dyDescent="0.25">
      <c r="A24" s="498" t="s">
        <v>20</v>
      </c>
      <c r="B24" s="360"/>
      <c r="C24" s="360"/>
      <c r="D24" s="361"/>
      <c r="E24" s="499"/>
      <c r="F24" s="360"/>
      <c r="G24" s="380"/>
      <c r="H24" s="362"/>
      <c r="I24" s="362"/>
      <c r="J24" s="360"/>
      <c r="K24" s="360"/>
      <c r="L24" s="360"/>
      <c r="M24" s="362"/>
      <c r="N24" s="360"/>
      <c r="O24" s="365"/>
      <c r="P24" s="365"/>
      <c r="Q24" s="365"/>
      <c r="R24" s="365"/>
      <c r="S24" s="365"/>
      <c r="T24" s="497"/>
      <c r="U24" s="360"/>
      <c r="V24" s="360"/>
      <c r="W24" s="362"/>
      <c r="X24" s="592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  <c r="AI24" s="360"/>
      <c r="AJ24" s="360"/>
      <c r="AK24" s="360"/>
      <c r="AL24" s="360"/>
      <c r="AM24" s="360"/>
    </row>
    <row r="25" spans="1:39" x14ac:dyDescent="0.25">
      <c r="A25" s="804" t="s">
        <v>148</v>
      </c>
      <c r="B25" s="804" t="s">
        <v>1</v>
      </c>
      <c r="C25" s="806" t="s">
        <v>149</v>
      </c>
      <c r="D25" s="802" t="s">
        <v>150</v>
      </c>
      <c r="E25" s="802" t="s">
        <v>151</v>
      </c>
      <c r="F25" s="802" t="s">
        <v>152</v>
      </c>
      <c r="G25" s="812" t="s">
        <v>153</v>
      </c>
      <c r="H25" s="814" t="s">
        <v>154</v>
      </c>
      <c r="I25" s="815"/>
      <c r="J25" s="816" t="s">
        <v>155</v>
      </c>
      <c r="K25" s="817"/>
      <c r="L25" s="818"/>
      <c r="M25" s="812" t="s">
        <v>156</v>
      </c>
      <c r="N25" s="804" t="s">
        <v>157</v>
      </c>
      <c r="O25" s="385" t="s">
        <v>158</v>
      </c>
      <c r="P25" s="819" t="s">
        <v>159</v>
      </c>
      <c r="Q25" s="809" t="s">
        <v>185</v>
      </c>
      <c r="R25" s="809" t="s">
        <v>186</v>
      </c>
      <c r="S25" s="802" t="s">
        <v>152</v>
      </c>
      <c r="T25" s="804" t="s">
        <v>162</v>
      </c>
      <c r="U25" s="360"/>
      <c r="V25" s="360"/>
      <c r="W25" s="500"/>
      <c r="X25" s="598"/>
      <c r="Y25" s="360"/>
      <c r="Z25" s="360"/>
      <c r="AA25" s="360"/>
      <c r="AB25" s="360"/>
      <c r="AC25" s="360"/>
      <c r="AD25" s="360"/>
      <c r="AE25" s="360"/>
      <c r="AF25" s="360"/>
      <c r="AG25" s="360"/>
      <c r="AH25" s="360"/>
      <c r="AI25" s="360"/>
      <c r="AJ25" s="360"/>
      <c r="AK25" s="360"/>
      <c r="AL25" s="360"/>
      <c r="AM25" s="360"/>
    </row>
    <row r="26" spans="1:39" ht="16.5" customHeight="1" thickBot="1" x14ac:dyDescent="0.3">
      <c r="A26" s="805"/>
      <c r="B26" s="805"/>
      <c r="C26" s="807"/>
      <c r="D26" s="808"/>
      <c r="E26" s="808"/>
      <c r="F26" s="808"/>
      <c r="G26" s="813"/>
      <c r="H26" s="386" t="s">
        <v>163</v>
      </c>
      <c r="I26" s="386" t="s">
        <v>164</v>
      </c>
      <c r="J26" s="387" t="s">
        <v>8</v>
      </c>
      <c r="K26" s="388" t="s">
        <v>9</v>
      </c>
      <c r="L26" s="389" t="s">
        <v>105</v>
      </c>
      <c r="M26" s="813"/>
      <c r="N26" s="805"/>
      <c r="O26" s="501" t="s">
        <v>165</v>
      </c>
      <c r="P26" s="823"/>
      <c r="Q26" s="825"/>
      <c r="R26" s="825"/>
      <c r="S26" s="808"/>
      <c r="T26" s="805"/>
      <c r="U26" s="360"/>
      <c r="V26" s="369"/>
      <c r="W26" s="500"/>
      <c r="X26" s="598"/>
      <c r="Y26" s="360"/>
      <c r="Z26" s="360"/>
      <c r="AA26" s="360"/>
      <c r="AB26" s="360"/>
      <c r="AC26" s="360"/>
      <c r="AD26" s="360"/>
      <c r="AE26" s="360"/>
      <c r="AF26" s="360"/>
      <c r="AG26" s="360"/>
      <c r="AH26" s="360"/>
      <c r="AI26" s="360"/>
      <c r="AJ26" s="360"/>
      <c r="AK26" s="360"/>
      <c r="AL26" s="360"/>
      <c r="AM26" s="360"/>
    </row>
    <row r="27" spans="1:39" ht="11.25" customHeight="1" x14ac:dyDescent="0.25">
      <c r="A27" s="444">
        <f>$A$8</f>
        <v>45604</v>
      </c>
      <c r="B27" s="437" t="s">
        <v>138</v>
      </c>
      <c r="C27" s="393"/>
      <c r="D27" s="394"/>
      <c r="E27" s="395"/>
      <c r="F27" s="448">
        <f t="shared" ref="F27:F40" si="2">E27-D27</f>
        <v>0</v>
      </c>
      <c r="G27" s="397"/>
      <c r="H27" s="502" t="s">
        <v>166</v>
      </c>
      <c r="I27" s="454"/>
      <c r="J27" s="437">
        <v>500</v>
      </c>
      <c r="K27" s="396" t="s">
        <v>167</v>
      </c>
      <c r="L27" s="401" t="s">
        <v>167</v>
      </c>
      <c r="M27" s="456">
        <v>1.08</v>
      </c>
      <c r="N27" s="455">
        <v>5</v>
      </c>
      <c r="O27" s="455"/>
      <c r="P27" s="457"/>
      <c r="Q27" s="457"/>
      <c r="R27" s="457"/>
      <c r="S27" s="460"/>
      <c r="T27" s="503" t="s">
        <v>179</v>
      </c>
      <c r="U27" s="476"/>
      <c r="V27" s="504"/>
      <c r="W27" s="505"/>
      <c r="X27" s="599"/>
      <c r="Y27" s="505"/>
      <c r="Z27" s="505"/>
      <c r="AA27" s="505"/>
      <c r="AB27" s="600"/>
      <c r="AC27" s="600"/>
      <c r="AD27" s="476"/>
      <c r="AE27" s="476"/>
      <c r="AF27" s="476"/>
      <c r="AG27" s="476"/>
      <c r="AH27" s="476"/>
      <c r="AI27" s="476"/>
      <c r="AJ27" s="476"/>
      <c r="AK27" s="476"/>
      <c r="AL27" s="476"/>
      <c r="AM27" s="476"/>
    </row>
    <row r="28" spans="1:39" ht="11.25" customHeight="1" x14ac:dyDescent="0.25">
      <c r="A28" s="444">
        <f t="shared" ref="A28:A40" si="3">$A$8</f>
        <v>45604</v>
      </c>
      <c r="B28" s="436" t="s">
        <v>168</v>
      </c>
      <c r="C28" s="407"/>
      <c r="D28" s="408"/>
      <c r="E28" s="409"/>
      <c r="F28" s="410">
        <f t="shared" si="2"/>
        <v>0</v>
      </c>
      <c r="G28" s="411"/>
      <c r="H28" s="506" t="s">
        <v>169</v>
      </c>
      <c r="I28" s="466"/>
      <c r="J28" s="436">
        <v>400</v>
      </c>
      <c r="K28" s="438">
        <v>280</v>
      </c>
      <c r="L28" s="507">
        <v>0.7</v>
      </c>
      <c r="M28" s="508">
        <v>1.05</v>
      </c>
      <c r="N28" s="436">
        <v>5</v>
      </c>
      <c r="O28" s="436"/>
      <c r="P28" s="509"/>
      <c r="Q28" s="510"/>
      <c r="R28" s="511"/>
      <c r="S28" s="417"/>
      <c r="T28" s="442" t="s">
        <v>179</v>
      </c>
      <c r="U28" s="426"/>
      <c r="V28" s="426"/>
      <c r="W28" s="426"/>
      <c r="X28" s="594"/>
      <c r="Y28" s="426"/>
      <c r="Z28" s="426"/>
      <c r="AA28" s="426"/>
      <c r="AB28" s="595"/>
      <c r="AC28" s="595"/>
      <c r="AD28" s="595"/>
      <c r="AE28" s="595"/>
      <c r="AF28" s="595"/>
      <c r="AG28" s="595"/>
      <c r="AH28" s="595"/>
      <c r="AI28" s="595"/>
      <c r="AJ28" s="595"/>
      <c r="AK28" s="595"/>
      <c r="AL28" s="595"/>
      <c r="AM28" s="595"/>
    </row>
    <row r="29" spans="1:39" ht="11.25" customHeight="1" x14ac:dyDescent="0.25">
      <c r="A29" s="444">
        <f t="shared" si="3"/>
        <v>45604</v>
      </c>
      <c r="B29" s="436" t="s">
        <v>175</v>
      </c>
      <c r="C29" s="407"/>
      <c r="D29" s="427"/>
      <c r="E29" s="428"/>
      <c r="F29" s="410">
        <f t="shared" si="2"/>
        <v>0</v>
      </c>
      <c r="G29" s="430"/>
      <c r="H29" s="506" t="s">
        <v>169</v>
      </c>
      <c r="I29" s="466"/>
      <c r="J29" s="436">
        <v>400</v>
      </c>
      <c r="K29" s="438" t="s">
        <v>167</v>
      </c>
      <c r="L29" s="507" t="s">
        <v>167</v>
      </c>
      <c r="M29" s="508">
        <v>1.05</v>
      </c>
      <c r="N29" s="436">
        <v>5</v>
      </c>
      <c r="O29" s="436"/>
      <c r="P29" s="509"/>
      <c r="Q29" s="510"/>
      <c r="R29" s="511"/>
      <c r="S29" s="417"/>
      <c r="T29" s="442" t="s">
        <v>179</v>
      </c>
      <c r="U29" s="426"/>
      <c r="V29" s="426"/>
      <c r="W29" s="426"/>
      <c r="X29" s="594"/>
      <c r="Y29" s="426"/>
      <c r="Z29" s="426"/>
      <c r="AA29" s="426"/>
      <c r="AB29" s="595"/>
      <c r="AC29" s="595"/>
      <c r="AD29" s="595"/>
      <c r="AE29" s="595"/>
      <c r="AF29" s="595"/>
      <c r="AG29" s="595"/>
      <c r="AH29" s="595"/>
      <c r="AI29" s="595"/>
      <c r="AJ29" s="595"/>
      <c r="AK29" s="595"/>
      <c r="AL29" s="595"/>
      <c r="AM29" s="595"/>
    </row>
    <row r="30" spans="1:39" ht="11.25" customHeight="1" x14ac:dyDescent="0.25">
      <c r="A30" s="444">
        <f t="shared" si="3"/>
        <v>45604</v>
      </c>
      <c r="B30" s="414" t="s">
        <v>178</v>
      </c>
      <c r="C30" s="407"/>
      <c r="D30" s="427"/>
      <c r="E30" s="428"/>
      <c r="F30" s="410">
        <f t="shared" si="2"/>
        <v>0</v>
      </c>
      <c r="G30" s="430"/>
      <c r="H30" s="506" t="s">
        <v>169</v>
      </c>
      <c r="I30" s="466"/>
      <c r="J30" s="414">
        <v>400</v>
      </c>
      <c r="K30" s="410" t="s">
        <v>167</v>
      </c>
      <c r="L30" s="412" t="s">
        <v>167</v>
      </c>
      <c r="M30" s="508">
        <v>2.02</v>
      </c>
      <c r="N30" s="406">
        <v>4</v>
      </c>
      <c r="O30" s="512"/>
      <c r="P30" s="513"/>
      <c r="Q30" s="514"/>
      <c r="R30" s="514"/>
      <c r="S30" s="515"/>
      <c r="T30" s="442" t="s">
        <v>179</v>
      </c>
      <c r="U30" s="426"/>
      <c r="V30" s="426"/>
      <c r="W30" s="426"/>
      <c r="X30" s="594"/>
      <c r="Y30" s="426"/>
      <c r="Z30" s="426"/>
      <c r="AA30" s="426"/>
      <c r="AB30" s="595"/>
      <c r="AC30" s="595"/>
      <c r="AD30" s="595"/>
      <c r="AE30" s="595"/>
      <c r="AF30" s="595"/>
      <c r="AG30" s="595"/>
      <c r="AH30" s="595"/>
      <c r="AI30" s="595"/>
      <c r="AJ30" s="595"/>
      <c r="AK30" s="595"/>
      <c r="AL30" s="595"/>
      <c r="AM30" s="595"/>
    </row>
    <row r="31" spans="1:39" ht="11.25" customHeight="1" x14ac:dyDescent="0.25">
      <c r="A31" s="444">
        <f t="shared" si="3"/>
        <v>45604</v>
      </c>
      <c r="B31" s="437" t="s">
        <v>173</v>
      </c>
      <c r="C31" s="516" t="s">
        <v>205</v>
      </c>
      <c r="D31" s="517">
        <v>41210</v>
      </c>
      <c r="E31" s="518">
        <v>41220</v>
      </c>
      <c r="F31" s="410">
        <f t="shared" si="2"/>
        <v>10</v>
      </c>
      <c r="G31" s="519">
        <f>+(13+51+51+30)*22</f>
        <v>3190</v>
      </c>
      <c r="H31" s="520" t="s">
        <v>166</v>
      </c>
      <c r="I31" s="454"/>
      <c r="J31" s="392">
        <v>385</v>
      </c>
      <c r="K31" s="429" t="s">
        <v>167</v>
      </c>
      <c r="L31" s="521" t="s">
        <v>167</v>
      </c>
      <c r="M31" s="456"/>
      <c r="N31" s="392">
        <v>3</v>
      </c>
      <c r="O31" s="437"/>
      <c r="P31" s="458"/>
      <c r="Q31" s="522"/>
      <c r="R31" s="522"/>
      <c r="S31" s="460"/>
      <c r="T31" s="523"/>
      <c r="U31" s="524"/>
      <c r="V31" s="525"/>
      <c r="W31" s="524"/>
      <c r="X31" s="601"/>
      <c r="Y31" s="524"/>
      <c r="Z31" s="524"/>
      <c r="AA31" s="524"/>
      <c r="AB31" s="524"/>
      <c r="AC31" s="524"/>
      <c r="AD31" s="602"/>
      <c r="AE31" s="524"/>
      <c r="AF31" s="524"/>
      <c r="AG31" s="602"/>
      <c r="AH31" s="602"/>
      <c r="AI31" s="602"/>
      <c r="AJ31" s="602"/>
      <c r="AK31" s="602"/>
      <c r="AL31" s="602"/>
      <c r="AM31" s="602"/>
    </row>
    <row r="32" spans="1:39" ht="11.25" customHeight="1" x14ac:dyDescent="0.25">
      <c r="A32" s="444">
        <f t="shared" si="3"/>
        <v>45604</v>
      </c>
      <c r="B32" s="414" t="s">
        <v>174</v>
      </c>
      <c r="C32" s="407"/>
      <c r="D32" s="408"/>
      <c r="E32" s="409"/>
      <c r="F32" s="410">
        <f t="shared" si="2"/>
        <v>0</v>
      </c>
      <c r="G32" s="411"/>
      <c r="H32" s="506" t="s">
        <v>166</v>
      </c>
      <c r="I32" s="466"/>
      <c r="J32" s="436">
        <v>350</v>
      </c>
      <c r="K32" s="438">
        <v>292.60000000000002</v>
      </c>
      <c r="L32" s="507">
        <v>0.83600000000000008</v>
      </c>
      <c r="M32" s="526">
        <v>2.2000000000000002</v>
      </c>
      <c r="N32" s="436">
        <v>4</v>
      </c>
      <c r="O32" s="436"/>
      <c r="P32" s="423"/>
      <c r="Q32" s="424"/>
      <c r="R32" s="424"/>
      <c r="S32" s="425"/>
      <c r="T32" s="442" t="s">
        <v>172</v>
      </c>
      <c r="U32" s="426"/>
      <c r="V32" s="527"/>
      <c r="W32" s="426"/>
      <c r="X32" s="594"/>
      <c r="Y32" s="426"/>
      <c r="Z32" s="426"/>
      <c r="AA32" s="426"/>
      <c r="AB32" s="426"/>
      <c r="AC32" s="426"/>
      <c r="AD32" s="426"/>
      <c r="AE32" s="426"/>
      <c r="AF32" s="595"/>
      <c r="AG32" s="595"/>
      <c r="AH32" s="595"/>
      <c r="AI32" s="595"/>
      <c r="AJ32" s="595"/>
      <c r="AK32" s="595"/>
      <c r="AL32" s="595"/>
      <c r="AM32" s="595"/>
    </row>
    <row r="33" spans="1:39" ht="11.25" customHeight="1" x14ac:dyDescent="0.25">
      <c r="A33" s="444">
        <f t="shared" si="3"/>
        <v>45604</v>
      </c>
      <c r="B33" s="630" t="s">
        <v>137</v>
      </c>
      <c r="C33" s="628" t="s">
        <v>204</v>
      </c>
      <c r="D33" s="634">
        <v>6166</v>
      </c>
      <c r="E33" s="635">
        <v>6176</v>
      </c>
      <c r="F33" s="448">
        <f t="shared" si="2"/>
        <v>10</v>
      </c>
      <c r="G33" s="629">
        <f>+(76+74+71+52)*22</f>
        <v>6006</v>
      </c>
      <c r="H33" s="638" t="s">
        <v>169</v>
      </c>
      <c r="I33" s="449"/>
      <c r="J33" s="630">
        <v>385</v>
      </c>
      <c r="K33" s="628" t="s">
        <v>167</v>
      </c>
      <c r="L33" s="639" t="s">
        <v>167</v>
      </c>
      <c r="M33" s="640">
        <v>1.49</v>
      </c>
      <c r="N33" s="630">
        <v>4.5</v>
      </c>
      <c r="O33" s="630"/>
      <c r="P33" s="641"/>
      <c r="Q33" s="642"/>
      <c r="R33" s="643"/>
      <c r="S33" s="644"/>
      <c r="T33" s="503"/>
      <c r="U33" s="369"/>
      <c r="V33" s="439"/>
      <c r="W33" s="369"/>
      <c r="X33" s="592"/>
      <c r="Y33" s="369"/>
      <c r="Z33" s="360"/>
      <c r="AA33" s="360"/>
      <c r="AB33" s="360"/>
      <c r="AC33" s="360"/>
      <c r="AD33" s="369"/>
      <c r="AE33" s="360"/>
      <c r="AF33" s="360"/>
      <c r="AG33" s="360"/>
      <c r="AH33" s="360"/>
      <c r="AI33" s="360"/>
      <c r="AJ33" s="360"/>
      <c r="AK33" s="360"/>
      <c r="AL33" s="360"/>
      <c r="AM33" s="360"/>
    </row>
    <row r="34" spans="1:39" ht="11.25" customHeight="1" x14ac:dyDescent="0.25">
      <c r="A34" s="444">
        <f t="shared" si="3"/>
        <v>45604</v>
      </c>
      <c r="B34" s="437" t="s">
        <v>176</v>
      </c>
      <c r="C34" s="431"/>
      <c r="D34" s="446"/>
      <c r="E34" s="447"/>
      <c r="F34" s="448">
        <f t="shared" si="2"/>
        <v>0</v>
      </c>
      <c r="G34" s="629"/>
      <c r="H34" s="520" t="s">
        <v>166</v>
      </c>
      <c r="I34" s="520"/>
      <c r="J34" s="392">
        <v>385</v>
      </c>
      <c r="K34" s="429" t="s">
        <v>167</v>
      </c>
      <c r="L34" s="521" t="s">
        <v>167</v>
      </c>
      <c r="M34" s="456"/>
      <c r="N34" s="392"/>
      <c r="O34" s="437"/>
      <c r="P34" s="458"/>
      <c r="Q34" s="522"/>
      <c r="R34" s="522"/>
      <c r="S34" s="460"/>
      <c r="T34" s="461" t="s">
        <v>179</v>
      </c>
      <c r="U34" s="524"/>
      <c r="V34" s="529"/>
      <c r="W34" s="524"/>
      <c r="X34" s="603"/>
      <c r="Y34" s="524"/>
      <c r="Z34" s="602"/>
      <c r="AA34" s="602"/>
      <c r="AB34" s="602"/>
      <c r="AC34" s="602"/>
      <c r="AD34" s="524"/>
      <c r="AE34" s="602"/>
      <c r="AF34" s="602"/>
      <c r="AG34" s="602"/>
      <c r="AH34" s="602"/>
      <c r="AI34" s="602"/>
      <c r="AJ34" s="602"/>
      <c r="AK34" s="602"/>
      <c r="AL34" s="602"/>
      <c r="AM34" s="602"/>
    </row>
    <row r="35" spans="1:39" ht="11.25" customHeight="1" x14ac:dyDescent="0.25">
      <c r="A35" s="444">
        <f t="shared" si="3"/>
        <v>45604</v>
      </c>
      <c r="B35" s="437" t="s">
        <v>180</v>
      </c>
      <c r="C35" s="431" t="s">
        <v>206</v>
      </c>
      <c r="D35" s="446">
        <v>29838</v>
      </c>
      <c r="E35" s="447">
        <v>29848</v>
      </c>
      <c r="F35" s="448">
        <f>E35-D35</f>
        <v>10</v>
      </c>
      <c r="G35" s="629">
        <f>+(44+44+30+43+23)*22</f>
        <v>4048</v>
      </c>
      <c r="H35" s="520" t="s">
        <v>166</v>
      </c>
      <c r="I35" s="520"/>
      <c r="J35" s="392">
        <v>385</v>
      </c>
      <c r="K35" s="429" t="s">
        <v>167</v>
      </c>
      <c r="L35" s="521" t="s">
        <v>167</v>
      </c>
      <c r="M35" s="456"/>
      <c r="N35" s="392"/>
      <c r="O35" s="437"/>
      <c r="P35" s="458"/>
      <c r="Q35" s="522"/>
      <c r="R35" s="522"/>
      <c r="S35" s="460"/>
      <c r="T35" s="461" t="s">
        <v>179</v>
      </c>
      <c r="U35" s="524"/>
      <c r="V35" s="529"/>
      <c r="W35" s="524"/>
      <c r="X35" s="603"/>
      <c r="Y35" s="524"/>
      <c r="Z35" s="602"/>
      <c r="AA35" s="602"/>
      <c r="AB35" s="602"/>
      <c r="AC35" s="602"/>
      <c r="AD35" s="524"/>
      <c r="AE35" s="602"/>
      <c r="AF35" s="602"/>
      <c r="AG35" s="602"/>
      <c r="AH35" s="602"/>
      <c r="AI35" s="602"/>
      <c r="AJ35" s="602"/>
      <c r="AK35" s="602"/>
      <c r="AL35" s="602"/>
      <c r="AM35" s="602"/>
    </row>
    <row r="36" spans="1:39" s="645" customFormat="1" ht="11.25" customHeight="1" x14ac:dyDescent="0.25">
      <c r="A36" s="444">
        <f t="shared" si="3"/>
        <v>45604</v>
      </c>
      <c r="B36" s="414" t="s">
        <v>178</v>
      </c>
      <c r="C36" s="407"/>
      <c r="D36" s="427"/>
      <c r="E36" s="428"/>
      <c r="F36" s="410">
        <f t="shared" si="2"/>
        <v>0</v>
      </c>
      <c r="G36" s="466"/>
      <c r="H36" s="506" t="s">
        <v>166</v>
      </c>
      <c r="I36" s="506"/>
      <c r="J36" s="436">
        <v>385</v>
      </c>
      <c r="K36" s="438">
        <v>234.66666666666666</v>
      </c>
      <c r="L36" s="507">
        <v>0.60952380952380947</v>
      </c>
      <c r="M36" s="508"/>
      <c r="N36" s="436"/>
      <c r="O36" s="414"/>
      <c r="P36" s="415"/>
      <c r="Q36" s="416"/>
      <c r="R36" s="416"/>
      <c r="S36" s="417"/>
      <c r="T36" s="442" t="s">
        <v>179</v>
      </c>
      <c r="U36" s="418"/>
      <c r="V36" s="533"/>
      <c r="W36" s="418"/>
      <c r="X36" s="594"/>
      <c r="Y36" s="418"/>
      <c r="Z36" s="471"/>
      <c r="AA36" s="471"/>
      <c r="AB36" s="471"/>
      <c r="AC36" s="471"/>
      <c r="AD36" s="418"/>
      <c r="AE36" s="471"/>
      <c r="AF36" s="471"/>
      <c r="AG36" s="471"/>
      <c r="AH36" s="471"/>
      <c r="AI36" s="471"/>
      <c r="AJ36" s="471"/>
      <c r="AK36" s="471"/>
      <c r="AL36" s="471"/>
      <c r="AM36" s="471"/>
    </row>
    <row r="37" spans="1:39" ht="11.25" customHeight="1" x14ac:dyDescent="0.25">
      <c r="A37" s="444">
        <f t="shared" si="3"/>
        <v>45604</v>
      </c>
      <c r="B37" s="436" t="s">
        <v>171</v>
      </c>
      <c r="C37" s="407"/>
      <c r="D37" s="421"/>
      <c r="E37" s="422"/>
      <c r="F37" s="410">
        <f t="shared" si="2"/>
        <v>0</v>
      </c>
      <c r="G37" s="407"/>
      <c r="H37" s="528" t="s">
        <v>169</v>
      </c>
      <c r="I37" s="506"/>
      <c r="J37" s="436">
        <v>400</v>
      </c>
      <c r="K37" s="410">
        <v>259.60000000000002</v>
      </c>
      <c r="L37" s="412">
        <v>0.64900000000000002</v>
      </c>
      <c r="M37" s="468"/>
      <c r="N37" s="436"/>
      <c r="O37" s="436"/>
      <c r="P37" s="423"/>
      <c r="Q37" s="424"/>
      <c r="R37" s="424"/>
      <c r="S37" s="425"/>
      <c r="T37" s="442" t="s">
        <v>179</v>
      </c>
      <c r="U37" s="426"/>
      <c r="V37" s="530"/>
      <c r="W37" s="426"/>
      <c r="X37" s="594"/>
      <c r="Y37" s="426"/>
      <c r="Z37" s="426">
        <v>110</v>
      </c>
      <c r="AA37" s="426">
        <v>2</v>
      </c>
      <c r="AB37" s="595">
        <v>55</v>
      </c>
      <c r="AC37" s="595"/>
      <c r="AD37" s="595"/>
      <c r="AE37" s="595"/>
      <c r="AF37" s="595"/>
      <c r="AG37" s="595"/>
      <c r="AH37" s="595"/>
      <c r="AI37" s="595"/>
      <c r="AJ37" s="595"/>
      <c r="AK37" s="595"/>
      <c r="AL37" s="595"/>
      <c r="AM37" s="595"/>
    </row>
    <row r="38" spans="1:39" ht="11.25" customHeight="1" x14ac:dyDescent="0.25">
      <c r="A38" s="444">
        <f t="shared" si="3"/>
        <v>45604</v>
      </c>
      <c r="B38" s="414" t="s">
        <v>182</v>
      </c>
      <c r="C38" s="463"/>
      <c r="D38" s="464"/>
      <c r="E38" s="465"/>
      <c r="F38" s="410">
        <f t="shared" si="2"/>
        <v>0</v>
      </c>
      <c r="G38" s="466"/>
      <c r="H38" s="435" t="s">
        <v>169</v>
      </c>
      <c r="I38" s="467"/>
      <c r="J38" s="406">
        <v>350</v>
      </c>
      <c r="K38" s="407">
        <v>17.701149425289575</v>
      </c>
      <c r="L38" s="412">
        <v>5.0574712643684502E-2</v>
      </c>
      <c r="M38" s="508">
        <v>1.4</v>
      </c>
      <c r="N38" s="406">
        <v>3</v>
      </c>
      <c r="O38" s="406"/>
      <c r="P38" s="415"/>
      <c r="Q38" s="531"/>
      <c r="R38" s="532"/>
      <c r="S38" s="417">
        <v>0</v>
      </c>
      <c r="T38" s="442"/>
      <c r="U38" s="418"/>
      <c r="V38" s="533"/>
      <c r="W38" s="418"/>
      <c r="X38" s="593"/>
      <c r="Y38" s="418"/>
      <c r="Z38" s="418">
        <v>132</v>
      </c>
      <c r="AA38" s="418">
        <v>2.5</v>
      </c>
      <c r="AB38" s="471">
        <v>52.8</v>
      </c>
      <c r="AC38" s="471"/>
      <c r="AD38" s="471"/>
      <c r="AE38" s="471"/>
      <c r="AF38" s="471"/>
      <c r="AG38" s="471"/>
      <c r="AH38" s="471"/>
      <c r="AI38" s="471"/>
      <c r="AJ38" s="471"/>
      <c r="AK38" s="471"/>
      <c r="AL38" s="471"/>
      <c r="AM38" s="471"/>
    </row>
    <row r="39" spans="1:39" ht="11.25" customHeight="1" x14ac:dyDescent="0.25">
      <c r="A39" s="444">
        <f t="shared" si="3"/>
        <v>45604</v>
      </c>
      <c r="B39" s="633" t="s">
        <v>181</v>
      </c>
      <c r="C39" s="702" t="s">
        <v>221</v>
      </c>
      <c r="D39" s="703">
        <v>12696</v>
      </c>
      <c r="E39" s="704">
        <v>12705</v>
      </c>
      <c r="F39" s="448">
        <f t="shared" si="2"/>
        <v>9</v>
      </c>
      <c r="G39" s="449">
        <f>+(50+48+50+10)*22</f>
        <v>3476</v>
      </c>
      <c r="H39" s="638" t="s">
        <v>166</v>
      </c>
      <c r="I39" s="449"/>
      <c r="J39" s="633">
        <v>350</v>
      </c>
      <c r="K39" s="448">
        <v>194.6</v>
      </c>
      <c r="L39" s="432">
        <v>0.55599999999999994</v>
      </c>
      <c r="M39" s="640">
        <v>2.2000000000000002</v>
      </c>
      <c r="N39" s="445">
        <v>4</v>
      </c>
      <c r="O39" s="445"/>
      <c r="P39" s="705"/>
      <c r="Q39" s="706"/>
      <c r="R39" s="450"/>
      <c r="S39" s="452"/>
      <c r="T39" s="503" t="s">
        <v>179</v>
      </c>
      <c r="U39" s="434"/>
      <c r="V39" s="707"/>
      <c r="W39" s="434"/>
      <c r="X39" s="596"/>
      <c r="Y39" s="434"/>
      <c r="Z39" s="434">
        <v>132</v>
      </c>
      <c r="AA39" s="434">
        <v>2.5</v>
      </c>
      <c r="AB39" s="360">
        <v>52.8</v>
      </c>
      <c r="AC39" s="476"/>
      <c r="AD39" s="476"/>
      <c r="AE39" s="476"/>
      <c r="AF39" s="476"/>
      <c r="AG39" s="476"/>
      <c r="AH39" s="476"/>
      <c r="AI39" s="476"/>
      <c r="AJ39" s="476"/>
      <c r="AK39" s="476"/>
      <c r="AL39" s="476"/>
      <c r="AM39" s="476"/>
    </row>
    <row r="40" spans="1:39" ht="10.5" customHeight="1" thickBot="1" x14ac:dyDescent="0.3">
      <c r="A40" s="444">
        <f t="shared" si="3"/>
        <v>45604</v>
      </c>
      <c r="B40" s="534" t="s">
        <v>184</v>
      </c>
      <c r="C40" s="393" t="s">
        <v>203</v>
      </c>
      <c r="D40" s="394">
        <v>15072</v>
      </c>
      <c r="E40" s="395">
        <v>15082</v>
      </c>
      <c r="F40" s="448">
        <f t="shared" si="2"/>
        <v>10</v>
      </c>
      <c r="G40" s="535">
        <f>+(40+45+46+43+20)*22</f>
        <v>4268</v>
      </c>
      <c r="H40" s="398" t="s">
        <v>166</v>
      </c>
      <c r="I40" s="536"/>
      <c r="J40" s="473">
        <v>500</v>
      </c>
      <c r="K40" s="400" t="s">
        <v>167</v>
      </c>
      <c r="L40" s="401" t="s">
        <v>167</v>
      </c>
      <c r="M40" s="456">
        <v>1.2</v>
      </c>
      <c r="N40" s="455">
        <v>4</v>
      </c>
      <c r="O40" s="455"/>
      <c r="P40" s="458"/>
      <c r="Q40" s="458"/>
      <c r="R40" s="475"/>
      <c r="S40" s="460">
        <v>0</v>
      </c>
      <c r="T40" s="523"/>
      <c r="U40" s="537"/>
      <c r="V40" s="537"/>
      <c r="W40" s="537"/>
      <c r="X40" s="605"/>
      <c r="Y40" s="537"/>
      <c r="Z40" s="537">
        <v>154</v>
      </c>
      <c r="AA40" s="537">
        <v>3</v>
      </c>
      <c r="AB40" s="604">
        <v>51.333333333333336</v>
      </c>
      <c r="AC40" s="604"/>
      <c r="AD40" s="604"/>
      <c r="AE40" s="604"/>
      <c r="AF40" s="604"/>
      <c r="AG40" s="604"/>
      <c r="AH40" s="604"/>
      <c r="AI40" s="604"/>
      <c r="AJ40" s="604"/>
      <c r="AK40" s="604"/>
      <c r="AL40" s="604"/>
      <c r="AM40" s="604"/>
    </row>
    <row r="41" spans="1:39" ht="15.75" thickBot="1" x14ac:dyDescent="0.3">
      <c r="A41" s="477"/>
      <c r="B41" s="478" t="s">
        <v>126</v>
      </c>
      <c r="C41" s="479"/>
      <c r="D41" s="479"/>
      <c r="E41" s="479"/>
      <c r="F41" s="480">
        <f>SUM(F27:F40)</f>
        <v>49</v>
      </c>
      <c r="G41" s="480">
        <f>SUM(G27:G40)</f>
        <v>20988</v>
      </c>
      <c r="H41" s="481"/>
      <c r="I41" s="481"/>
      <c r="J41" s="482"/>
      <c r="K41" s="483"/>
      <c r="L41" s="484"/>
      <c r="M41" s="485"/>
      <c r="N41" s="486"/>
      <c r="O41" s="487"/>
      <c r="P41" s="487"/>
      <c r="Q41" s="487"/>
      <c r="R41" s="487" t="s">
        <v>36</v>
      </c>
      <c r="S41" s="488">
        <v>0</v>
      </c>
      <c r="T41" s="489"/>
      <c r="U41" s="490"/>
      <c r="V41" s="369"/>
      <c r="W41" s="369"/>
      <c r="X41" s="592"/>
      <c r="Y41" s="369"/>
      <c r="Z41" s="369">
        <v>0</v>
      </c>
      <c r="AA41" s="360" t="e">
        <v>#DIV/0!</v>
      </c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</row>
    <row r="42" spans="1:39" x14ac:dyDescent="0.25">
      <c r="A42" s="360"/>
      <c r="B42" s="360"/>
      <c r="C42" s="360"/>
      <c r="D42" s="362"/>
      <c r="E42" s="538"/>
      <c r="F42" s="369"/>
      <c r="G42" s="369"/>
      <c r="H42" s="493"/>
      <c r="I42" s="362"/>
      <c r="J42" s="360"/>
      <c r="K42" s="365"/>
      <c r="L42" s="360"/>
      <c r="M42" s="362"/>
      <c r="N42" s="360"/>
      <c r="O42" s="360"/>
      <c r="P42" s="360"/>
      <c r="Q42" s="360"/>
      <c r="R42" s="360"/>
      <c r="S42" s="360"/>
      <c r="T42" s="497"/>
      <c r="U42" s="497"/>
      <c r="V42" s="539"/>
      <c r="W42" s="540"/>
      <c r="X42" s="606"/>
      <c r="Y42" s="60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</row>
    <row r="43" spans="1:39" x14ac:dyDescent="0.25">
      <c r="A43" s="541" t="s">
        <v>187</v>
      </c>
      <c r="B43" s="360"/>
      <c r="C43" s="542"/>
      <c r="D43" s="362"/>
      <c r="E43" s="361"/>
      <c r="F43" s="360"/>
      <c r="G43" s="362"/>
      <c r="H43" s="362"/>
      <c r="I43" s="362"/>
      <c r="J43" s="360"/>
      <c r="K43" s="360"/>
      <c r="L43" s="360"/>
      <c r="M43" s="362"/>
      <c r="N43" s="360"/>
      <c r="O43" s="360"/>
      <c r="P43" s="360"/>
      <c r="Q43" s="360"/>
      <c r="R43" s="360"/>
      <c r="S43" s="360"/>
      <c r="T43" s="497"/>
      <c r="U43" s="360"/>
      <c r="V43" s="543"/>
      <c r="W43" s="544"/>
      <c r="X43" s="598"/>
      <c r="Y43" s="369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</row>
    <row r="44" spans="1:39" x14ac:dyDescent="0.25">
      <c r="A44" s="804" t="s">
        <v>148</v>
      </c>
      <c r="B44" s="804" t="s">
        <v>188</v>
      </c>
      <c r="C44" s="804" t="s">
        <v>1</v>
      </c>
      <c r="D44" s="806" t="s">
        <v>149</v>
      </c>
      <c r="E44" s="802" t="s">
        <v>150</v>
      </c>
      <c r="F44" s="802" t="s">
        <v>151</v>
      </c>
      <c r="G44" s="802" t="s">
        <v>152</v>
      </c>
      <c r="H44" s="812" t="s">
        <v>153</v>
      </c>
      <c r="I44" s="814" t="s">
        <v>154</v>
      </c>
      <c r="J44" s="815"/>
      <c r="K44" s="816" t="s">
        <v>155</v>
      </c>
      <c r="L44" s="817"/>
      <c r="M44" s="818"/>
      <c r="N44" s="812" t="s">
        <v>156</v>
      </c>
      <c r="O44" s="804" t="s">
        <v>157</v>
      </c>
      <c r="P44" s="838" t="s">
        <v>162</v>
      </c>
      <c r="Q44" s="839"/>
      <c r="R44" s="839"/>
      <c r="S44" s="840"/>
      <c r="T44" s="360"/>
      <c r="U44" s="360"/>
      <c r="V44" s="543"/>
      <c r="W44" s="544"/>
      <c r="X44" s="598"/>
      <c r="Y44" s="369"/>
      <c r="Z44" s="360"/>
      <c r="AA44" s="360"/>
      <c r="AB44" s="360"/>
      <c r="AC44" s="360"/>
      <c r="AD44" s="360"/>
      <c r="AE44" s="360"/>
      <c r="AF44" s="360"/>
      <c r="AG44" s="360"/>
      <c r="AH44" s="360"/>
      <c r="AI44" s="360"/>
      <c r="AJ44" s="360"/>
      <c r="AK44" s="360"/>
      <c r="AL44" s="360"/>
      <c r="AM44" s="360"/>
    </row>
    <row r="45" spans="1:39" x14ac:dyDescent="0.25">
      <c r="A45" s="811"/>
      <c r="B45" s="811"/>
      <c r="C45" s="811"/>
      <c r="D45" s="821"/>
      <c r="E45" s="822"/>
      <c r="F45" s="822"/>
      <c r="G45" s="822"/>
      <c r="H45" s="824"/>
      <c r="I45" s="545" t="s">
        <v>163</v>
      </c>
      <c r="J45" s="545" t="s">
        <v>189</v>
      </c>
      <c r="K45" s="546" t="s">
        <v>8</v>
      </c>
      <c r="L45" s="547" t="s">
        <v>9</v>
      </c>
      <c r="M45" s="548" t="s">
        <v>105</v>
      </c>
      <c r="N45" s="824"/>
      <c r="O45" s="811"/>
      <c r="P45" s="841"/>
      <c r="Q45" s="842"/>
      <c r="R45" s="842"/>
      <c r="S45" s="843"/>
      <c r="T45" s="360"/>
      <c r="U45" s="360"/>
      <c r="V45" s="369"/>
      <c r="W45" s="500"/>
      <c r="X45" s="598"/>
      <c r="Y45" s="369"/>
      <c r="Z45" s="369"/>
      <c r="AA45" s="360"/>
      <c r="AB45" s="360"/>
      <c r="AC45" s="360"/>
      <c r="AD45" s="360"/>
      <c r="AE45" s="360"/>
      <c r="AF45" s="360"/>
      <c r="AG45" s="360"/>
      <c r="AH45" s="360"/>
      <c r="AI45" s="360"/>
      <c r="AJ45" s="360"/>
      <c r="AK45" s="360"/>
      <c r="AL45" s="360"/>
      <c r="AM45" s="360"/>
    </row>
    <row r="46" spans="1:39" x14ac:dyDescent="0.25">
      <c r="A46" s="864" t="e">
        <v>#REF!</v>
      </c>
      <c r="B46" s="848" t="s">
        <v>190</v>
      </c>
      <c r="C46" s="549"/>
      <c r="D46" s="550"/>
      <c r="E46" s="551"/>
      <c r="F46" s="551"/>
      <c r="G46" s="552"/>
      <c r="H46" s="553"/>
      <c r="I46" s="554" t="s">
        <v>169</v>
      </c>
      <c r="J46" s="553"/>
      <c r="K46" s="826">
        <v>200</v>
      </c>
      <c r="L46" s="851" t="e">
        <v>#DIV/0!</v>
      </c>
      <c r="M46" s="854" t="s">
        <v>167</v>
      </c>
      <c r="N46" s="861"/>
      <c r="O46" s="826"/>
      <c r="P46" s="829"/>
      <c r="Q46" s="830"/>
      <c r="R46" s="830"/>
      <c r="S46" s="831"/>
      <c r="T46" s="360"/>
      <c r="U46" s="360"/>
      <c r="V46" s="369"/>
      <c r="W46" s="500"/>
      <c r="X46" s="598"/>
      <c r="Y46" s="369"/>
      <c r="Z46" s="369"/>
      <c r="AA46" s="360"/>
      <c r="AB46" s="360"/>
      <c r="AC46" s="360"/>
      <c r="AD46" s="360"/>
      <c r="AE46" s="360"/>
      <c r="AF46" s="360"/>
      <c r="AG46" s="360"/>
      <c r="AH46" s="360"/>
      <c r="AI46" s="360"/>
      <c r="AJ46" s="360"/>
      <c r="AK46" s="360"/>
      <c r="AL46" s="360"/>
      <c r="AM46" s="360"/>
    </row>
    <row r="47" spans="1:39" x14ac:dyDescent="0.25">
      <c r="A47" s="865"/>
      <c r="B47" s="849"/>
      <c r="C47" s="555" t="s">
        <v>191</v>
      </c>
      <c r="D47" s="556"/>
      <c r="E47" s="557"/>
      <c r="F47" s="557"/>
      <c r="G47" s="558">
        <v>0</v>
      </c>
      <c r="H47" s="557"/>
      <c r="I47" s="554" t="s">
        <v>169</v>
      </c>
      <c r="J47" s="553"/>
      <c r="K47" s="827"/>
      <c r="L47" s="852"/>
      <c r="M47" s="855"/>
      <c r="N47" s="862"/>
      <c r="O47" s="827"/>
      <c r="P47" s="832"/>
      <c r="Q47" s="833"/>
      <c r="R47" s="833"/>
      <c r="S47" s="834"/>
      <c r="T47" s="360"/>
      <c r="U47" s="360"/>
      <c r="V47" s="369"/>
      <c r="W47" s="500"/>
      <c r="X47" s="598"/>
      <c r="Y47" s="369"/>
      <c r="Z47" s="369"/>
      <c r="AA47" s="360"/>
      <c r="AB47" s="360"/>
      <c r="AC47" s="360"/>
      <c r="AD47" s="360"/>
      <c r="AE47" s="360"/>
      <c r="AF47" s="360"/>
      <c r="AG47" s="360"/>
      <c r="AH47" s="360"/>
      <c r="AI47" s="360"/>
      <c r="AJ47" s="360"/>
      <c r="AK47" s="360"/>
      <c r="AL47" s="360"/>
      <c r="AM47" s="360"/>
    </row>
    <row r="48" spans="1:39" x14ac:dyDescent="0.25">
      <c r="A48" s="865"/>
      <c r="B48" s="849"/>
      <c r="C48" s="555" t="s">
        <v>192</v>
      </c>
      <c r="D48" s="556"/>
      <c r="E48" s="557"/>
      <c r="F48" s="557"/>
      <c r="G48" s="558">
        <v>0</v>
      </c>
      <c r="H48" s="557"/>
      <c r="I48" s="554" t="s">
        <v>166</v>
      </c>
      <c r="J48" s="553"/>
      <c r="K48" s="827"/>
      <c r="L48" s="852"/>
      <c r="M48" s="855"/>
      <c r="N48" s="862"/>
      <c r="O48" s="827"/>
      <c r="P48" s="832"/>
      <c r="Q48" s="833"/>
      <c r="R48" s="833"/>
      <c r="S48" s="834"/>
      <c r="T48" s="360"/>
      <c r="U48" s="360"/>
      <c r="V48" s="369"/>
      <c r="W48" s="500"/>
      <c r="X48" s="598"/>
      <c r="Y48" s="369"/>
      <c r="Z48" s="369"/>
      <c r="AA48" s="360"/>
      <c r="AB48" s="360"/>
      <c r="AC48" s="360"/>
      <c r="AD48" s="360"/>
      <c r="AE48" s="360"/>
      <c r="AF48" s="360"/>
      <c r="AG48" s="360"/>
      <c r="AH48" s="360"/>
      <c r="AI48" s="360"/>
      <c r="AJ48" s="360"/>
      <c r="AK48" s="360"/>
      <c r="AL48" s="360"/>
      <c r="AM48" s="360"/>
    </row>
    <row r="49" spans="1:39" x14ac:dyDescent="0.25">
      <c r="A49" s="865"/>
      <c r="B49" s="849"/>
      <c r="C49" s="555" t="s">
        <v>193</v>
      </c>
      <c r="D49" s="556"/>
      <c r="E49" s="557"/>
      <c r="F49" s="557"/>
      <c r="G49" s="558">
        <v>0</v>
      </c>
      <c r="H49" s="557"/>
      <c r="I49" s="554" t="s">
        <v>169</v>
      </c>
      <c r="J49" s="553"/>
      <c r="K49" s="827"/>
      <c r="L49" s="852"/>
      <c r="M49" s="855"/>
      <c r="N49" s="862"/>
      <c r="O49" s="827"/>
      <c r="P49" s="832"/>
      <c r="Q49" s="833"/>
      <c r="R49" s="833"/>
      <c r="S49" s="834"/>
      <c r="T49" s="360"/>
      <c r="U49" s="360"/>
      <c r="V49" s="369"/>
      <c r="W49" s="500"/>
      <c r="X49" s="598"/>
      <c r="Y49" s="369"/>
      <c r="Z49" s="369"/>
      <c r="AA49" s="360"/>
      <c r="AB49" s="360"/>
      <c r="AC49" s="360"/>
      <c r="AD49" s="360"/>
      <c r="AE49" s="360"/>
      <c r="AF49" s="360"/>
      <c r="AG49" s="360"/>
      <c r="AH49" s="360"/>
      <c r="AI49" s="360"/>
      <c r="AJ49" s="360"/>
      <c r="AK49" s="360"/>
      <c r="AL49" s="360"/>
      <c r="AM49" s="360"/>
    </row>
    <row r="50" spans="1:39" x14ac:dyDescent="0.25">
      <c r="A50" s="865"/>
      <c r="B50" s="850"/>
      <c r="C50" s="555" t="s">
        <v>194</v>
      </c>
      <c r="D50" s="556"/>
      <c r="E50" s="557"/>
      <c r="F50" s="557"/>
      <c r="G50" s="558">
        <v>0</v>
      </c>
      <c r="H50" s="557"/>
      <c r="I50" s="554" t="s">
        <v>169</v>
      </c>
      <c r="J50" s="553"/>
      <c r="K50" s="844"/>
      <c r="L50" s="853"/>
      <c r="M50" s="856"/>
      <c r="N50" s="867"/>
      <c r="O50" s="844"/>
      <c r="P50" s="845"/>
      <c r="Q50" s="846"/>
      <c r="R50" s="846"/>
      <c r="S50" s="847"/>
      <c r="T50" s="360"/>
      <c r="U50" s="360"/>
      <c r="V50" s="369"/>
      <c r="W50" s="500"/>
      <c r="X50" s="598"/>
      <c r="Y50" s="369"/>
      <c r="Z50" s="369"/>
      <c r="AA50" s="360"/>
      <c r="AB50" s="360"/>
      <c r="AC50" s="360"/>
      <c r="AD50" s="360"/>
      <c r="AE50" s="360"/>
      <c r="AF50" s="360"/>
      <c r="AG50" s="360"/>
      <c r="AH50" s="360"/>
      <c r="AI50" s="360"/>
      <c r="AJ50" s="360"/>
      <c r="AK50" s="360"/>
      <c r="AL50" s="360"/>
      <c r="AM50" s="360"/>
    </row>
    <row r="51" spans="1:39" x14ac:dyDescent="0.25">
      <c r="A51" s="865"/>
      <c r="B51" s="868" t="s">
        <v>195</v>
      </c>
      <c r="C51" s="559"/>
      <c r="D51" s="550"/>
      <c r="E51" s="557"/>
      <c r="F51" s="557"/>
      <c r="G51" s="558"/>
      <c r="H51" s="557"/>
      <c r="I51" s="554" t="s">
        <v>169</v>
      </c>
      <c r="J51" s="553"/>
      <c r="K51" s="826">
        <v>200</v>
      </c>
      <c r="L51" s="851" t="e">
        <v>#DIV/0!</v>
      </c>
      <c r="M51" s="854" t="s">
        <v>167</v>
      </c>
      <c r="N51" s="861"/>
      <c r="O51" s="826"/>
      <c r="P51" s="829"/>
      <c r="Q51" s="830"/>
      <c r="R51" s="830"/>
      <c r="S51" s="831"/>
      <c r="T51" s="360"/>
      <c r="U51" s="360"/>
      <c r="V51" s="360"/>
      <c r="W51" s="500"/>
      <c r="X51" s="598"/>
      <c r="Y51" s="360"/>
      <c r="Z51" s="360"/>
      <c r="AA51" s="369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</row>
    <row r="52" spans="1:39" x14ac:dyDescent="0.25">
      <c r="A52" s="865"/>
      <c r="B52" s="869"/>
      <c r="C52" s="555" t="s">
        <v>192</v>
      </c>
      <c r="D52" s="556"/>
      <c r="E52" s="557"/>
      <c r="F52" s="557"/>
      <c r="G52" s="560">
        <v>0</v>
      </c>
      <c r="H52" s="557"/>
      <c r="I52" s="554" t="s">
        <v>166</v>
      </c>
      <c r="J52" s="553"/>
      <c r="K52" s="827"/>
      <c r="L52" s="852"/>
      <c r="M52" s="855"/>
      <c r="N52" s="862"/>
      <c r="O52" s="827"/>
      <c r="P52" s="832"/>
      <c r="Q52" s="833"/>
      <c r="R52" s="833"/>
      <c r="S52" s="834"/>
      <c r="T52" s="360"/>
      <c r="U52" s="360"/>
      <c r="V52" s="360"/>
      <c r="W52" s="500"/>
      <c r="X52" s="598"/>
      <c r="Y52" s="360"/>
      <c r="Z52" s="360"/>
      <c r="AA52" s="369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</row>
    <row r="53" spans="1:39" x14ac:dyDescent="0.25">
      <c r="A53" s="865"/>
      <c r="B53" s="869"/>
      <c r="C53" s="555" t="s">
        <v>191</v>
      </c>
      <c r="D53" s="556"/>
      <c r="E53" s="557"/>
      <c r="F53" s="557"/>
      <c r="G53" s="560">
        <v>0</v>
      </c>
      <c r="H53" s="557"/>
      <c r="I53" s="554" t="s">
        <v>169</v>
      </c>
      <c r="J53" s="553"/>
      <c r="K53" s="827"/>
      <c r="L53" s="852"/>
      <c r="M53" s="855"/>
      <c r="N53" s="862"/>
      <c r="O53" s="827"/>
      <c r="P53" s="832"/>
      <c r="Q53" s="833"/>
      <c r="R53" s="833"/>
      <c r="S53" s="834"/>
      <c r="T53" s="360"/>
      <c r="U53" s="360"/>
      <c r="V53" s="360"/>
      <c r="W53" s="500"/>
      <c r="X53" s="598"/>
      <c r="Y53" s="360"/>
      <c r="Z53" s="360"/>
      <c r="AA53" s="369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</row>
    <row r="54" spans="1:39" x14ac:dyDescent="0.25">
      <c r="A54" s="865"/>
      <c r="B54" s="869"/>
      <c r="C54" s="555" t="s">
        <v>193</v>
      </c>
      <c r="D54" s="556"/>
      <c r="E54" s="557"/>
      <c r="F54" s="557"/>
      <c r="G54" s="560">
        <v>0</v>
      </c>
      <c r="H54" s="557"/>
      <c r="I54" s="554" t="s">
        <v>169</v>
      </c>
      <c r="J54" s="561"/>
      <c r="K54" s="827"/>
      <c r="L54" s="852"/>
      <c r="M54" s="855"/>
      <c r="N54" s="862"/>
      <c r="O54" s="827"/>
      <c r="P54" s="832"/>
      <c r="Q54" s="833"/>
      <c r="R54" s="833"/>
      <c r="S54" s="834"/>
      <c r="T54" s="360"/>
      <c r="U54" s="360"/>
      <c r="V54" s="360"/>
      <c r="W54" s="500"/>
      <c r="X54" s="598"/>
      <c r="Y54" s="360"/>
      <c r="Z54" s="360"/>
      <c r="AA54" s="369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</row>
    <row r="55" spans="1:39" ht="15.75" thickBot="1" x14ac:dyDescent="0.3">
      <c r="A55" s="866"/>
      <c r="B55" s="870"/>
      <c r="C55" s="555" t="s">
        <v>194</v>
      </c>
      <c r="D55" s="556"/>
      <c r="E55" s="557"/>
      <c r="F55" s="557"/>
      <c r="G55" s="560">
        <v>0</v>
      </c>
      <c r="H55" s="557"/>
      <c r="I55" s="554" t="s">
        <v>169</v>
      </c>
      <c r="J55" s="561"/>
      <c r="K55" s="828"/>
      <c r="L55" s="859"/>
      <c r="M55" s="860"/>
      <c r="N55" s="863"/>
      <c r="O55" s="828"/>
      <c r="P55" s="835"/>
      <c r="Q55" s="836"/>
      <c r="R55" s="836"/>
      <c r="S55" s="837"/>
      <c r="T55" s="360"/>
      <c r="U55" s="360"/>
      <c r="V55" s="360"/>
      <c r="W55" s="500"/>
      <c r="X55" s="598"/>
      <c r="Y55" s="360"/>
      <c r="Z55" s="360"/>
      <c r="AA55" s="369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</row>
    <row r="56" spans="1:39" ht="15.75" thickBot="1" x14ac:dyDescent="0.3">
      <c r="A56" s="857" t="s">
        <v>97</v>
      </c>
      <c r="B56" s="858"/>
      <c r="C56" s="477"/>
      <c r="D56" s="562"/>
      <c r="E56" s="563"/>
      <c r="F56" s="564"/>
      <c r="G56" s="565">
        <v>0</v>
      </c>
      <c r="H56" s="480">
        <v>0</v>
      </c>
      <c r="I56" s="566"/>
      <c r="J56" s="566" t="s">
        <v>36</v>
      </c>
      <c r="K56" s="567"/>
      <c r="L56" s="568"/>
      <c r="M56" s="562"/>
      <c r="N56" s="566"/>
      <c r="O56" s="562"/>
      <c r="P56" s="562"/>
      <c r="Q56" s="562"/>
      <c r="R56" s="562"/>
      <c r="S56" s="569"/>
      <c r="T56" s="497"/>
      <c r="U56" s="497"/>
      <c r="V56" s="497"/>
      <c r="W56" s="570"/>
      <c r="X56" s="606"/>
      <c r="Y56" s="497"/>
      <c r="Z56" s="497"/>
      <c r="AA56" s="497"/>
      <c r="AB56" s="497"/>
      <c r="AC56" s="497"/>
      <c r="AD56" s="497"/>
      <c r="AE56" s="497"/>
      <c r="AF56" s="497"/>
      <c r="AG56" s="497"/>
      <c r="AH56" s="497"/>
      <c r="AI56" s="497"/>
      <c r="AJ56" s="497"/>
      <c r="AK56" s="497"/>
      <c r="AL56" s="497"/>
      <c r="AM56" s="497"/>
    </row>
    <row r="57" spans="1:39" x14ac:dyDescent="0.25">
      <c r="A57" s="360"/>
      <c r="B57" s="360"/>
      <c r="C57" s="360"/>
      <c r="D57" s="497"/>
      <c r="E57" s="361"/>
      <c r="F57" s="369"/>
      <c r="G57" s="362"/>
      <c r="H57" s="362"/>
      <c r="I57" s="362"/>
      <c r="J57" s="361"/>
      <c r="K57" s="365"/>
      <c r="L57" s="360"/>
      <c r="M57" s="362"/>
      <c r="N57" s="360"/>
      <c r="O57" s="360"/>
      <c r="P57" s="360"/>
      <c r="Q57" s="360"/>
      <c r="R57" s="360"/>
      <c r="S57" s="360"/>
      <c r="T57" s="571">
        <v>107000</v>
      </c>
      <c r="U57" s="497"/>
      <c r="V57" s="497"/>
      <c r="W57" s="570"/>
      <c r="X57" s="606"/>
      <c r="Y57" s="497"/>
      <c r="Z57" s="497"/>
      <c r="AA57" s="497"/>
      <c r="AB57" s="497"/>
      <c r="AC57" s="497"/>
      <c r="AD57" s="497"/>
      <c r="AE57" s="497"/>
      <c r="AF57" s="497"/>
      <c r="AG57" s="497"/>
      <c r="AH57" s="497"/>
      <c r="AI57" s="497"/>
      <c r="AJ57" s="497"/>
      <c r="AK57" s="497"/>
      <c r="AL57" s="497"/>
      <c r="AM57" s="497"/>
    </row>
    <row r="58" spans="1:39" x14ac:dyDescent="0.25">
      <c r="A58" s="360"/>
      <c r="B58" s="360"/>
      <c r="C58" s="360"/>
      <c r="D58" s="361"/>
      <c r="E58" s="361"/>
      <c r="F58" s="369"/>
      <c r="G58" s="362"/>
      <c r="H58" s="362"/>
      <c r="I58" s="362"/>
      <c r="J58" s="362"/>
      <c r="K58" s="365"/>
      <c r="L58" s="360"/>
      <c r="M58" s="362"/>
      <c r="N58" s="360"/>
      <c r="O58" s="360"/>
      <c r="P58" s="360"/>
      <c r="Q58" s="360"/>
      <c r="R58" s="360"/>
      <c r="S58" s="360"/>
      <c r="T58" s="497">
        <v>360250</v>
      </c>
      <c r="U58" s="497"/>
      <c r="V58" s="497"/>
      <c r="W58" s="570"/>
      <c r="X58" s="606"/>
      <c r="Y58" s="497"/>
      <c r="Z58" s="497"/>
      <c r="AA58" s="497"/>
      <c r="AB58" s="497"/>
      <c r="AC58" s="497"/>
      <c r="AD58" s="497"/>
      <c r="AE58" s="497"/>
      <c r="AF58" s="497"/>
      <c r="AG58" s="497"/>
      <c r="AH58" s="497"/>
      <c r="AI58" s="497"/>
      <c r="AJ58" s="497"/>
      <c r="AK58" s="497"/>
      <c r="AL58" s="497"/>
      <c r="AM58" s="497"/>
    </row>
    <row r="59" spans="1:39" x14ac:dyDescent="0.25">
      <c r="A59" s="360"/>
      <c r="B59" s="360"/>
      <c r="C59" s="572"/>
      <c r="D59" s="572"/>
      <c r="E59" s="360"/>
      <c r="F59" s="497"/>
      <c r="G59" s="497"/>
      <c r="H59" s="362"/>
      <c r="I59" s="573"/>
      <c r="J59" s="573"/>
      <c r="K59" s="574"/>
      <c r="L59" s="360"/>
      <c r="M59" s="362"/>
      <c r="N59" s="360"/>
      <c r="O59" s="360"/>
      <c r="P59" s="360"/>
      <c r="Q59" s="360"/>
      <c r="R59" s="360"/>
      <c r="S59" s="360"/>
      <c r="T59" s="575">
        <v>10087000</v>
      </c>
      <c r="U59" s="497"/>
      <c r="V59" s="497"/>
      <c r="W59" s="570"/>
      <c r="X59" s="606"/>
      <c r="Y59" s="497"/>
      <c r="Z59" s="497"/>
      <c r="AA59" s="497"/>
      <c r="AB59" s="497"/>
      <c r="AC59" s="497"/>
      <c r="AD59" s="497"/>
      <c r="AE59" s="497"/>
      <c r="AF59" s="497"/>
      <c r="AG59" s="497"/>
      <c r="AH59" s="497"/>
      <c r="AI59" s="497"/>
      <c r="AJ59" s="497"/>
      <c r="AK59" s="497"/>
      <c r="AL59" s="497"/>
      <c r="AM59" s="497"/>
    </row>
    <row r="60" spans="1:39" x14ac:dyDescent="0.25">
      <c r="A60" s="360"/>
      <c r="B60" s="537"/>
      <c r="C60" s="576"/>
      <c r="D60" s="577"/>
      <c r="E60" s="578"/>
      <c r="F60" s="579"/>
      <c r="G60" s="580"/>
      <c r="H60" s="581"/>
      <c r="I60" s="582"/>
      <c r="J60" s="583"/>
      <c r="K60" s="584"/>
      <c r="L60" s="585"/>
      <c r="M60" s="362"/>
      <c r="N60" s="360"/>
      <c r="O60" s="360"/>
      <c r="P60" s="360"/>
      <c r="Q60" s="360"/>
      <c r="R60" s="360"/>
      <c r="S60" s="360"/>
      <c r="T60" s="497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360"/>
    </row>
    <row r="61" spans="1:39" x14ac:dyDescent="0.25">
      <c r="A61" s="360"/>
      <c r="B61" s="537"/>
      <c r="C61" s="576"/>
      <c r="D61" s="580"/>
      <c r="E61" s="578"/>
      <c r="F61" s="579"/>
      <c r="G61" s="580"/>
      <c r="H61" s="581"/>
      <c r="I61" s="586"/>
      <c r="J61" s="583"/>
      <c r="K61" s="584"/>
      <c r="L61" s="585"/>
      <c r="M61" s="362"/>
      <c r="N61" s="360"/>
      <c r="O61" s="360"/>
      <c r="P61" s="360"/>
      <c r="Q61" s="360"/>
      <c r="R61" s="360"/>
      <c r="S61" s="360"/>
      <c r="T61" s="497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/>
      <c r="AH61" s="360"/>
      <c r="AI61" s="360"/>
      <c r="AJ61" s="360"/>
      <c r="AK61" s="360"/>
      <c r="AL61" s="360"/>
      <c r="AM61" s="360"/>
    </row>
    <row r="62" spans="1:39" x14ac:dyDescent="0.25">
      <c r="A62" s="360"/>
      <c r="B62" s="537"/>
      <c r="C62" s="576"/>
      <c r="D62" s="587"/>
      <c r="E62" s="578"/>
      <c r="F62" s="579"/>
      <c r="G62" s="580"/>
      <c r="H62" s="581"/>
      <c r="I62" s="588"/>
      <c r="J62" s="583"/>
      <c r="K62" s="584"/>
      <c r="L62" s="585"/>
      <c r="M62" s="573"/>
      <c r="N62" s="360"/>
      <c r="O62" s="360"/>
      <c r="P62" s="360"/>
      <c r="Q62" s="360"/>
      <c r="R62" s="360"/>
      <c r="S62" s="360"/>
      <c r="T62" s="497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0"/>
      <c r="AG62" s="360"/>
      <c r="AH62" s="360"/>
      <c r="AI62" s="360"/>
      <c r="AJ62" s="360"/>
      <c r="AK62" s="360"/>
      <c r="AL62" s="360"/>
      <c r="AM62" s="360"/>
    </row>
    <row r="63" spans="1:39" x14ac:dyDescent="0.25">
      <c r="A63" s="360"/>
      <c r="B63" s="537"/>
      <c r="C63" s="576"/>
      <c r="D63" s="587"/>
      <c r="E63" s="578"/>
      <c r="F63" s="579"/>
      <c r="G63" s="580"/>
      <c r="H63" s="581"/>
      <c r="I63" s="588"/>
      <c r="J63" s="583"/>
      <c r="K63" s="584"/>
      <c r="L63" s="585"/>
      <c r="M63" s="362"/>
      <c r="N63" s="360"/>
      <c r="O63" s="360"/>
      <c r="P63" s="360"/>
      <c r="Q63" s="360"/>
      <c r="R63" s="360"/>
      <c r="S63" s="360"/>
      <c r="T63" s="497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/>
      <c r="AH63" s="360"/>
      <c r="AI63" s="360"/>
      <c r="AJ63" s="360"/>
      <c r="AK63" s="360"/>
      <c r="AL63" s="360"/>
      <c r="AM63" s="360"/>
    </row>
    <row r="64" spans="1:39" x14ac:dyDescent="0.25">
      <c r="A64" s="360"/>
      <c r="B64" s="537"/>
      <c r="C64" s="576"/>
      <c r="D64" s="587"/>
      <c r="E64" s="578"/>
      <c r="F64" s="579"/>
      <c r="G64" s="580"/>
      <c r="H64" s="362"/>
      <c r="I64" s="588"/>
      <c r="J64" s="583"/>
      <c r="K64" s="584"/>
      <c r="L64" s="585"/>
      <c r="M64" s="573"/>
      <c r="N64" s="360"/>
      <c r="O64" s="360"/>
      <c r="P64" s="360"/>
      <c r="Q64" s="360"/>
      <c r="R64" s="360"/>
      <c r="S64" s="360"/>
      <c r="T64" s="497"/>
      <c r="U64" s="360"/>
      <c r="V64" s="360"/>
      <c r="W64" s="360"/>
      <c r="X64" s="360"/>
      <c r="Y64" s="360"/>
      <c r="Z64" s="360"/>
      <c r="AA64" s="360"/>
      <c r="AB64" s="360"/>
      <c r="AC64" s="360"/>
      <c r="AD64" s="360"/>
      <c r="AE64" s="360"/>
      <c r="AF64" s="360"/>
      <c r="AG64" s="360"/>
      <c r="AH64" s="360"/>
      <c r="AI64" s="360"/>
      <c r="AJ64" s="360"/>
      <c r="AK64" s="360"/>
      <c r="AL64" s="360"/>
      <c r="AM64" s="360"/>
    </row>
    <row r="65" spans="1:39" x14ac:dyDescent="0.25">
      <c r="A65" s="360"/>
      <c r="B65" s="537"/>
      <c r="C65" s="576"/>
      <c r="D65" s="589"/>
      <c r="E65" s="578"/>
      <c r="F65" s="579"/>
      <c r="G65" s="580"/>
      <c r="H65" s="362"/>
      <c r="I65" s="588"/>
      <c r="J65" s="583"/>
      <c r="K65" s="584"/>
      <c r="L65" s="585"/>
      <c r="M65" s="362"/>
      <c r="N65" s="364"/>
      <c r="O65" s="360"/>
      <c r="P65" s="360"/>
      <c r="Q65" s="360"/>
      <c r="R65" s="360"/>
      <c r="S65" s="360"/>
      <c r="T65" s="497"/>
      <c r="U65" s="360"/>
      <c r="V65" s="360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0"/>
      <c r="AM65" s="360"/>
    </row>
    <row r="66" spans="1:39" x14ac:dyDescent="0.25">
      <c r="A66" s="360"/>
      <c r="B66" s="537"/>
      <c r="C66" s="576"/>
      <c r="D66" s="589"/>
      <c r="E66" s="578"/>
      <c r="F66" s="579"/>
      <c r="G66" s="580"/>
      <c r="H66" s="362"/>
      <c r="I66" s="588"/>
      <c r="J66" s="583"/>
      <c r="K66" s="584"/>
      <c r="L66" s="585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0"/>
      <c r="AG66" s="360"/>
      <c r="AH66" s="360"/>
      <c r="AI66" s="360"/>
      <c r="AJ66" s="360"/>
      <c r="AK66" s="360"/>
      <c r="AL66" s="360"/>
      <c r="AM66" s="360"/>
    </row>
    <row r="67" spans="1:39" x14ac:dyDescent="0.25">
      <c r="A67" s="360"/>
      <c r="B67" s="537"/>
      <c r="C67" s="576"/>
      <c r="D67" s="590"/>
      <c r="E67" s="578"/>
      <c r="F67" s="579"/>
      <c r="G67" s="580"/>
      <c r="H67" s="362"/>
      <c r="I67" s="588"/>
      <c r="J67" s="591"/>
      <c r="K67" s="584"/>
      <c r="L67" s="585"/>
      <c r="M67" s="362"/>
      <c r="N67" s="360"/>
      <c r="O67" s="360"/>
      <c r="P67" s="360"/>
      <c r="Q67" s="360"/>
      <c r="R67" s="360"/>
      <c r="S67" s="360"/>
      <c r="T67" s="497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0"/>
      <c r="AG67" s="360"/>
      <c r="AH67" s="360"/>
      <c r="AI67" s="360"/>
      <c r="AJ67" s="360"/>
      <c r="AK67" s="360"/>
      <c r="AL67" s="360"/>
      <c r="AM67" s="360"/>
    </row>
    <row r="68" spans="1:39" x14ac:dyDescent="0.25">
      <c r="A68" s="360"/>
      <c r="B68" s="537"/>
      <c r="C68" s="576"/>
      <c r="D68" s="590"/>
      <c r="E68" s="578"/>
      <c r="F68" s="579"/>
      <c r="G68" s="580"/>
      <c r="H68" s="581"/>
      <c r="I68" s="588"/>
      <c r="J68" s="583"/>
      <c r="K68" s="584"/>
      <c r="L68" s="585"/>
      <c r="M68" s="362"/>
      <c r="N68" s="360"/>
      <c r="O68" s="360"/>
      <c r="P68" s="360"/>
      <c r="Q68" s="360"/>
      <c r="R68" s="360"/>
      <c r="S68" s="360"/>
      <c r="T68" s="497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0"/>
      <c r="AG68" s="360"/>
      <c r="AH68" s="360"/>
      <c r="AI68" s="360"/>
      <c r="AJ68" s="360"/>
      <c r="AK68" s="360"/>
      <c r="AL68" s="360"/>
      <c r="AM68" s="360"/>
    </row>
    <row r="69" spans="1:39" x14ac:dyDescent="0.25">
      <c r="A69" s="360"/>
      <c r="B69" s="537"/>
      <c r="C69" s="608"/>
      <c r="D69" s="590"/>
      <c r="E69" s="609"/>
      <c r="F69" s="579"/>
      <c r="G69" s="580"/>
      <c r="H69" s="581"/>
      <c r="I69" s="588"/>
      <c r="J69" s="583"/>
      <c r="K69" s="584"/>
      <c r="L69" s="585"/>
      <c r="M69" s="362"/>
      <c r="N69" s="360"/>
      <c r="O69" s="360"/>
      <c r="P69" s="360"/>
      <c r="Q69" s="360"/>
      <c r="R69" s="360"/>
      <c r="S69" s="360"/>
      <c r="T69" s="497"/>
      <c r="U69" s="360"/>
      <c r="V69" s="360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  <c r="AI69" s="360"/>
      <c r="AJ69" s="360"/>
      <c r="AK69" s="360"/>
      <c r="AL69" s="360"/>
      <c r="AM69" s="360"/>
    </row>
    <row r="70" spans="1:39" x14ac:dyDescent="0.25">
      <c r="A70" s="360"/>
      <c r="B70" s="537"/>
      <c r="C70" s="608"/>
      <c r="D70" s="590"/>
      <c r="E70" s="609"/>
      <c r="F70" s="579"/>
      <c r="G70" s="580"/>
      <c r="H70" s="581"/>
      <c r="I70" s="610"/>
      <c r="J70" s="583"/>
      <c r="K70" s="584"/>
      <c r="L70" s="585"/>
      <c r="M70" s="362"/>
      <c r="N70" s="360"/>
      <c r="O70" s="360"/>
      <c r="P70" s="360"/>
      <c r="Q70" s="360"/>
      <c r="R70" s="360"/>
      <c r="S70" s="360"/>
      <c r="T70" s="497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</row>
    <row r="71" spans="1:39" x14ac:dyDescent="0.25">
      <c r="A71" s="360"/>
      <c r="B71" s="537"/>
      <c r="C71" s="576"/>
      <c r="D71" s="589"/>
      <c r="E71" s="609"/>
      <c r="F71" s="579"/>
      <c r="G71" s="580"/>
      <c r="H71" s="581"/>
      <c r="I71" s="588"/>
      <c r="J71" s="583"/>
      <c r="K71" s="584"/>
      <c r="L71" s="585"/>
      <c r="M71" s="362"/>
      <c r="N71" s="360"/>
      <c r="O71" s="360"/>
      <c r="P71" s="360"/>
      <c r="Q71" s="360"/>
      <c r="R71" s="360"/>
      <c r="S71" s="360"/>
      <c r="T71" s="497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</row>
    <row r="72" spans="1:39" x14ac:dyDescent="0.25">
      <c r="A72" s="360"/>
      <c r="B72" s="360"/>
      <c r="C72" s="576"/>
      <c r="D72" s="589"/>
      <c r="E72" s="609"/>
      <c r="F72" s="579"/>
      <c r="G72" s="580"/>
      <c r="H72" s="581"/>
      <c r="I72" s="588"/>
      <c r="J72" s="583"/>
      <c r="K72" s="584"/>
      <c r="L72" s="585"/>
      <c r="M72" s="362"/>
      <c r="N72" s="360"/>
      <c r="O72" s="360"/>
      <c r="P72" s="360"/>
      <c r="Q72" s="360"/>
      <c r="R72" s="360"/>
      <c r="S72" s="360"/>
      <c r="T72" s="497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</row>
    <row r="73" spans="1:39" x14ac:dyDescent="0.25">
      <c r="A73" s="360"/>
      <c r="B73" s="360"/>
      <c r="C73" s="576"/>
      <c r="D73" s="590"/>
      <c r="E73" s="609"/>
      <c r="F73" s="579"/>
      <c r="G73" s="580"/>
      <c r="H73" s="581"/>
      <c r="I73" s="588"/>
      <c r="J73" s="583"/>
      <c r="K73" s="584"/>
      <c r="L73" s="585"/>
      <c r="M73" s="362"/>
      <c r="N73" s="360"/>
      <c r="O73" s="360"/>
      <c r="P73" s="360"/>
      <c r="Q73" s="360"/>
      <c r="R73" s="360"/>
      <c r="S73" s="360"/>
      <c r="T73" s="497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</row>
    <row r="74" spans="1:39" x14ac:dyDescent="0.25">
      <c r="A74" s="360"/>
      <c r="B74" s="360"/>
      <c r="C74" s="576"/>
      <c r="D74" s="590"/>
      <c r="E74" s="609"/>
      <c r="F74" s="579"/>
      <c r="G74" s="580"/>
      <c r="H74" s="581"/>
      <c r="I74" s="588"/>
      <c r="J74" s="583"/>
      <c r="K74" s="584"/>
      <c r="L74" s="585"/>
      <c r="M74" s="362"/>
      <c r="N74" s="360"/>
      <c r="O74" s="360"/>
      <c r="P74" s="360"/>
      <c r="Q74" s="360"/>
      <c r="R74" s="360"/>
      <c r="S74" s="360"/>
      <c r="T74" s="497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</row>
    <row r="75" spans="1:39" x14ac:dyDescent="0.25">
      <c r="A75" s="360"/>
      <c r="B75" s="360"/>
      <c r="C75" s="576"/>
      <c r="D75" s="590"/>
      <c r="E75" s="609"/>
      <c r="F75" s="579"/>
      <c r="G75" s="580"/>
      <c r="H75" s="581"/>
      <c r="I75" s="588"/>
      <c r="J75" s="583"/>
      <c r="K75" s="584"/>
      <c r="L75" s="585"/>
      <c r="M75" s="362"/>
      <c r="N75" s="360"/>
      <c r="O75" s="360"/>
      <c r="P75" s="360"/>
      <c r="Q75" s="360"/>
      <c r="R75" s="360"/>
      <c r="S75" s="360"/>
      <c r="T75" s="497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</row>
    <row r="76" spans="1:39" x14ac:dyDescent="0.25">
      <c r="A76" s="360"/>
      <c r="B76" s="360"/>
      <c r="C76" s="576"/>
      <c r="D76" s="589"/>
      <c r="E76" s="609"/>
      <c r="F76" s="579"/>
      <c r="G76" s="580"/>
      <c r="H76" s="581"/>
      <c r="I76" s="588"/>
      <c r="J76" s="583"/>
      <c r="K76" s="584"/>
      <c r="L76" s="585"/>
      <c r="M76" s="362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  <c r="AA76" s="360"/>
      <c r="AB76" s="360"/>
      <c r="AC76" s="360"/>
      <c r="AD76" s="360"/>
      <c r="AE76" s="360"/>
      <c r="AF76" s="360"/>
      <c r="AG76" s="360"/>
      <c r="AH76" s="360"/>
      <c r="AI76" s="360"/>
      <c r="AJ76" s="360"/>
      <c r="AK76" s="360"/>
      <c r="AL76" s="360"/>
      <c r="AM76" s="360"/>
    </row>
    <row r="77" spans="1:39" x14ac:dyDescent="0.25">
      <c r="A77" s="360"/>
      <c r="B77" s="360"/>
      <c r="C77" s="576"/>
      <c r="D77" s="589"/>
      <c r="E77" s="609"/>
      <c r="F77" s="579"/>
      <c r="G77" s="580"/>
      <c r="H77" s="581"/>
      <c r="I77" s="588"/>
      <c r="J77" s="583"/>
      <c r="K77" s="584"/>
      <c r="L77" s="585"/>
      <c r="M77" s="362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  <c r="AA77" s="360"/>
      <c r="AB77" s="360"/>
      <c r="AC77" s="360"/>
      <c r="AD77" s="360"/>
      <c r="AE77" s="360"/>
      <c r="AF77" s="360"/>
      <c r="AG77" s="360"/>
      <c r="AH77" s="360"/>
      <c r="AI77" s="360"/>
      <c r="AJ77" s="360"/>
      <c r="AK77" s="360"/>
      <c r="AL77" s="360"/>
      <c r="AM77" s="360"/>
    </row>
    <row r="78" spans="1:39" x14ac:dyDescent="0.25">
      <c r="A78" s="360"/>
      <c r="B78" s="360"/>
      <c r="C78" s="576"/>
      <c r="D78" s="590"/>
      <c r="E78" s="609"/>
      <c r="F78" s="579"/>
      <c r="G78" s="580"/>
      <c r="H78" s="581"/>
      <c r="I78" s="588"/>
      <c r="J78" s="583"/>
      <c r="K78" s="584"/>
      <c r="L78" s="359"/>
      <c r="M78" s="362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360"/>
      <c r="Y78" s="360"/>
      <c r="Z78" s="360"/>
      <c r="AA78" s="360"/>
      <c r="AB78" s="360"/>
      <c r="AC78" s="360"/>
      <c r="AD78" s="360"/>
      <c r="AE78" s="360"/>
      <c r="AF78" s="360"/>
      <c r="AG78" s="360"/>
      <c r="AH78" s="360"/>
      <c r="AI78" s="360"/>
      <c r="AJ78" s="360"/>
      <c r="AK78" s="360"/>
      <c r="AL78" s="360"/>
      <c r="AM78" s="360"/>
    </row>
    <row r="79" spans="1:39" x14ac:dyDescent="0.25">
      <c r="A79" s="360"/>
      <c r="B79" s="360"/>
      <c r="C79" s="576"/>
      <c r="D79" s="590"/>
      <c r="E79" s="609"/>
      <c r="F79" s="579"/>
      <c r="G79" s="580"/>
      <c r="H79" s="581"/>
      <c r="I79" s="588"/>
      <c r="J79" s="583"/>
      <c r="K79" s="584"/>
      <c r="L79" s="585"/>
      <c r="M79" s="362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  <c r="AA79" s="360"/>
      <c r="AB79" s="360"/>
      <c r="AC79" s="360"/>
      <c r="AD79" s="360"/>
      <c r="AE79" s="360"/>
      <c r="AF79" s="360"/>
      <c r="AG79" s="360"/>
      <c r="AH79" s="360"/>
      <c r="AI79" s="360"/>
      <c r="AJ79" s="360"/>
      <c r="AK79" s="360"/>
      <c r="AL79" s="360"/>
      <c r="AM79" s="360"/>
    </row>
    <row r="80" spans="1:39" x14ac:dyDescent="0.25">
      <c r="A80" s="360"/>
      <c r="B80" s="360"/>
      <c r="C80" s="576"/>
      <c r="D80" s="590"/>
      <c r="E80" s="609"/>
      <c r="F80" s="579"/>
      <c r="G80" s="580"/>
      <c r="H80" s="581"/>
      <c r="I80" s="588"/>
      <c r="J80" s="583"/>
      <c r="K80" s="584"/>
      <c r="L80" s="359"/>
      <c r="M80" s="362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</row>
    <row r="81" spans="1:39" x14ac:dyDescent="0.25">
      <c r="A81" s="360"/>
      <c r="B81" s="369"/>
      <c r="C81" s="576"/>
      <c r="D81" s="590"/>
      <c r="E81" s="609"/>
      <c r="F81" s="611"/>
      <c r="G81" s="580"/>
      <c r="H81" s="581"/>
      <c r="I81" s="588"/>
      <c r="J81" s="583"/>
      <c r="K81" s="584"/>
      <c r="L81" s="359"/>
      <c r="M81" s="362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360"/>
      <c r="AB81" s="360"/>
      <c r="AC81" s="360"/>
      <c r="AD81" s="360"/>
      <c r="AE81" s="360"/>
      <c r="AF81" s="360"/>
      <c r="AG81" s="360"/>
      <c r="AH81" s="360"/>
      <c r="AI81" s="360"/>
      <c r="AJ81" s="360"/>
      <c r="AK81" s="360"/>
      <c r="AL81" s="360"/>
      <c r="AM81" s="360"/>
    </row>
    <row r="82" spans="1:39" x14ac:dyDescent="0.25">
      <c r="A82" s="360"/>
      <c r="B82" s="369"/>
      <c r="C82" s="576"/>
      <c r="D82" s="589"/>
      <c r="E82" s="609"/>
      <c r="F82" s="612"/>
      <c r="G82" s="580"/>
      <c r="H82" s="581"/>
      <c r="I82" s="588"/>
      <c r="J82" s="583"/>
      <c r="K82" s="584"/>
      <c r="L82" s="359"/>
      <c r="M82" s="362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</row>
    <row r="83" spans="1:39" x14ac:dyDescent="0.25">
      <c r="A83" s="360"/>
      <c r="B83" s="360"/>
      <c r="C83" s="576"/>
      <c r="D83" s="589"/>
      <c r="E83" s="609"/>
      <c r="F83" s="613"/>
      <c r="G83" s="580"/>
      <c r="H83" s="581"/>
      <c r="I83" s="588"/>
      <c r="J83" s="583"/>
      <c r="K83" s="584"/>
      <c r="L83" s="359"/>
      <c r="M83" s="362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0"/>
      <c r="AA83" s="360"/>
      <c r="AB83" s="360"/>
      <c r="AC83" s="360"/>
      <c r="AD83" s="360"/>
      <c r="AE83" s="360"/>
      <c r="AF83" s="360"/>
      <c r="AG83" s="360"/>
      <c r="AH83" s="360"/>
      <c r="AI83" s="360"/>
      <c r="AJ83" s="360"/>
      <c r="AK83" s="360"/>
      <c r="AL83" s="360"/>
      <c r="AM83" s="360"/>
    </row>
    <row r="84" spans="1:39" x14ac:dyDescent="0.25">
      <c r="A84" s="360"/>
      <c r="B84" s="369"/>
      <c r="C84" s="576"/>
      <c r="D84" s="590"/>
      <c r="E84" s="609"/>
      <c r="F84" s="614"/>
      <c r="G84" s="580"/>
      <c r="H84" s="581"/>
      <c r="I84" s="588"/>
      <c r="J84" s="583"/>
      <c r="K84" s="584"/>
      <c r="L84" s="359"/>
      <c r="M84" s="362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</row>
    <row r="85" spans="1:39" x14ac:dyDescent="0.25">
      <c r="A85" s="360"/>
      <c r="B85" s="369"/>
      <c r="C85" s="576"/>
      <c r="D85" s="590"/>
      <c r="E85" s="609"/>
      <c r="F85" s="615"/>
      <c r="G85" s="580"/>
      <c r="H85" s="581"/>
      <c r="I85" s="588"/>
      <c r="J85" s="583"/>
      <c r="K85" s="584"/>
      <c r="L85" s="359"/>
      <c r="M85" s="362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0"/>
      <c r="AA85" s="360"/>
      <c r="AB85" s="360"/>
      <c r="AC85" s="360"/>
      <c r="AD85" s="360"/>
      <c r="AE85" s="360"/>
      <c r="AF85" s="360"/>
      <c r="AG85" s="360"/>
      <c r="AH85" s="360"/>
      <c r="AI85" s="360"/>
      <c r="AJ85" s="360"/>
      <c r="AK85" s="360"/>
      <c r="AL85" s="360"/>
      <c r="AM85" s="360"/>
    </row>
    <row r="86" spans="1:39" x14ac:dyDescent="0.25">
      <c r="A86" s="360"/>
      <c r="B86" s="369"/>
      <c r="C86" s="576"/>
      <c r="D86" s="590"/>
      <c r="E86" s="609"/>
      <c r="F86" s="612"/>
      <c r="G86" s="580"/>
      <c r="H86" s="581"/>
      <c r="I86" s="588"/>
      <c r="J86" s="583"/>
      <c r="K86" s="584"/>
      <c r="L86" s="359"/>
      <c r="M86" s="362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360"/>
      <c r="AB86" s="360"/>
      <c r="AC86" s="360"/>
      <c r="AD86" s="360"/>
      <c r="AE86" s="360"/>
      <c r="AF86" s="360"/>
      <c r="AG86" s="360"/>
      <c r="AH86" s="360"/>
      <c r="AI86" s="360"/>
      <c r="AJ86" s="360"/>
      <c r="AK86" s="360"/>
      <c r="AL86" s="360"/>
      <c r="AM86" s="360"/>
    </row>
    <row r="87" spans="1:39" x14ac:dyDescent="0.25">
      <c r="A87" s="360"/>
      <c r="B87" s="360"/>
      <c r="C87" s="576"/>
      <c r="D87" s="590"/>
      <c r="E87" s="609"/>
      <c r="F87" s="612"/>
      <c r="G87" s="580"/>
      <c r="H87" s="581"/>
      <c r="I87" s="588"/>
      <c r="J87" s="583"/>
      <c r="K87" s="584"/>
      <c r="L87" s="359"/>
      <c r="M87" s="362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  <c r="AA87" s="360"/>
      <c r="AB87" s="360"/>
      <c r="AC87" s="360"/>
      <c r="AD87" s="360"/>
      <c r="AE87" s="360"/>
      <c r="AF87" s="360"/>
      <c r="AG87" s="360"/>
      <c r="AH87" s="360"/>
      <c r="AI87" s="360"/>
      <c r="AJ87" s="360"/>
      <c r="AK87" s="360"/>
      <c r="AL87" s="360"/>
      <c r="AM87" s="360"/>
    </row>
    <row r="88" spans="1:39" x14ac:dyDescent="0.25">
      <c r="A88" s="360"/>
      <c r="B88" s="360"/>
      <c r="C88" s="576"/>
      <c r="D88" s="361"/>
      <c r="E88" s="609"/>
      <c r="F88" s="612"/>
      <c r="G88" s="616"/>
      <c r="H88" s="617"/>
      <c r="I88" s="588"/>
      <c r="J88" s="583"/>
      <c r="K88" s="584"/>
      <c r="L88" s="359"/>
      <c r="M88" s="362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0"/>
      <c r="Y88" s="360"/>
      <c r="Z88" s="360"/>
      <c r="AA88" s="360"/>
      <c r="AB88" s="360"/>
      <c r="AC88" s="360"/>
      <c r="AD88" s="360"/>
      <c r="AE88" s="360"/>
      <c r="AF88" s="360"/>
      <c r="AG88" s="360"/>
      <c r="AH88" s="360"/>
      <c r="AI88" s="360"/>
      <c r="AJ88" s="360"/>
      <c r="AK88" s="360"/>
      <c r="AL88" s="360"/>
      <c r="AM88" s="360"/>
    </row>
    <row r="89" spans="1:39" x14ac:dyDescent="0.25">
      <c r="A89" s="360"/>
      <c r="B89" s="360"/>
      <c r="C89" s="576"/>
      <c r="D89" s="590"/>
      <c r="E89" s="609"/>
      <c r="F89" s="612"/>
      <c r="G89" s="616"/>
      <c r="H89" s="617"/>
      <c r="I89" s="588"/>
      <c r="J89" s="583"/>
      <c r="K89" s="584"/>
      <c r="L89" s="359"/>
      <c r="M89" s="362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0"/>
      <c r="AG89" s="360"/>
      <c r="AH89" s="360"/>
      <c r="AI89" s="360"/>
      <c r="AJ89" s="360"/>
      <c r="AK89" s="360"/>
      <c r="AL89" s="360"/>
      <c r="AM89" s="360"/>
    </row>
    <row r="90" spans="1:39" x14ac:dyDescent="0.25">
      <c r="A90" s="360"/>
      <c r="B90" s="360"/>
      <c r="C90" s="576"/>
      <c r="D90" s="590"/>
      <c r="E90" s="609"/>
      <c r="F90" s="612"/>
      <c r="G90" s="616"/>
      <c r="H90" s="617"/>
      <c r="I90" s="588"/>
      <c r="J90" s="583"/>
      <c r="K90" s="584"/>
      <c r="L90" s="359"/>
      <c r="M90" s="362"/>
      <c r="N90" s="360"/>
      <c r="O90" s="360"/>
      <c r="P90" s="360"/>
      <c r="Q90" s="360"/>
      <c r="R90" s="360"/>
      <c r="S90" s="360"/>
      <c r="T90" s="360"/>
      <c r="U90" s="360"/>
      <c r="V90" s="360"/>
      <c r="W90" s="360"/>
      <c r="X90" s="360"/>
      <c r="Y90" s="360"/>
      <c r="Z90" s="360"/>
      <c r="AA90" s="360"/>
      <c r="AB90" s="360"/>
      <c r="AC90" s="360"/>
      <c r="AD90" s="360"/>
      <c r="AE90" s="360"/>
      <c r="AF90" s="360"/>
      <c r="AG90" s="360"/>
      <c r="AH90" s="360"/>
      <c r="AI90" s="360"/>
      <c r="AJ90" s="360"/>
      <c r="AK90" s="360"/>
      <c r="AL90" s="360"/>
      <c r="AM90" s="360"/>
    </row>
    <row r="91" spans="1:39" x14ac:dyDescent="0.25">
      <c r="A91" s="360"/>
      <c r="B91" s="369"/>
      <c r="C91" s="576"/>
      <c r="D91" s="590"/>
      <c r="E91" s="609"/>
      <c r="F91" s="612"/>
      <c r="G91" s="618"/>
      <c r="H91" s="617"/>
      <c r="I91" s="588"/>
      <c r="J91" s="583"/>
      <c r="K91" s="584"/>
      <c r="L91" s="359"/>
      <c r="M91" s="362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360"/>
      <c r="AB91" s="360"/>
      <c r="AC91" s="360"/>
      <c r="AD91" s="360"/>
      <c r="AE91" s="360"/>
      <c r="AF91" s="360"/>
      <c r="AG91" s="360"/>
      <c r="AH91" s="360"/>
      <c r="AI91" s="360"/>
      <c r="AJ91" s="360"/>
      <c r="AK91" s="360"/>
      <c r="AL91" s="360"/>
      <c r="AM91" s="360"/>
    </row>
    <row r="92" spans="1:39" x14ac:dyDescent="0.25">
      <c r="A92" s="360"/>
      <c r="B92" s="360"/>
      <c r="C92" s="576"/>
      <c r="D92" s="590"/>
      <c r="E92" s="619"/>
      <c r="F92" s="620"/>
      <c r="G92" s="618"/>
      <c r="H92" s="617"/>
      <c r="I92" s="588"/>
      <c r="J92" s="583"/>
      <c r="K92" s="584"/>
      <c r="L92" s="359"/>
      <c r="M92" s="362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360"/>
      <c r="AB92" s="360"/>
      <c r="AC92" s="360"/>
      <c r="AD92" s="360"/>
      <c r="AE92" s="360"/>
      <c r="AF92" s="360"/>
      <c r="AG92" s="360"/>
      <c r="AH92" s="360"/>
      <c r="AI92" s="360"/>
      <c r="AJ92" s="360"/>
      <c r="AK92" s="360"/>
      <c r="AL92" s="360"/>
      <c r="AM92" s="360"/>
    </row>
    <row r="93" spans="1:39" x14ac:dyDescent="0.25">
      <c r="A93" s="360"/>
      <c r="B93" s="360"/>
      <c r="C93" s="621"/>
      <c r="D93" s="622"/>
      <c r="E93" s="616"/>
      <c r="F93" s="619"/>
      <c r="G93" s="623"/>
      <c r="H93" s="624"/>
      <c r="I93" s="619"/>
      <c r="J93" s="583"/>
      <c r="K93" s="584"/>
      <c r="L93" s="359"/>
      <c r="M93" s="362"/>
      <c r="N93" s="360"/>
      <c r="O93" s="360"/>
      <c r="P93" s="360"/>
      <c r="Q93" s="360"/>
      <c r="R93" s="360"/>
      <c r="S93" s="360"/>
      <c r="T93" s="360"/>
      <c r="U93" s="360"/>
      <c r="V93" s="360"/>
      <c r="W93" s="360"/>
      <c r="X93" s="360"/>
      <c r="Y93" s="360"/>
      <c r="Z93" s="360"/>
      <c r="AA93" s="360"/>
      <c r="AB93" s="360"/>
      <c r="AC93" s="360"/>
      <c r="AD93" s="360"/>
      <c r="AE93" s="360"/>
      <c r="AF93" s="360"/>
      <c r="AG93" s="360"/>
      <c r="AH93" s="360"/>
      <c r="AI93" s="360"/>
      <c r="AJ93" s="360"/>
      <c r="AK93" s="360"/>
      <c r="AL93" s="360"/>
      <c r="AM93" s="360"/>
    </row>
    <row r="94" spans="1:39" x14ac:dyDescent="0.25">
      <c r="A94" s="360"/>
      <c r="B94" s="360"/>
      <c r="C94" s="625"/>
      <c r="D94" s="626"/>
      <c r="E94" s="616"/>
      <c r="F94" s="619"/>
      <c r="G94" s="623"/>
      <c r="H94" s="627"/>
      <c r="I94" s="619"/>
      <c r="J94" s="583"/>
      <c r="K94" s="584"/>
      <c r="L94" s="359"/>
      <c r="M94" s="362"/>
      <c r="N94" s="360"/>
      <c r="O94" s="360"/>
      <c r="P94" s="360"/>
      <c r="Q94" s="360"/>
      <c r="R94" s="360"/>
      <c r="S94" s="360"/>
      <c r="T94" s="360"/>
      <c r="U94" s="360"/>
      <c r="V94" s="360"/>
      <c r="W94" s="360"/>
      <c r="X94" s="360"/>
      <c r="Y94" s="360"/>
      <c r="Z94" s="360"/>
      <c r="AA94" s="360"/>
      <c r="AB94" s="360"/>
      <c r="AC94" s="360"/>
      <c r="AD94" s="360"/>
      <c r="AE94" s="360"/>
      <c r="AF94" s="360"/>
      <c r="AG94" s="360"/>
      <c r="AH94" s="360"/>
      <c r="AI94" s="360"/>
      <c r="AJ94" s="360"/>
      <c r="AK94" s="360"/>
      <c r="AL94" s="360"/>
      <c r="AM94" s="360"/>
    </row>
    <row r="95" spans="1:39" x14ac:dyDescent="0.25">
      <c r="A95" s="360"/>
      <c r="B95" s="369"/>
      <c r="C95" s="625"/>
      <c r="D95" s="626"/>
      <c r="E95" s="616"/>
      <c r="F95" s="619"/>
      <c r="G95" s="623"/>
      <c r="H95" s="627"/>
      <c r="I95" s="619"/>
      <c r="J95" s="583"/>
      <c r="K95" s="584"/>
      <c r="L95" s="359"/>
      <c r="M95" s="362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0"/>
      <c r="Y95" s="360"/>
      <c r="Z95" s="360"/>
      <c r="AA95" s="360"/>
      <c r="AB95" s="360"/>
      <c r="AC95" s="360"/>
      <c r="AD95" s="360"/>
      <c r="AE95" s="360"/>
      <c r="AF95" s="360"/>
      <c r="AG95" s="360"/>
      <c r="AH95" s="360"/>
      <c r="AI95" s="360"/>
      <c r="AJ95" s="360"/>
      <c r="AK95" s="360"/>
      <c r="AL95" s="360"/>
      <c r="AM95" s="360"/>
    </row>
    <row r="96" spans="1:39" x14ac:dyDescent="0.25">
      <c r="A96" s="360"/>
      <c r="B96" s="360"/>
      <c r="C96" s="625"/>
      <c r="D96" s="626"/>
      <c r="E96" s="616"/>
      <c r="F96" s="619"/>
      <c r="G96" s="623"/>
      <c r="H96" s="627"/>
      <c r="I96" s="619"/>
      <c r="J96" s="362"/>
      <c r="K96" s="584"/>
      <c r="L96" s="359"/>
      <c r="M96" s="362"/>
      <c r="N96" s="360"/>
      <c r="O96" s="360"/>
      <c r="P96" s="360"/>
      <c r="Q96" s="360"/>
      <c r="R96" s="360"/>
      <c r="S96" s="360"/>
      <c r="T96" s="360"/>
      <c r="U96" s="360"/>
      <c r="V96" s="360"/>
      <c r="W96" s="360"/>
      <c r="X96" s="360"/>
      <c r="Y96" s="360"/>
      <c r="Z96" s="360"/>
      <c r="AA96" s="360"/>
      <c r="AB96" s="360"/>
      <c r="AC96" s="360"/>
      <c r="AD96" s="360"/>
      <c r="AE96" s="360"/>
      <c r="AF96" s="360"/>
      <c r="AG96" s="360"/>
      <c r="AH96" s="360"/>
      <c r="AI96" s="360"/>
      <c r="AJ96" s="360"/>
      <c r="AK96" s="360"/>
      <c r="AL96" s="360"/>
      <c r="AM96" s="360"/>
    </row>
    <row r="97" spans="1:39" x14ac:dyDescent="0.25">
      <c r="A97" s="360"/>
      <c r="B97" s="369"/>
      <c r="C97" s="625"/>
      <c r="D97" s="626"/>
      <c r="E97" s="616"/>
      <c r="F97" s="619"/>
      <c r="G97" s="623"/>
      <c r="H97" s="624"/>
      <c r="I97" s="619"/>
      <c r="J97" s="362"/>
      <c r="K97" s="584"/>
      <c r="L97" s="359"/>
      <c r="M97" s="362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360"/>
      <c r="AB97" s="360"/>
      <c r="AC97" s="360"/>
      <c r="AD97" s="360"/>
      <c r="AE97" s="360"/>
      <c r="AF97" s="360"/>
      <c r="AG97" s="360"/>
      <c r="AH97" s="360"/>
      <c r="AI97" s="360"/>
      <c r="AJ97" s="360"/>
      <c r="AK97" s="360"/>
      <c r="AL97" s="360"/>
      <c r="AM97" s="360"/>
    </row>
    <row r="98" spans="1:39" x14ac:dyDescent="0.25">
      <c r="A98" s="360"/>
      <c r="B98" s="360"/>
      <c r="C98" s="625"/>
      <c r="D98" s="626"/>
      <c r="E98" s="616"/>
      <c r="F98" s="619"/>
      <c r="G98" s="623"/>
      <c r="H98" s="624"/>
      <c r="I98" s="619"/>
      <c r="J98" s="362"/>
      <c r="K98" s="584"/>
      <c r="L98" s="359"/>
      <c r="M98" s="362"/>
      <c r="N98" s="360"/>
      <c r="O98" s="360"/>
      <c r="P98" s="360"/>
      <c r="Q98" s="360"/>
      <c r="R98" s="360"/>
      <c r="S98" s="360"/>
      <c r="T98" s="360"/>
      <c r="U98" s="360"/>
      <c r="V98" s="360"/>
      <c r="W98" s="360"/>
      <c r="X98" s="360"/>
      <c r="Y98" s="360"/>
      <c r="Z98" s="360"/>
      <c r="AA98" s="360"/>
      <c r="AB98" s="360"/>
      <c r="AC98" s="360"/>
      <c r="AD98" s="360"/>
      <c r="AE98" s="360"/>
      <c r="AF98" s="360"/>
      <c r="AG98" s="360"/>
      <c r="AH98" s="360"/>
      <c r="AI98" s="360"/>
      <c r="AJ98" s="360"/>
      <c r="AK98" s="360"/>
      <c r="AL98" s="360"/>
      <c r="AM98" s="360"/>
    </row>
  </sheetData>
  <mergeCells count="61">
    <mergeCell ref="A56:B56"/>
    <mergeCell ref="K51:K55"/>
    <mergeCell ref="L51:L55"/>
    <mergeCell ref="M51:M55"/>
    <mergeCell ref="N51:N55"/>
    <mergeCell ref="A46:A55"/>
    <mergeCell ref="N46:N50"/>
    <mergeCell ref="B51:B55"/>
    <mergeCell ref="G44:G45"/>
    <mergeCell ref="H44:H45"/>
    <mergeCell ref="I44:J44"/>
    <mergeCell ref="K44:M44"/>
    <mergeCell ref="B46:B50"/>
    <mergeCell ref="K46:K50"/>
    <mergeCell ref="L46:L50"/>
    <mergeCell ref="M46:M50"/>
    <mergeCell ref="R25:R26"/>
    <mergeCell ref="S25:S26"/>
    <mergeCell ref="O51:O55"/>
    <mergeCell ref="P51:S55"/>
    <mergeCell ref="P44:S45"/>
    <mergeCell ref="O46:O50"/>
    <mergeCell ref="P46:S50"/>
    <mergeCell ref="T25:T26"/>
    <mergeCell ref="A44:A45"/>
    <mergeCell ref="B44:B45"/>
    <mergeCell ref="C44:C45"/>
    <mergeCell ref="D44:D45"/>
    <mergeCell ref="E44:E45"/>
    <mergeCell ref="F44:F45"/>
    <mergeCell ref="G25:G26"/>
    <mergeCell ref="H25:I25"/>
    <mergeCell ref="J25:L25"/>
    <mergeCell ref="M25:M26"/>
    <mergeCell ref="N25:N26"/>
    <mergeCell ref="P25:P26"/>
    <mergeCell ref="N44:N45"/>
    <mergeCell ref="O44:O45"/>
    <mergeCell ref="Q25:Q26"/>
    <mergeCell ref="Q6:Q7"/>
    <mergeCell ref="R6:R7"/>
    <mergeCell ref="S6:S7"/>
    <mergeCell ref="T6:T7"/>
    <mergeCell ref="A25:A26"/>
    <mergeCell ref="B25:B26"/>
    <mergeCell ref="C25:C26"/>
    <mergeCell ref="D25:D26"/>
    <mergeCell ref="E25:E26"/>
    <mergeCell ref="F25:F26"/>
    <mergeCell ref="G6:G7"/>
    <mergeCell ref="H6:I6"/>
    <mergeCell ref="J6:L6"/>
    <mergeCell ref="M6:M7"/>
    <mergeCell ref="N6:N7"/>
    <mergeCell ref="P6:P7"/>
    <mergeCell ref="F6:F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B56"/>
  <sheetViews>
    <sheetView zoomScale="30" zoomScaleNormal="30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C39" sqref="C39"/>
    </sheetView>
  </sheetViews>
  <sheetFormatPr defaultColWidth="9" defaultRowHeight="39" x14ac:dyDescent="0.25"/>
  <cols>
    <col min="1" max="1" width="29.140625" style="28" customWidth="1"/>
    <col min="2" max="2" width="54.42578125" style="28" bestFit="1" customWidth="1"/>
    <col min="3" max="3" width="60.7109375" style="28" customWidth="1"/>
    <col min="4" max="4" width="31.5703125" style="28" bestFit="1" customWidth="1"/>
    <col min="5" max="5" width="25.42578125" style="44" bestFit="1" customWidth="1"/>
    <col min="6" max="6" width="53.42578125" style="28" bestFit="1" customWidth="1"/>
    <col min="7" max="7" width="33.7109375" style="28" bestFit="1" customWidth="1"/>
    <col min="8" max="8" width="27.5703125" style="28" customWidth="1"/>
    <col min="9" max="9" width="27.5703125" style="356" customWidth="1"/>
    <col min="10" max="10" width="33.42578125" style="120" customWidth="1"/>
    <col min="11" max="11" width="36.28515625" style="303" bestFit="1" customWidth="1"/>
    <col min="12" max="12" width="18.85546875" style="28" bestFit="1" customWidth="1"/>
    <col min="13" max="13" width="25.140625" style="44" bestFit="1" customWidth="1"/>
    <col min="14" max="14" width="28.28515625" style="28" bestFit="1" customWidth="1"/>
    <col min="15" max="15" width="33" style="28" customWidth="1"/>
    <col min="16" max="16" width="44.85546875" style="28" customWidth="1"/>
    <col min="17" max="17" width="47.140625" style="28" customWidth="1"/>
    <col min="18" max="18" width="50.85546875" style="28" customWidth="1"/>
    <col min="19" max="19" width="37.28515625" style="28" customWidth="1"/>
    <col min="20" max="20" width="51.85546875" style="28" customWidth="1"/>
    <col min="21" max="21" width="35.85546875" style="28" bestFit="1" customWidth="1"/>
    <col min="22" max="22" width="35.85546875" style="44" customWidth="1"/>
    <col min="23" max="23" width="35.85546875" style="44" hidden="1" customWidth="1"/>
    <col min="24" max="24" width="43.5703125" style="28" customWidth="1"/>
    <col min="25" max="25" width="35.85546875" style="28" customWidth="1"/>
    <col min="26" max="26" width="255.140625" style="28" customWidth="1"/>
    <col min="27" max="27" width="13.7109375" style="28" customWidth="1"/>
    <col min="28" max="28" width="27" style="28" bestFit="1" customWidth="1"/>
    <col min="29" max="31" width="11.5703125" style="28" bestFit="1" customWidth="1"/>
    <col min="32" max="32" width="12.140625" style="28" bestFit="1" customWidth="1"/>
    <col min="33" max="16384" width="9" style="28"/>
  </cols>
  <sheetData>
    <row r="1" spans="1:28" ht="36.75" customHeight="1" x14ac:dyDescent="0.25">
      <c r="A1" s="210" t="s">
        <v>0</v>
      </c>
      <c r="B1" s="210"/>
      <c r="C1" s="210"/>
      <c r="D1" s="156"/>
      <c r="E1" s="304"/>
      <c r="F1" s="156"/>
      <c r="G1" s="210"/>
      <c r="H1" s="243"/>
      <c r="I1" s="345"/>
      <c r="J1" s="157"/>
      <c r="K1" s="157"/>
      <c r="L1" s="157"/>
      <c r="M1" s="244"/>
      <c r="N1" s="158"/>
      <c r="O1" s="158"/>
      <c r="P1" s="157"/>
      <c r="Q1" s="157"/>
      <c r="R1" s="157"/>
      <c r="S1" s="157"/>
      <c r="T1" s="157"/>
      <c r="U1" s="157"/>
      <c r="V1" s="243"/>
      <c r="W1" s="243"/>
      <c r="X1" s="243"/>
      <c r="Y1" s="243"/>
      <c r="Z1" s="235"/>
      <c r="AA1" s="210"/>
      <c r="AB1" s="210"/>
    </row>
    <row r="2" spans="1:28" ht="46.5" x14ac:dyDescent="0.25">
      <c r="A2" s="210" t="s">
        <v>207</v>
      </c>
      <c r="B2" s="210"/>
      <c r="C2" s="210"/>
      <c r="D2" s="156"/>
      <c r="E2" s="304"/>
      <c r="F2" s="156"/>
      <c r="G2" s="210"/>
      <c r="H2" s="243"/>
      <c r="I2" s="345"/>
      <c r="J2" s="158"/>
      <c r="K2" s="157"/>
      <c r="L2" s="158"/>
      <c r="M2" s="243"/>
      <c r="N2" s="243"/>
      <c r="O2" s="243"/>
      <c r="P2" s="157"/>
      <c r="Q2" s="157"/>
      <c r="R2" s="157"/>
      <c r="S2" s="157"/>
      <c r="T2" s="157"/>
      <c r="U2" s="157"/>
      <c r="V2" s="243"/>
      <c r="W2" s="243"/>
      <c r="X2" s="243"/>
      <c r="Y2" s="243"/>
      <c r="Z2" s="172" t="s">
        <v>33</v>
      </c>
      <c r="AA2" s="210"/>
      <c r="AB2" s="210"/>
    </row>
    <row r="3" spans="1:28" ht="54" thickBot="1" x14ac:dyDescent="0.3">
      <c r="A3" s="210" t="s">
        <v>34</v>
      </c>
      <c r="B3" s="231"/>
      <c r="C3" s="232"/>
      <c r="D3" s="173"/>
      <c r="E3" s="308"/>
      <c r="F3" s="273"/>
      <c r="G3" s="210"/>
      <c r="H3" s="243"/>
      <c r="I3" s="345"/>
      <c r="J3" s="174"/>
      <c r="K3" s="175"/>
      <c r="L3" s="243"/>
      <c r="M3" s="243"/>
      <c r="N3" s="274"/>
      <c r="O3" s="274"/>
      <c r="P3" s="271"/>
      <c r="Q3" s="271"/>
      <c r="R3" s="272"/>
      <c r="S3" s="272"/>
      <c r="T3" s="272"/>
      <c r="U3" s="272"/>
      <c r="V3" s="158"/>
      <c r="W3" s="158"/>
      <c r="X3" s="272"/>
      <c r="Y3" s="272"/>
      <c r="Z3" s="240"/>
    </row>
    <row r="4" spans="1:28" ht="47.25" customHeight="1" thickBot="1" x14ac:dyDescent="0.3">
      <c r="A4" s="887" t="s">
        <v>107</v>
      </c>
      <c r="B4" s="875" t="s">
        <v>1</v>
      </c>
      <c r="C4" s="889" t="s">
        <v>2</v>
      </c>
      <c r="D4" s="890"/>
      <c r="E4" s="891"/>
      <c r="F4" s="891"/>
      <c r="G4" s="891"/>
      <c r="H4" s="246"/>
      <c r="I4" s="346"/>
      <c r="J4" s="892" t="s">
        <v>15</v>
      </c>
      <c r="K4" s="894" t="s">
        <v>29</v>
      </c>
      <c r="L4" s="881" t="s">
        <v>3</v>
      </c>
      <c r="M4" s="882"/>
      <c r="N4" s="883" t="s">
        <v>4</v>
      </c>
      <c r="O4" s="884"/>
      <c r="P4" s="884"/>
      <c r="Q4" s="885"/>
      <c r="R4" s="877" t="s">
        <v>16</v>
      </c>
      <c r="S4" s="875" t="s">
        <v>109</v>
      </c>
      <c r="T4" s="877" t="s">
        <v>108</v>
      </c>
      <c r="U4" s="875" t="s">
        <v>110</v>
      </c>
      <c r="V4" s="334" t="s">
        <v>6</v>
      </c>
      <c r="W4" s="875" t="s">
        <v>105</v>
      </c>
      <c r="X4" s="880" t="s">
        <v>17</v>
      </c>
      <c r="Y4" s="330"/>
      <c r="Z4" s="873" t="s">
        <v>7</v>
      </c>
    </row>
    <row r="5" spans="1:28" ht="140.25" thickBot="1" x14ac:dyDescent="0.3">
      <c r="A5" s="888"/>
      <c r="B5" s="876"/>
      <c r="C5" s="332" t="s">
        <v>8</v>
      </c>
      <c r="D5" s="159" t="s">
        <v>9</v>
      </c>
      <c r="E5" s="159" t="s">
        <v>105</v>
      </c>
      <c r="F5" s="160" t="s">
        <v>13</v>
      </c>
      <c r="G5" s="246" t="s">
        <v>5</v>
      </c>
      <c r="H5" s="245" t="s">
        <v>10</v>
      </c>
      <c r="I5" s="347" t="s">
        <v>31</v>
      </c>
      <c r="J5" s="893"/>
      <c r="K5" s="895"/>
      <c r="L5" s="246" t="s">
        <v>8</v>
      </c>
      <c r="M5" s="246" t="s">
        <v>9</v>
      </c>
      <c r="N5" s="247" t="s">
        <v>8</v>
      </c>
      <c r="O5" s="761" t="s">
        <v>32</v>
      </c>
      <c r="P5" s="161" t="s">
        <v>12</v>
      </c>
      <c r="Q5" s="161" t="s">
        <v>14</v>
      </c>
      <c r="R5" s="878"/>
      <c r="S5" s="876"/>
      <c r="T5" s="878"/>
      <c r="U5" s="876"/>
      <c r="V5" s="334" t="s">
        <v>11</v>
      </c>
      <c r="W5" s="876"/>
      <c r="X5" s="880"/>
      <c r="Y5" s="331" t="s">
        <v>23</v>
      </c>
      <c r="Z5" s="874"/>
    </row>
    <row r="6" spans="1:28" s="69" customFormat="1" ht="53.25" x14ac:dyDescent="0.25">
      <c r="A6" s="219" t="s">
        <v>19</v>
      </c>
      <c r="B6" s="339" t="s">
        <v>138</v>
      </c>
      <c r="C6" s="177"/>
      <c r="D6" s="164">
        <f>fleet!G8</f>
        <v>0</v>
      </c>
      <c r="E6" s="309" t="e">
        <f>D6/C6</f>
        <v>#DIV/0!</v>
      </c>
      <c r="F6" s="178" t="s">
        <v>98</v>
      </c>
      <c r="G6" s="179">
        <f>C6-D6</f>
        <v>0</v>
      </c>
      <c r="H6" s="275">
        <v>10</v>
      </c>
      <c r="I6" s="343"/>
      <c r="J6" s="169"/>
      <c r="K6" s="162">
        <f>fleet!F8</f>
        <v>0</v>
      </c>
      <c r="L6" s="180"/>
      <c r="M6" s="169"/>
      <c r="N6" s="762">
        <v>500</v>
      </c>
      <c r="O6" s="760" t="e">
        <f>+D6/I6</f>
        <v>#DIV/0!</v>
      </c>
      <c r="P6" s="182">
        <f>+IFERROR(D6/J6,0)</f>
        <v>0</v>
      </c>
      <c r="Q6" s="182">
        <f>+IFERROR(D6/K6,0)</f>
        <v>0</v>
      </c>
      <c r="R6" s="183">
        <f>+N6*J6</f>
        <v>0</v>
      </c>
      <c r="S6" s="183">
        <f>+R6-D6</f>
        <v>0</v>
      </c>
      <c r="T6" s="187">
        <f>+N6*K6</f>
        <v>0</v>
      </c>
      <c r="U6" s="187">
        <f>T6-D6</f>
        <v>0</v>
      </c>
      <c r="V6" s="248"/>
      <c r="W6" s="249" t="e">
        <f>D6/C6</f>
        <v>#DIV/0!</v>
      </c>
      <c r="X6" s="183">
        <f>+IFERROR(D6/K6/22,0)</f>
        <v>0</v>
      </c>
      <c r="Y6" s="184">
        <f>+IFERROR(P6/M6/22,0)</f>
        <v>0</v>
      </c>
      <c r="Z6" s="338" t="s">
        <v>218</v>
      </c>
      <c r="AA6" s="108"/>
    </row>
    <row r="7" spans="1:28" s="69" customFormat="1" ht="54" thickBot="1" x14ac:dyDescent="0.3">
      <c r="A7" s="220"/>
      <c r="B7" s="225">
        <f>fleet!C8</f>
        <v>0</v>
      </c>
      <c r="C7" s="177"/>
      <c r="D7" s="164"/>
      <c r="E7" s="306"/>
      <c r="F7" s="253"/>
      <c r="G7" s="276"/>
      <c r="H7" s="180"/>
      <c r="I7" s="343"/>
      <c r="J7" s="176"/>
      <c r="K7" s="180"/>
      <c r="L7" s="180"/>
      <c r="M7" s="180"/>
      <c r="N7" s="181"/>
      <c r="O7" s="181"/>
      <c r="P7" s="182"/>
      <c r="Q7" s="182"/>
      <c r="R7" s="183"/>
      <c r="S7" s="183"/>
      <c r="T7" s="183"/>
      <c r="U7" s="183"/>
      <c r="V7" s="183"/>
      <c r="W7" s="183"/>
      <c r="X7" s="187"/>
      <c r="Y7" s="252"/>
      <c r="Z7" s="236"/>
      <c r="AA7" s="108"/>
    </row>
    <row r="8" spans="1:28" s="69" customFormat="1" ht="186" x14ac:dyDescent="0.25">
      <c r="A8" s="221" t="s">
        <v>19</v>
      </c>
      <c r="B8" s="328" t="s">
        <v>104</v>
      </c>
      <c r="C8" s="177">
        <v>5000</v>
      </c>
      <c r="D8" s="164">
        <f>fleet!G11</f>
        <v>3740</v>
      </c>
      <c r="E8" s="309">
        <f>D8/C8</f>
        <v>0.748</v>
      </c>
      <c r="F8" s="178" t="s">
        <v>35</v>
      </c>
      <c r="G8" s="179">
        <f>C8-D8</f>
        <v>1260</v>
      </c>
      <c r="H8" s="180">
        <v>10</v>
      </c>
      <c r="I8" s="343">
        <v>10</v>
      </c>
      <c r="J8" s="169">
        <f>9+(23/60)</f>
        <v>9.3833333333333329</v>
      </c>
      <c r="K8" s="169">
        <f>fleet!F11</f>
        <v>10</v>
      </c>
      <c r="L8" s="180">
        <v>4</v>
      </c>
      <c r="M8" s="169">
        <v>4</v>
      </c>
      <c r="N8" s="181">
        <v>500</v>
      </c>
      <c r="O8" s="181">
        <f>+D8/I8</f>
        <v>374</v>
      </c>
      <c r="P8" s="182">
        <f>+IFERROR(D8/J8,0)</f>
        <v>398.57904085257553</v>
      </c>
      <c r="Q8" s="182">
        <f>+IFERROR(D8/K8,0)</f>
        <v>374</v>
      </c>
      <c r="R8" s="183">
        <f>+N8*J8</f>
        <v>4691.6666666666661</v>
      </c>
      <c r="S8" s="183">
        <f>+R8-D8</f>
        <v>951.66666666666606</v>
      </c>
      <c r="T8" s="187">
        <f>+N8*K8</f>
        <v>5000</v>
      </c>
      <c r="U8" s="187">
        <f>T8-D8</f>
        <v>1260</v>
      </c>
      <c r="V8" s="208">
        <v>1.02</v>
      </c>
      <c r="W8" s="249">
        <f>D8/C8</f>
        <v>0.748</v>
      </c>
      <c r="X8" s="183">
        <f>+IFERROR(D8/K8/22,0)</f>
        <v>17</v>
      </c>
      <c r="Y8" s="184">
        <f>+IFERROR(P8/M8/22,0)</f>
        <v>4.5293072824156306</v>
      </c>
      <c r="Z8" s="338" t="s">
        <v>209</v>
      </c>
      <c r="AA8" s="108"/>
    </row>
    <row r="9" spans="1:28" s="69" customFormat="1" ht="54" thickBot="1" x14ac:dyDescent="0.3">
      <c r="A9" s="213"/>
      <c r="B9" s="225" t="str">
        <f>fleet!C11</f>
        <v>IGNASIUS</v>
      </c>
      <c r="C9" s="177"/>
      <c r="D9" s="167"/>
      <c r="E9" s="306"/>
      <c r="F9" s="253"/>
      <c r="G9" s="276"/>
      <c r="H9" s="180"/>
      <c r="I9" s="343"/>
      <c r="J9" s="176"/>
      <c r="K9" s="180"/>
      <c r="L9" s="180"/>
      <c r="M9" s="180"/>
      <c r="N9" s="181"/>
      <c r="O9" s="181"/>
      <c r="P9" s="182"/>
      <c r="Q9" s="182"/>
      <c r="R9" s="183"/>
      <c r="S9" s="183"/>
      <c r="T9" s="183"/>
      <c r="U9" s="183"/>
      <c r="V9" s="208"/>
      <c r="W9" s="208"/>
      <c r="X9" s="187"/>
      <c r="Y9" s="183"/>
      <c r="Z9" s="241"/>
      <c r="AA9" s="108" t="s">
        <v>36</v>
      </c>
    </row>
    <row r="10" spans="1:28" s="69" customFormat="1" ht="53.25" x14ac:dyDescent="0.25">
      <c r="A10" s="211" t="s">
        <v>19</v>
      </c>
      <c r="B10" s="328" t="s">
        <v>139</v>
      </c>
      <c r="C10" s="177"/>
      <c r="D10" s="170">
        <f>fleet!G14</f>
        <v>0</v>
      </c>
      <c r="E10" s="309" t="e">
        <f>D10/C10</f>
        <v>#DIV/0!</v>
      </c>
      <c r="F10" s="178" t="s">
        <v>98</v>
      </c>
      <c r="G10" s="179">
        <f>C10-D10</f>
        <v>0</v>
      </c>
      <c r="H10" s="180">
        <v>10</v>
      </c>
      <c r="I10" s="358"/>
      <c r="J10" s="169"/>
      <c r="K10" s="169">
        <f>fleet!F14</f>
        <v>0</v>
      </c>
      <c r="L10" s="180"/>
      <c r="M10" s="169"/>
      <c r="N10" s="181">
        <v>500</v>
      </c>
      <c r="O10" s="181" t="e">
        <f>+D10/I10</f>
        <v>#DIV/0!</v>
      </c>
      <c r="P10" s="182">
        <f>+IFERROR(D10/J10,0)</f>
        <v>0</v>
      </c>
      <c r="Q10" s="182">
        <f>+IFERROR(D10/K10,0)</f>
        <v>0</v>
      </c>
      <c r="R10" s="187">
        <f>+N10*J10</f>
        <v>0</v>
      </c>
      <c r="S10" s="187">
        <f>+R10-D10</f>
        <v>0</v>
      </c>
      <c r="T10" s="187">
        <f>+N10*K10</f>
        <v>0</v>
      </c>
      <c r="U10" s="187">
        <f>T10-D10</f>
        <v>0</v>
      </c>
      <c r="V10" s="248"/>
      <c r="W10" s="249" t="e">
        <f>D10/C10</f>
        <v>#DIV/0!</v>
      </c>
      <c r="X10" s="183">
        <f>+IFERROR(D10/K10/16,0)</f>
        <v>0</v>
      </c>
      <c r="Y10" s="184">
        <f>+IFERROR(P10/M10/22,0)</f>
        <v>0</v>
      </c>
      <c r="Z10" s="338" t="s">
        <v>218</v>
      </c>
      <c r="AA10" s="108"/>
    </row>
    <row r="11" spans="1:28" s="69" customFormat="1" ht="54" thickBot="1" x14ac:dyDescent="0.3">
      <c r="A11" s="212"/>
      <c r="B11" s="227">
        <f>fleet!C14</f>
        <v>0</v>
      </c>
      <c r="C11" s="177"/>
      <c r="D11" s="164"/>
      <c r="E11" s="306"/>
      <c r="F11" s="250"/>
      <c r="G11" s="179"/>
      <c r="H11" s="180"/>
      <c r="I11" s="343"/>
      <c r="J11" s="162"/>
      <c r="K11" s="180"/>
      <c r="L11" s="180"/>
      <c r="M11" s="180"/>
      <c r="N11" s="181"/>
      <c r="O11" s="181"/>
      <c r="P11" s="182"/>
      <c r="Q11" s="182"/>
      <c r="R11" s="183"/>
      <c r="S11" s="183"/>
      <c r="T11" s="183"/>
      <c r="U11" s="183"/>
      <c r="V11" s="208"/>
      <c r="W11" s="208"/>
      <c r="X11" s="183"/>
      <c r="Y11" s="252"/>
      <c r="Z11" s="163"/>
      <c r="AA11" s="108"/>
    </row>
    <row r="12" spans="1:28" ht="186" x14ac:dyDescent="0.25">
      <c r="A12" s="211" t="s">
        <v>19</v>
      </c>
      <c r="B12" s="328" t="s">
        <v>137</v>
      </c>
      <c r="C12" s="177">
        <v>5000</v>
      </c>
      <c r="D12" s="164">
        <f>fleet!G19</f>
        <v>4048</v>
      </c>
      <c r="E12" s="309">
        <f>D12/C12</f>
        <v>0.80959999999999999</v>
      </c>
      <c r="F12" s="178" t="s">
        <v>35</v>
      </c>
      <c r="G12" s="179">
        <f>C12-D12</f>
        <v>952</v>
      </c>
      <c r="H12" s="180">
        <v>10</v>
      </c>
      <c r="I12" s="343">
        <v>10</v>
      </c>
      <c r="J12" s="169">
        <f>9+(36/60)</f>
        <v>9.6</v>
      </c>
      <c r="K12" s="169">
        <f>fleet!F19</f>
        <v>10</v>
      </c>
      <c r="L12" s="180">
        <v>4</v>
      </c>
      <c r="M12" s="169">
        <v>5</v>
      </c>
      <c r="N12" s="181">
        <v>500</v>
      </c>
      <c r="O12" s="181">
        <f>+D12/I12</f>
        <v>404.8</v>
      </c>
      <c r="P12" s="182">
        <f>+IFERROR(D12/J12,0)</f>
        <v>421.66666666666669</v>
      </c>
      <c r="Q12" s="182">
        <f>+IFERROR(D12/K12,0)</f>
        <v>404.8</v>
      </c>
      <c r="R12" s="187">
        <f>+N12*J12</f>
        <v>4800</v>
      </c>
      <c r="S12" s="187">
        <f>+R12-D12</f>
        <v>752</v>
      </c>
      <c r="T12" s="187">
        <f>+N12*K12</f>
        <v>5000</v>
      </c>
      <c r="U12" s="187">
        <f>T12-D12</f>
        <v>952</v>
      </c>
      <c r="V12" s="248">
        <v>1.02</v>
      </c>
      <c r="W12" s="249">
        <f>D12/C12</f>
        <v>0.80959999999999999</v>
      </c>
      <c r="X12" s="183">
        <f>+IFERROR(D12/K12/22,0)</f>
        <v>18.400000000000002</v>
      </c>
      <c r="Y12" s="184">
        <f>+IFERROR(P12/M12/22,0)</f>
        <v>3.8333333333333339</v>
      </c>
      <c r="Z12" s="338" t="s">
        <v>211</v>
      </c>
    </row>
    <row r="13" spans="1:28" ht="54" thickBot="1" x14ac:dyDescent="0.3">
      <c r="A13" s="211"/>
      <c r="B13" s="225" t="str">
        <f>fleet!C19</f>
        <v>MARTHEN P</v>
      </c>
      <c r="C13" s="229"/>
      <c r="D13" s="185"/>
      <c r="E13" s="310"/>
      <c r="F13" s="277"/>
      <c r="G13" s="276"/>
      <c r="H13" s="180"/>
      <c r="I13" s="343"/>
      <c r="J13" s="162"/>
      <c r="K13" s="162"/>
      <c r="L13" s="180"/>
      <c r="M13" s="180"/>
      <c r="N13" s="181"/>
      <c r="O13" s="181"/>
      <c r="P13" s="182"/>
      <c r="Q13" s="182"/>
      <c r="R13" s="187"/>
      <c r="S13" s="187"/>
      <c r="T13" s="187"/>
      <c r="U13" s="187"/>
      <c r="V13" s="208"/>
      <c r="W13" s="278"/>
      <c r="X13" s="252"/>
      <c r="Y13" s="342"/>
      <c r="Z13" s="237"/>
    </row>
    <row r="14" spans="1:28" s="69" customFormat="1" ht="279.75" thickBot="1" x14ac:dyDescent="0.3">
      <c r="A14" s="211" t="s">
        <v>19</v>
      </c>
      <c r="B14" s="328" t="s">
        <v>57</v>
      </c>
      <c r="C14" s="177">
        <v>5000</v>
      </c>
      <c r="D14" s="164">
        <f>fleet!G16</f>
        <v>3762</v>
      </c>
      <c r="E14" s="309">
        <f>D14/C14</f>
        <v>0.75239999999999996</v>
      </c>
      <c r="F14" s="178" t="s">
        <v>106</v>
      </c>
      <c r="G14" s="179">
        <f>C14-D14</f>
        <v>1238</v>
      </c>
      <c r="H14" s="180">
        <v>10</v>
      </c>
      <c r="I14" s="343">
        <v>10</v>
      </c>
      <c r="J14" s="169">
        <f>8+(58/60)</f>
        <v>8.9666666666666668</v>
      </c>
      <c r="K14" s="169">
        <f>fleet!F16</f>
        <v>10</v>
      </c>
      <c r="L14" s="180">
        <v>5</v>
      </c>
      <c r="M14" s="169">
        <v>5</v>
      </c>
      <c r="N14" s="181">
        <v>500</v>
      </c>
      <c r="O14" s="181">
        <f>+D14/I14</f>
        <v>376.2</v>
      </c>
      <c r="P14" s="182">
        <f>+IFERROR(D14/J14,0)</f>
        <v>419.5539033457249</v>
      </c>
      <c r="Q14" s="182">
        <f>+IFERROR(D14/K14,0)</f>
        <v>376.2</v>
      </c>
      <c r="R14" s="187">
        <f>+N14*J14</f>
        <v>4483.333333333333</v>
      </c>
      <c r="S14" s="187">
        <f>+R14-D14</f>
        <v>721.33333333333303</v>
      </c>
      <c r="T14" s="187">
        <f>+N14*K14</f>
        <v>5000</v>
      </c>
      <c r="U14" s="187">
        <f>T14-D14</f>
        <v>1238</v>
      </c>
      <c r="V14" s="248">
        <v>1.34</v>
      </c>
      <c r="W14" s="249">
        <f>D14/C14</f>
        <v>0.75239999999999996</v>
      </c>
      <c r="X14" s="183">
        <f>+IFERROR(D14/K14/22,0)</f>
        <v>17.099999999999998</v>
      </c>
      <c r="Y14" s="184">
        <f>+IFERROR(P14/M14/22,0)</f>
        <v>3.8141263940520447</v>
      </c>
      <c r="Z14" s="338" t="s">
        <v>213</v>
      </c>
      <c r="AA14" s="108"/>
    </row>
    <row r="15" spans="1:28" s="69" customFormat="1" ht="54" thickBot="1" x14ac:dyDescent="0.3">
      <c r="A15" s="212"/>
      <c r="B15" s="225" t="str">
        <f>fleet!C16</f>
        <v>AMRAN PURBA</v>
      </c>
      <c r="C15" s="177"/>
      <c r="D15" s="164"/>
      <c r="E15" s="306"/>
      <c r="F15" s="250"/>
      <c r="G15" s="179"/>
      <c r="H15" s="180"/>
      <c r="I15" s="343"/>
      <c r="J15" s="162"/>
      <c r="K15" s="165"/>
      <c r="L15" s="180"/>
      <c r="M15" s="180"/>
      <c r="N15" s="181">
        <f>C15/10</f>
        <v>0</v>
      </c>
      <c r="O15" s="181"/>
      <c r="P15" s="182">
        <f>+IFERROR(D15/J15,0)</f>
        <v>0</v>
      </c>
      <c r="Q15" s="182">
        <f>+IFERROR(D15/K15,0)</f>
        <v>0</v>
      </c>
      <c r="R15" s="187">
        <f>+N15*J15</f>
        <v>0</v>
      </c>
      <c r="S15" s="187">
        <f>+R15-D15</f>
        <v>0</v>
      </c>
      <c r="T15" s="187"/>
      <c r="U15" s="187"/>
      <c r="V15" s="208"/>
      <c r="W15" s="278"/>
      <c r="X15" s="252"/>
      <c r="Y15" s="252"/>
      <c r="Z15" s="166"/>
      <c r="AA15" s="108"/>
    </row>
    <row r="16" spans="1:28" s="69" customFormat="1" ht="186" x14ac:dyDescent="0.25">
      <c r="A16" s="211" t="s">
        <v>19</v>
      </c>
      <c r="B16" s="328" t="s">
        <v>30</v>
      </c>
      <c r="C16" s="186">
        <f>H16*N16</f>
        <v>5000</v>
      </c>
      <c r="D16" s="164">
        <f>fleet!G21</f>
        <v>5258</v>
      </c>
      <c r="E16" s="309">
        <f>D16/C16</f>
        <v>1.0516000000000001</v>
      </c>
      <c r="F16" s="178" t="s">
        <v>98</v>
      </c>
      <c r="G16" s="179">
        <f>C16-D16</f>
        <v>-258</v>
      </c>
      <c r="H16" s="180">
        <v>10</v>
      </c>
      <c r="I16" s="343">
        <v>10</v>
      </c>
      <c r="J16" s="169">
        <f>9+(46/60)</f>
        <v>9.7666666666666675</v>
      </c>
      <c r="K16" s="169">
        <f>fleet!F21</f>
        <v>10</v>
      </c>
      <c r="L16" s="180">
        <v>4</v>
      </c>
      <c r="M16" s="169">
        <v>4</v>
      </c>
      <c r="N16" s="181">
        <v>500</v>
      </c>
      <c r="O16" s="181">
        <f>+D16/I16</f>
        <v>525.79999999999995</v>
      </c>
      <c r="P16" s="182">
        <f>+IFERROR(D16/J16,0)</f>
        <v>538.36177474402723</v>
      </c>
      <c r="Q16" s="182">
        <f>+IFERROR(D16/K16,0)</f>
        <v>525.79999999999995</v>
      </c>
      <c r="R16" s="187">
        <f>+N16*J16</f>
        <v>4883.3333333333339</v>
      </c>
      <c r="S16" s="187">
        <f>+R16-D16</f>
        <v>-374.66666666666606</v>
      </c>
      <c r="T16" s="187">
        <f>+N16*K16</f>
        <v>5000</v>
      </c>
      <c r="U16" s="187">
        <f>T16-D16</f>
        <v>-258</v>
      </c>
      <c r="V16" s="248">
        <v>1.02</v>
      </c>
      <c r="W16" s="249">
        <f>D16/C16</f>
        <v>1.0516000000000001</v>
      </c>
      <c r="X16" s="183">
        <f>+IFERROR(D16/K16/22,0)</f>
        <v>23.9</v>
      </c>
      <c r="Y16" s="184">
        <f>+IFERROR(P16/M16/22,0)</f>
        <v>6.1177474402730363</v>
      </c>
      <c r="Z16" s="338" t="s">
        <v>217</v>
      </c>
      <c r="AA16" s="28"/>
    </row>
    <row r="17" spans="1:27" s="701" customFormat="1" ht="54" thickBot="1" x14ac:dyDescent="0.3">
      <c r="A17" s="220"/>
      <c r="B17" s="688" t="str">
        <f>fleet!C21</f>
        <v>LEONARDUS</v>
      </c>
      <c r="C17" s="689"/>
      <c r="D17" s="690"/>
      <c r="E17" s="690"/>
      <c r="F17" s="253"/>
      <c r="G17" s="691"/>
      <c r="H17" s="692"/>
      <c r="I17" s="693"/>
      <c r="J17" s="694"/>
      <c r="K17" s="695"/>
      <c r="L17" s="692"/>
      <c r="M17" s="695"/>
      <c r="N17" s="696"/>
      <c r="O17" s="696"/>
      <c r="P17" s="697"/>
      <c r="Q17" s="697"/>
      <c r="R17" s="698"/>
      <c r="S17" s="698"/>
      <c r="T17" s="684"/>
      <c r="U17" s="684"/>
      <c r="V17" s="208"/>
      <c r="W17" s="685"/>
      <c r="X17" s="670"/>
      <c r="Y17" s="670"/>
      <c r="Z17" s="699"/>
      <c r="AA17" s="700"/>
    </row>
    <row r="18" spans="1:27" s="69" customFormat="1" ht="232.5" x14ac:dyDescent="0.25">
      <c r="A18" s="211" t="s">
        <v>19</v>
      </c>
      <c r="B18" s="328" t="s">
        <v>197</v>
      </c>
      <c r="C18" s="186">
        <v>3500</v>
      </c>
      <c r="D18" s="164">
        <f>fleet!G17</f>
        <v>3190</v>
      </c>
      <c r="E18" s="309">
        <f>D18/C18</f>
        <v>0.91142857142857148</v>
      </c>
      <c r="F18" s="178" t="s">
        <v>98</v>
      </c>
      <c r="G18" s="179">
        <f>C18-D18</f>
        <v>310</v>
      </c>
      <c r="H18" s="180">
        <v>10</v>
      </c>
      <c r="I18" s="343">
        <v>10</v>
      </c>
      <c r="J18" s="169">
        <f>7+(26/60)</f>
        <v>7.4333333333333336</v>
      </c>
      <c r="K18" s="169">
        <f>fleet!F17</f>
        <v>10</v>
      </c>
      <c r="L18" s="180"/>
      <c r="M18" s="169">
        <v>4</v>
      </c>
      <c r="N18" s="181">
        <v>350</v>
      </c>
      <c r="O18" s="181">
        <f>+D18/I18</f>
        <v>319</v>
      </c>
      <c r="P18" s="182">
        <f>+IFERROR(D18/J18,0)</f>
        <v>429.14798206278027</v>
      </c>
      <c r="Q18" s="182">
        <f>+IFERROR(D18/K18,0)</f>
        <v>319</v>
      </c>
      <c r="R18" s="187">
        <f>+N18*J18</f>
        <v>2601.666666666667</v>
      </c>
      <c r="S18" s="187">
        <f>+R18-D18</f>
        <v>-588.33333333333303</v>
      </c>
      <c r="T18" s="187">
        <f>+N18*K18</f>
        <v>3500</v>
      </c>
      <c r="U18" s="187">
        <f>T18-D18</f>
        <v>310</v>
      </c>
      <c r="V18" s="248">
        <v>1.02</v>
      </c>
      <c r="W18" s="249">
        <f>D18/C18</f>
        <v>0.91142857142857148</v>
      </c>
      <c r="X18" s="183">
        <f>+IFERROR(D18/K18/22,0)</f>
        <v>14.5</v>
      </c>
      <c r="Y18" s="708">
        <f>+IFERROR(P18/M18/22,0)</f>
        <v>4.876681614349776</v>
      </c>
      <c r="Z18" s="338" t="s">
        <v>215</v>
      </c>
      <c r="AA18" s="28"/>
    </row>
    <row r="19" spans="1:27" ht="96" customHeight="1" thickBot="1" x14ac:dyDescent="0.3">
      <c r="A19" s="673"/>
      <c r="B19" s="674" t="str">
        <f>fleet!C17</f>
        <v>GRADUS NGGERE</v>
      </c>
      <c r="C19" s="675"/>
      <c r="D19" s="676"/>
      <c r="E19" s="676"/>
      <c r="F19" s="253"/>
      <c r="G19" s="677"/>
      <c r="H19" s="678"/>
      <c r="I19" s="679"/>
      <c r="J19" s="680"/>
      <c r="K19" s="681"/>
      <c r="L19" s="678"/>
      <c r="M19" s="681"/>
      <c r="N19" s="682"/>
      <c r="O19" s="682"/>
      <c r="P19" s="683"/>
      <c r="Q19" s="683"/>
      <c r="R19" s="684"/>
      <c r="S19" s="684"/>
      <c r="T19" s="684"/>
      <c r="U19" s="684"/>
      <c r="V19" s="685"/>
      <c r="W19" s="685"/>
      <c r="X19" s="686"/>
      <c r="Y19" s="687"/>
      <c r="Z19" s="237"/>
    </row>
    <row r="20" spans="1:27" ht="47.25" thickBot="1" x14ac:dyDescent="0.3">
      <c r="A20" s="214" t="s">
        <v>22</v>
      </c>
      <c r="B20" s="226"/>
      <c r="C20" s="168">
        <f>+(C6+C8+C10+C12+C14+C16+C18)</f>
        <v>23500</v>
      </c>
      <c r="D20" s="168">
        <f>SUM(D6:D18)</f>
        <v>19998</v>
      </c>
      <c r="E20" s="314">
        <f>D20/C20</f>
        <v>0.85097872340425529</v>
      </c>
      <c r="F20" s="168">
        <f>SUM(F6:F12)</f>
        <v>0</v>
      </c>
      <c r="G20" s="168">
        <v>13196</v>
      </c>
      <c r="H20" s="168">
        <f t="shared" ref="H20:M20" si="0">SUM(H6:H17)</f>
        <v>60</v>
      </c>
      <c r="I20" s="348">
        <f t="shared" si="0"/>
        <v>40</v>
      </c>
      <c r="J20" s="348">
        <f>SUM(J6:J18)</f>
        <v>45.150000000000006</v>
      </c>
      <c r="K20" s="168">
        <f t="shared" si="0"/>
        <v>40</v>
      </c>
      <c r="L20" s="168">
        <f t="shared" si="0"/>
        <v>17</v>
      </c>
      <c r="M20" s="168">
        <f t="shared" si="0"/>
        <v>18</v>
      </c>
      <c r="N20" s="256">
        <f>C20/H20</f>
        <v>391.66666666666669</v>
      </c>
      <c r="O20" s="256">
        <f>+D20/I20</f>
        <v>499.95</v>
      </c>
      <c r="P20" s="256">
        <f>D20/J20</f>
        <v>442.92358803986707</v>
      </c>
      <c r="Q20" s="256">
        <f>D20/K20</f>
        <v>499.95</v>
      </c>
      <c r="R20" s="168">
        <f>SUM(R6:R17)</f>
        <v>18858.333333333336</v>
      </c>
      <c r="S20" s="168">
        <f>SUM(S6:S17)</f>
        <v>2050.333333333333</v>
      </c>
      <c r="T20" s="168"/>
      <c r="U20" s="168"/>
      <c r="V20" s="257"/>
      <c r="W20" s="265"/>
      <c r="X20" s="671"/>
      <c r="Y20" s="258"/>
      <c r="Z20" s="238"/>
    </row>
    <row r="21" spans="1:27" s="281" customFormat="1" ht="53.25" x14ac:dyDescent="0.25">
      <c r="A21" s="215" t="s">
        <v>20</v>
      </c>
      <c r="B21" s="337" t="s">
        <v>18</v>
      </c>
      <c r="C21" s="186"/>
      <c r="D21" s="164">
        <f>fleet!G27</f>
        <v>0</v>
      </c>
      <c r="E21" s="309" t="e">
        <f>D21/C21</f>
        <v>#DIV/0!</v>
      </c>
      <c r="F21" s="178" t="s">
        <v>35</v>
      </c>
      <c r="G21" s="276">
        <f>C21-D21</f>
        <v>0</v>
      </c>
      <c r="H21" s="255">
        <v>10</v>
      </c>
      <c r="I21" s="282">
        <v>10</v>
      </c>
      <c r="J21" s="169"/>
      <c r="K21" s="169">
        <f>fleet!F27</f>
        <v>0</v>
      </c>
      <c r="L21" s="180">
        <v>5</v>
      </c>
      <c r="M21" s="169"/>
      <c r="N21" s="181">
        <v>500</v>
      </c>
      <c r="O21" s="181">
        <f>+D21/I21</f>
        <v>0</v>
      </c>
      <c r="P21" s="182">
        <f>+IFERROR(D21/J21,0)</f>
        <v>0</v>
      </c>
      <c r="Q21" s="182">
        <f>+IFERROR(D21/K21,0)</f>
        <v>0</v>
      </c>
      <c r="R21" s="183">
        <f>+N21*J21</f>
        <v>0</v>
      </c>
      <c r="S21" s="183">
        <f>+R21-D21</f>
        <v>0</v>
      </c>
      <c r="T21" s="187">
        <f>+N21*K21</f>
        <v>0</v>
      </c>
      <c r="U21" s="187">
        <f>T21-D21</f>
        <v>0</v>
      </c>
      <c r="V21" s="208">
        <v>1.02</v>
      </c>
      <c r="W21" s="249" t="e">
        <f>D21/C21</f>
        <v>#DIV/0!</v>
      </c>
      <c r="X21" s="313">
        <f>+IFERROR(D21/K21/22,0)</f>
        <v>0</v>
      </c>
      <c r="Y21" s="184">
        <f>+IFERROR(P21/M21/22,0)</f>
        <v>0</v>
      </c>
      <c r="Z21" s="336" t="s">
        <v>218</v>
      </c>
      <c r="AA21" s="280"/>
    </row>
    <row r="22" spans="1:27" s="281" customFormat="1" ht="54.75" customHeight="1" thickBot="1" x14ac:dyDescent="0.3">
      <c r="A22" s="216"/>
      <c r="B22" s="672">
        <f>fleet!C27</f>
        <v>0</v>
      </c>
      <c r="C22" s="228"/>
      <c r="D22" s="164"/>
      <c r="E22" s="306"/>
      <c r="F22" s="260"/>
      <c r="G22" s="176"/>
      <c r="H22" s="255"/>
      <c r="I22" s="282"/>
      <c r="J22" s="169"/>
      <c r="K22" s="255"/>
      <c r="L22" s="255"/>
      <c r="M22" s="180"/>
      <c r="N22" s="259"/>
      <c r="O22" s="259"/>
      <c r="P22" s="261"/>
      <c r="Q22" s="261"/>
      <c r="R22" s="187"/>
      <c r="S22" s="187"/>
      <c r="T22" s="187"/>
      <c r="U22" s="187"/>
      <c r="V22" s="251"/>
      <c r="W22" s="251"/>
      <c r="X22" s="187"/>
      <c r="Y22" s="263"/>
      <c r="Z22" s="236"/>
      <c r="AA22" s="280"/>
    </row>
    <row r="23" spans="1:27" s="218" customFormat="1" ht="232.5" x14ac:dyDescent="0.25">
      <c r="A23" s="215" t="s">
        <v>20</v>
      </c>
      <c r="B23" s="770" t="s">
        <v>104</v>
      </c>
      <c r="C23" s="186">
        <v>5000</v>
      </c>
      <c r="D23" s="170">
        <f>fleet!G31</f>
        <v>3190</v>
      </c>
      <c r="E23" s="309">
        <f>D23/C23</f>
        <v>0.63800000000000001</v>
      </c>
      <c r="F23" s="178" t="s">
        <v>98</v>
      </c>
      <c r="G23" s="276">
        <f>C23-D23</f>
        <v>1810</v>
      </c>
      <c r="H23" s="255">
        <v>10</v>
      </c>
      <c r="I23" s="282">
        <v>10</v>
      </c>
      <c r="J23" s="169">
        <f>9+(20/60)</f>
        <v>9.3333333333333339</v>
      </c>
      <c r="K23" s="169">
        <f>fleet!F31</f>
        <v>10</v>
      </c>
      <c r="L23" s="255">
        <v>3</v>
      </c>
      <c r="M23" s="169">
        <v>4</v>
      </c>
      <c r="N23" s="259">
        <v>500</v>
      </c>
      <c r="O23" s="181">
        <f>+D23/I23</f>
        <v>319</v>
      </c>
      <c r="P23" s="182">
        <f>+IFERROR(D23/J23,0)</f>
        <v>341.78571428571428</v>
      </c>
      <c r="Q23" s="182">
        <f>+IFERROR(D23/K23,0)</f>
        <v>319</v>
      </c>
      <c r="R23" s="187">
        <f>+N23*J23</f>
        <v>4666.666666666667</v>
      </c>
      <c r="S23" s="187">
        <f>+R23-D23</f>
        <v>1476.666666666667</v>
      </c>
      <c r="T23" s="187">
        <f>+N23*K23</f>
        <v>5000</v>
      </c>
      <c r="U23" s="187">
        <f>T23-D23</f>
        <v>1810</v>
      </c>
      <c r="V23" s="251">
        <v>1.02</v>
      </c>
      <c r="W23" s="249">
        <f>D23/C23</f>
        <v>0.63800000000000001</v>
      </c>
      <c r="X23" s="183">
        <f>+IFERROR(D23/K23/22,0)</f>
        <v>14.5</v>
      </c>
      <c r="Y23" s="184">
        <f>+IFERROR(P23/M23/22,0)</f>
        <v>3.8839285714285712</v>
      </c>
      <c r="Z23" s="336" t="s">
        <v>220</v>
      </c>
    </row>
    <row r="24" spans="1:27" s="218" customFormat="1" ht="52.5" customHeight="1" thickBot="1" x14ac:dyDescent="0.3">
      <c r="A24" s="222"/>
      <c r="B24" s="672" t="str">
        <f>fleet!C31</f>
        <v>EVENSIUS</v>
      </c>
      <c r="C24" s="228"/>
      <c r="D24" s="170"/>
      <c r="E24" s="307"/>
      <c r="F24" s="279"/>
      <c r="G24" s="179"/>
      <c r="H24" s="255"/>
      <c r="I24" s="282"/>
      <c r="J24" s="169"/>
      <c r="K24" s="169"/>
      <c r="L24" s="255"/>
      <c r="M24" s="169"/>
      <c r="N24" s="259"/>
      <c r="O24" s="181"/>
      <c r="P24" s="182"/>
      <c r="Q24" s="182"/>
      <c r="R24" s="187"/>
      <c r="S24" s="187"/>
      <c r="T24" s="289"/>
      <c r="U24" s="289"/>
      <c r="V24" s="248"/>
      <c r="W24" s="248"/>
      <c r="X24" s="183"/>
      <c r="Y24" s="183"/>
      <c r="Z24" s="242"/>
    </row>
    <row r="25" spans="1:27" s="218" customFormat="1" ht="53.25" x14ac:dyDescent="0.25">
      <c r="A25" s="223" t="s">
        <v>20</v>
      </c>
      <c r="B25" s="341" t="s">
        <v>140</v>
      </c>
      <c r="C25" s="186"/>
      <c r="D25" s="170">
        <f>fleet!G34</f>
        <v>0</v>
      </c>
      <c r="E25" s="309" t="e">
        <f>D25/C25</f>
        <v>#DIV/0!</v>
      </c>
      <c r="F25" s="178" t="s">
        <v>98</v>
      </c>
      <c r="G25" s="276">
        <f>C25-D25</f>
        <v>0</v>
      </c>
      <c r="H25" s="255">
        <v>10</v>
      </c>
      <c r="I25" s="282"/>
      <c r="J25" s="169"/>
      <c r="K25" s="169">
        <f>fleet!F34</f>
        <v>0</v>
      </c>
      <c r="L25" s="255">
        <v>3</v>
      </c>
      <c r="M25" s="169"/>
      <c r="N25" s="259">
        <v>500</v>
      </c>
      <c r="O25" s="181" t="e">
        <f>+D25/I25</f>
        <v>#DIV/0!</v>
      </c>
      <c r="P25" s="182">
        <f>+IFERROR(D25/J25,0)</f>
        <v>0</v>
      </c>
      <c r="Q25" s="182">
        <f>+IFERROR(D25/K25,0)</f>
        <v>0</v>
      </c>
      <c r="R25" s="187">
        <f>+N25*J25</f>
        <v>0</v>
      </c>
      <c r="S25" s="187">
        <f>+R25-D25</f>
        <v>0</v>
      </c>
      <c r="T25" s="187">
        <f>+N25*K25</f>
        <v>0</v>
      </c>
      <c r="U25" s="187">
        <f>T25-D25</f>
        <v>0</v>
      </c>
      <c r="V25" s="248"/>
      <c r="W25" s="249" t="e">
        <f>D25/C25</f>
        <v>#DIV/0!</v>
      </c>
      <c r="X25" s="183">
        <f>+IFERROR(D25/K25/22,0)</f>
        <v>0</v>
      </c>
      <c r="Y25" s="184">
        <f>+IFERROR(P25/M25/22,0)</f>
        <v>0</v>
      </c>
      <c r="Z25" s="336" t="s">
        <v>218</v>
      </c>
    </row>
    <row r="26" spans="1:27" s="218" customFormat="1" ht="38.25" customHeight="1" x14ac:dyDescent="0.25">
      <c r="A26" s="217"/>
      <c r="B26" s="227">
        <f>fleet!C34</f>
        <v>0</v>
      </c>
      <c r="C26" s="229"/>
      <c r="D26" s="170"/>
      <c r="E26" s="307"/>
      <c r="F26" s="279"/>
      <c r="G26" s="179"/>
      <c r="H26" s="255"/>
      <c r="I26" s="282"/>
      <c r="J26" s="169"/>
      <c r="K26" s="169"/>
      <c r="L26" s="255"/>
      <c r="M26" s="169"/>
      <c r="N26" s="259"/>
      <c r="O26" s="181"/>
      <c r="P26" s="182"/>
      <c r="Q26" s="182"/>
      <c r="R26" s="187"/>
      <c r="S26" s="187"/>
      <c r="T26" s="289"/>
      <c r="U26" s="289"/>
      <c r="V26" s="248"/>
      <c r="W26" s="283"/>
      <c r="X26" s="252"/>
      <c r="Y26" s="284"/>
      <c r="Z26" s="285"/>
    </row>
    <row r="27" spans="1:27" s="218" customFormat="1" ht="40.5" customHeight="1" thickBot="1" x14ac:dyDescent="0.3">
      <c r="A27" s="224"/>
      <c r="B27" s="233"/>
      <c r="C27" s="229"/>
      <c r="D27" s="170"/>
      <c r="E27" s="307"/>
      <c r="F27" s="279"/>
      <c r="G27" s="179"/>
      <c r="H27" s="255"/>
      <c r="I27" s="282"/>
      <c r="J27" s="169"/>
      <c r="K27" s="169"/>
      <c r="L27" s="255"/>
      <c r="M27" s="169"/>
      <c r="N27" s="259"/>
      <c r="O27" s="181"/>
      <c r="P27" s="182"/>
      <c r="Q27" s="182"/>
      <c r="R27" s="187"/>
      <c r="S27" s="187"/>
      <c r="T27" s="289"/>
      <c r="U27" s="289"/>
      <c r="V27" s="248"/>
      <c r="W27" s="283"/>
      <c r="X27" s="252"/>
      <c r="Y27" s="344"/>
      <c r="Z27" s="647"/>
    </row>
    <row r="28" spans="1:27" s="69" customFormat="1" ht="186" x14ac:dyDescent="0.25">
      <c r="A28" s="215" t="s">
        <v>20</v>
      </c>
      <c r="B28" s="340" t="s">
        <v>39</v>
      </c>
      <c r="C28" s="186">
        <v>5000</v>
      </c>
      <c r="D28" s="170">
        <f>fleet!G35</f>
        <v>4048</v>
      </c>
      <c r="E28" s="309">
        <f>D28/C28</f>
        <v>0.80959999999999999</v>
      </c>
      <c r="F28" s="178" t="s">
        <v>98</v>
      </c>
      <c r="G28" s="276">
        <f>C28-D28</f>
        <v>952</v>
      </c>
      <c r="H28" s="255">
        <v>10</v>
      </c>
      <c r="I28" s="282">
        <v>10</v>
      </c>
      <c r="J28" s="169">
        <f>9+(32/60)</f>
        <v>9.5333333333333332</v>
      </c>
      <c r="K28" s="169">
        <f>fleet!F35</f>
        <v>10</v>
      </c>
      <c r="L28" s="255">
        <v>4</v>
      </c>
      <c r="M28" s="169">
        <v>5</v>
      </c>
      <c r="N28" s="259">
        <v>500</v>
      </c>
      <c r="O28" s="181">
        <f>+D28/I28</f>
        <v>404.8</v>
      </c>
      <c r="P28" s="182">
        <f>+IFERROR(D28/J28,0)</f>
        <v>424.61538461538464</v>
      </c>
      <c r="Q28" s="182">
        <f>+IFERROR(D28/K28,0)</f>
        <v>404.8</v>
      </c>
      <c r="R28" s="187">
        <f>+N28*J28</f>
        <v>4766.666666666667</v>
      </c>
      <c r="S28" s="187">
        <f>+R28-D28</f>
        <v>718.66666666666697</v>
      </c>
      <c r="T28" s="187">
        <f>+N28*K28</f>
        <v>5000</v>
      </c>
      <c r="U28" s="187">
        <f>T28-D28</f>
        <v>952</v>
      </c>
      <c r="V28" s="208">
        <v>1.34</v>
      </c>
      <c r="W28" s="249">
        <f>D28/C28</f>
        <v>0.80959999999999999</v>
      </c>
      <c r="X28" s="183">
        <f>+IFERROR(D28/K28/16,0)</f>
        <v>25.3</v>
      </c>
      <c r="Y28" s="646">
        <f>+IFERROR(P28/M28/22,0)</f>
        <v>3.8601398601398604</v>
      </c>
      <c r="Z28" s="336" t="s">
        <v>224</v>
      </c>
      <c r="AA28" s="108"/>
    </row>
    <row r="29" spans="1:27" s="69" customFormat="1" ht="41.25" customHeight="1" thickBot="1" x14ac:dyDescent="0.3">
      <c r="A29" s="216"/>
      <c r="B29" s="227" t="str">
        <f>fleet!C35</f>
        <v>M ARDAN</v>
      </c>
      <c r="C29" s="228"/>
      <c r="D29" s="170"/>
      <c r="E29" s="305"/>
      <c r="F29" s="264"/>
      <c r="G29" s="176"/>
      <c r="H29" s="255"/>
      <c r="I29" s="282"/>
      <c r="J29" s="169"/>
      <c r="K29" s="171"/>
      <c r="L29" s="255"/>
      <c r="M29" s="255"/>
      <c r="N29" s="259"/>
      <c r="O29" s="259"/>
      <c r="P29" s="261"/>
      <c r="Q29" s="261"/>
      <c r="R29" s="187"/>
      <c r="S29" s="187"/>
      <c r="T29" s="187"/>
      <c r="U29" s="187"/>
      <c r="V29" s="262"/>
      <c r="W29" s="286"/>
      <c r="X29" s="263"/>
      <c r="Y29" s="329"/>
      <c r="Z29" s="287"/>
      <c r="AA29" s="108"/>
    </row>
    <row r="30" spans="1:27" s="281" customFormat="1" ht="139.5" x14ac:dyDescent="0.25">
      <c r="A30" s="215" t="s">
        <v>20</v>
      </c>
      <c r="B30" s="357" t="s">
        <v>142</v>
      </c>
      <c r="C30" s="186">
        <v>5000</v>
      </c>
      <c r="D30" s="164">
        <f>fleet!G33</f>
        <v>6006</v>
      </c>
      <c r="E30" s="309">
        <f>D30/C30</f>
        <v>1.2012</v>
      </c>
      <c r="F30" s="178" t="s">
        <v>98</v>
      </c>
      <c r="G30" s="276">
        <f>C30-D30</f>
        <v>-1006</v>
      </c>
      <c r="H30" s="255">
        <v>10</v>
      </c>
      <c r="I30" s="282">
        <v>10</v>
      </c>
      <c r="J30" s="169">
        <f>9+(48/60)</f>
        <v>9.8000000000000007</v>
      </c>
      <c r="K30" s="169">
        <f>fleet!F33</f>
        <v>10</v>
      </c>
      <c r="L30" s="255">
        <v>4</v>
      </c>
      <c r="M30" s="169">
        <v>4</v>
      </c>
      <c r="N30" s="288">
        <v>500</v>
      </c>
      <c r="O30" s="181">
        <f>+D30/I30</f>
        <v>600.6</v>
      </c>
      <c r="P30" s="182">
        <f>+IFERROR(D30/J30,0)</f>
        <v>612.85714285714278</v>
      </c>
      <c r="Q30" s="182">
        <f>+IFERROR(D30/K30,0)</f>
        <v>600.6</v>
      </c>
      <c r="R30" s="289">
        <f>+N30*J30</f>
        <v>4900</v>
      </c>
      <c r="S30" s="289">
        <f>+R30-D30</f>
        <v>-1106</v>
      </c>
      <c r="T30" s="187">
        <f>+N30*K30</f>
        <v>5000</v>
      </c>
      <c r="U30" s="187">
        <f>T30-D30</f>
        <v>-1006</v>
      </c>
      <c r="V30" s="208">
        <v>1.02</v>
      </c>
      <c r="W30" s="249">
        <f>D30/C30</f>
        <v>1.2012</v>
      </c>
      <c r="X30" s="183">
        <f>+IFERROR(D30/K30/22,0)</f>
        <v>27.3</v>
      </c>
      <c r="Y30" s="184">
        <f>+IFERROR(P30/M30/22,0)</f>
        <v>6.9642857142857135</v>
      </c>
      <c r="Z30" s="336" t="s">
        <v>223</v>
      </c>
      <c r="AA30" s="280"/>
    </row>
    <row r="31" spans="1:27" s="281" customFormat="1" ht="42.75" customHeight="1" x14ac:dyDescent="0.25">
      <c r="A31" s="212"/>
      <c r="B31" s="225" t="str">
        <f>fleet!C33</f>
        <v>OBETH</v>
      </c>
      <c r="C31" s="177"/>
      <c r="D31" s="164"/>
      <c r="E31" s="178"/>
      <c r="F31" s="250"/>
      <c r="G31" s="290"/>
      <c r="H31" s="180"/>
      <c r="I31" s="343"/>
      <c r="J31" s="162"/>
      <c r="K31" s="180"/>
      <c r="L31" s="180"/>
      <c r="M31" s="180"/>
      <c r="N31" s="181"/>
      <c r="O31" s="181"/>
      <c r="P31" s="182"/>
      <c r="Q31" s="182"/>
      <c r="R31" s="183"/>
      <c r="S31" s="183"/>
      <c r="T31" s="183"/>
      <c r="U31" s="183"/>
      <c r="V31" s="251"/>
      <c r="W31" s="251"/>
      <c r="X31" s="183"/>
      <c r="Y31" s="291"/>
      <c r="Z31" s="236"/>
      <c r="AA31" s="280"/>
    </row>
    <row r="32" spans="1:27" s="218" customFormat="1" ht="37.5" customHeight="1" thickBot="1" x14ac:dyDescent="0.3">
      <c r="A32" s="213"/>
      <c r="B32" s="225"/>
      <c r="C32" s="177"/>
      <c r="D32" s="164"/>
      <c r="E32" s="306"/>
      <c r="F32" s="253"/>
      <c r="G32" s="290"/>
      <c r="H32" s="180"/>
      <c r="I32" s="343"/>
      <c r="J32" s="162"/>
      <c r="K32" s="180"/>
      <c r="L32" s="180"/>
      <c r="M32" s="292"/>
      <c r="N32" s="181"/>
      <c r="O32" s="181"/>
      <c r="P32" s="182"/>
      <c r="Q32" s="182"/>
      <c r="R32" s="183"/>
      <c r="S32" s="183"/>
      <c r="T32" s="313"/>
      <c r="U32" s="313"/>
      <c r="V32" s="254"/>
      <c r="W32" s="293"/>
      <c r="X32" s="252"/>
      <c r="Y32" s="294"/>
      <c r="Z32" s="241"/>
    </row>
    <row r="33" spans="1:26" s="218" customFormat="1" ht="139.5" x14ac:dyDescent="0.25">
      <c r="A33" s="215" t="s">
        <v>20</v>
      </c>
      <c r="B33" s="340" t="s">
        <v>30</v>
      </c>
      <c r="C33" s="186">
        <v>5000</v>
      </c>
      <c r="D33" s="170">
        <f>fleet!G40</f>
        <v>4268</v>
      </c>
      <c r="E33" s="309">
        <f>D33/C33</f>
        <v>0.85360000000000003</v>
      </c>
      <c r="F33" s="178" t="s">
        <v>98</v>
      </c>
      <c r="G33" s="276">
        <f>C33-D33</f>
        <v>732</v>
      </c>
      <c r="H33" s="180">
        <v>10</v>
      </c>
      <c r="I33" s="282">
        <v>10</v>
      </c>
      <c r="J33" s="169">
        <f>9+(38/60)</f>
        <v>9.6333333333333329</v>
      </c>
      <c r="K33" s="169">
        <f>fleet!F40</f>
        <v>10</v>
      </c>
      <c r="L33" s="255">
        <v>4</v>
      </c>
      <c r="M33" s="169">
        <v>4</v>
      </c>
      <c r="N33" s="259">
        <v>500</v>
      </c>
      <c r="O33" s="181">
        <f>+D33/I33</f>
        <v>426.8</v>
      </c>
      <c r="P33" s="182">
        <f>+IFERROR(D33/J33,0)</f>
        <v>443.04498269896197</v>
      </c>
      <c r="Q33" s="182">
        <f>+IFERROR(D33/K33,0)</f>
        <v>426.8</v>
      </c>
      <c r="R33" s="187">
        <f>+N33*J33</f>
        <v>4816.6666666666661</v>
      </c>
      <c r="S33" s="187">
        <f>+R33-D33</f>
        <v>548.66666666666606</v>
      </c>
      <c r="T33" s="187">
        <f>+N33*K33</f>
        <v>5000</v>
      </c>
      <c r="U33" s="187">
        <f>T33-D33</f>
        <v>732</v>
      </c>
      <c r="V33" s="208">
        <v>1.02</v>
      </c>
      <c r="W33" s="249">
        <f>D33/C33</f>
        <v>0.85360000000000003</v>
      </c>
      <c r="X33" s="183">
        <f>+IFERROR(D33/K33/22,0)</f>
        <v>19.400000000000002</v>
      </c>
      <c r="Y33" s="184">
        <f>+IFERROR(P33/M33/22,0)</f>
        <v>5.0346020761245676</v>
      </c>
      <c r="Z33" s="336" t="s">
        <v>219</v>
      </c>
    </row>
    <row r="34" spans="1:26" s="218" customFormat="1" ht="53.25" x14ac:dyDescent="0.25">
      <c r="A34" s="215"/>
      <c r="B34" s="912" t="str">
        <f>fleet!C40</f>
        <v>ARKADIUS</v>
      </c>
      <c r="C34" s="911"/>
      <c r="D34" s="710"/>
      <c r="E34" s="711"/>
      <c r="F34" s="712"/>
      <c r="G34" s="691"/>
      <c r="H34" s="692"/>
      <c r="I34" s="713"/>
      <c r="J34" s="695"/>
      <c r="K34" s="695"/>
      <c r="L34" s="714"/>
      <c r="M34" s="695"/>
      <c r="N34" s="715"/>
      <c r="O34" s="696"/>
      <c r="P34" s="697"/>
      <c r="Q34" s="697"/>
      <c r="R34" s="698"/>
      <c r="S34" s="698"/>
      <c r="T34" s="698"/>
      <c r="U34" s="698"/>
      <c r="V34" s="208"/>
      <c r="W34" s="716"/>
      <c r="X34" s="670"/>
      <c r="Y34" s="184"/>
      <c r="Z34" s="913"/>
    </row>
    <row r="35" spans="1:26" s="218" customFormat="1" ht="186" x14ac:dyDescent="0.25">
      <c r="A35" s="215" t="s">
        <v>20</v>
      </c>
      <c r="B35" s="328" t="s">
        <v>197</v>
      </c>
      <c r="C35" s="709">
        <v>3500</v>
      </c>
      <c r="D35" s="710">
        <f>fleet!G39</f>
        <v>3476</v>
      </c>
      <c r="E35" s="711">
        <f>D35/C35</f>
        <v>0.99314285714285711</v>
      </c>
      <c r="F35" s="712" t="s">
        <v>98</v>
      </c>
      <c r="G35" s="691">
        <f>C35-D35</f>
        <v>24</v>
      </c>
      <c r="H35" s="692">
        <v>10</v>
      </c>
      <c r="I35" s="713">
        <v>10</v>
      </c>
      <c r="J35" s="695">
        <f>8+(14/60)</f>
        <v>8.2333333333333325</v>
      </c>
      <c r="K35" s="695">
        <f>fleet!F39</f>
        <v>9</v>
      </c>
      <c r="L35" s="714">
        <v>3</v>
      </c>
      <c r="M35" s="695">
        <v>3</v>
      </c>
      <c r="N35" s="715">
        <v>350</v>
      </c>
      <c r="O35" s="696">
        <f>+D35/I35</f>
        <v>347.6</v>
      </c>
      <c r="P35" s="697">
        <f>+IFERROR(D35/J35,0)</f>
        <v>422.18623481781378</v>
      </c>
      <c r="Q35" s="697">
        <f>+IFERROR(D35/K35,0)</f>
        <v>386.22222222222223</v>
      </c>
      <c r="R35" s="698">
        <f>+N35*J35</f>
        <v>2881.6666666666665</v>
      </c>
      <c r="S35" s="698">
        <f>+R35-D35</f>
        <v>-594.33333333333348</v>
      </c>
      <c r="T35" s="698">
        <f>+N35*K35</f>
        <v>3150</v>
      </c>
      <c r="U35" s="698">
        <f>T35-D35</f>
        <v>-326</v>
      </c>
      <c r="V35" s="208">
        <v>1.02</v>
      </c>
      <c r="W35" s="716">
        <f>D35/C35</f>
        <v>0.99314285714285711</v>
      </c>
      <c r="X35" s="670">
        <f>+IFERROR(D35/K35/22,0)</f>
        <v>17.555555555555557</v>
      </c>
      <c r="Y35" s="184">
        <f>+IFERROR(P35/M35/22,0)</f>
        <v>6.3967611336032384</v>
      </c>
      <c r="Z35" s="336" t="s">
        <v>222</v>
      </c>
    </row>
    <row r="36" spans="1:26" s="740" customFormat="1" ht="47.25" customHeight="1" thickBot="1" x14ac:dyDescent="0.3">
      <c r="A36" s="723"/>
      <c r="B36" s="724" t="str">
        <f>fleet!C39</f>
        <v>KARMAN</v>
      </c>
      <c r="C36" s="725"/>
      <c r="D36" s="726"/>
      <c r="E36" s="727"/>
      <c r="F36" s="728"/>
      <c r="G36" s="729"/>
      <c r="H36" s="730"/>
      <c r="I36" s="731"/>
      <c r="J36" s="732"/>
      <c r="K36" s="730"/>
      <c r="L36" s="730"/>
      <c r="M36" s="730"/>
      <c r="N36" s="733"/>
      <c r="O36" s="734"/>
      <c r="P36" s="735"/>
      <c r="Q36" s="735"/>
      <c r="R36" s="736"/>
      <c r="S36" s="736"/>
      <c r="T36" s="736"/>
      <c r="U36" s="736"/>
      <c r="V36" s="737"/>
      <c r="W36" s="737"/>
      <c r="X36" s="738"/>
      <c r="Y36" s="738"/>
      <c r="Z36" s="739"/>
    </row>
    <row r="37" spans="1:26" ht="47.25" thickBot="1" x14ac:dyDescent="0.3">
      <c r="A37" s="717" t="s">
        <v>28</v>
      </c>
      <c r="B37" s="717"/>
      <c r="C37" s="168">
        <f>+(C21+C23+C25+C28+C30+C33+C35)</f>
        <v>23500</v>
      </c>
      <c r="D37" s="718">
        <f>SUM(D21:D35)</f>
        <v>20988</v>
      </c>
      <c r="E37" s="719">
        <f>D37/C37</f>
        <v>0.89310638297872336</v>
      </c>
      <c r="F37" s="718">
        <f>SUM(F21:F29)</f>
        <v>0</v>
      </c>
      <c r="G37" s="718">
        <f>SUM(G21:G35)</f>
        <v>2512</v>
      </c>
      <c r="H37" s="718">
        <f>SUM(H21:H35)</f>
        <v>70</v>
      </c>
      <c r="I37" s="718">
        <f>SUM(I21:I35)</f>
        <v>60</v>
      </c>
      <c r="J37" s="718">
        <f>SUM(J21:J35)</f>
        <v>46.533333333333331</v>
      </c>
      <c r="K37" s="718">
        <f>SUM(K21:K35)</f>
        <v>49</v>
      </c>
      <c r="L37" s="718">
        <f>SUM(L21:L35)</f>
        <v>26</v>
      </c>
      <c r="M37" s="718">
        <f>SUM(M21:M35)</f>
        <v>20</v>
      </c>
      <c r="N37" s="718">
        <f>SUM(N21:N35)</f>
        <v>3350</v>
      </c>
      <c r="O37" s="718" t="e">
        <f>SUM(O21:O35)</f>
        <v>#DIV/0!</v>
      </c>
      <c r="P37" s="718">
        <f>SUM(P21:P35)</f>
        <v>2244.4894592750175</v>
      </c>
      <c r="Q37" s="718">
        <f>SUM(Q21:Q35)</f>
        <v>2137.4222222222224</v>
      </c>
      <c r="R37" s="718">
        <f>SUM(R21:R35)</f>
        <v>22031.666666666668</v>
      </c>
      <c r="S37" s="718">
        <f>SUM(S21:S35)</f>
        <v>1043.6666666666665</v>
      </c>
      <c r="T37" s="718"/>
      <c r="U37" s="718"/>
      <c r="V37" s="720"/>
      <c r="W37" s="720"/>
      <c r="X37" s="721"/>
      <c r="Y37" s="721"/>
      <c r="Z37" s="722"/>
    </row>
    <row r="38" spans="1:26" ht="57.75" x14ac:dyDescent="0.25">
      <c r="B38" s="97"/>
      <c r="C38" s="63"/>
      <c r="D38" s="63"/>
      <c r="E38" s="63"/>
      <c r="F38" s="63"/>
      <c r="G38" s="63"/>
      <c r="H38" s="140"/>
      <c r="I38" s="349"/>
      <c r="J38" s="763"/>
      <c r="K38" s="140"/>
      <c r="L38" s="780"/>
      <c r="M38" s="780"/>
      <c r="N38" s="780"/>
      <c r="O38" s="95"/>
      <c r="P38" s="295"/>
      <c r="Q38" s="65"/>
      <c r="R38" s="65"/>
      <c r="S38" s="65"/>
      <c r="T38" s="65"/>
      <c r="U38" s="65"/>
      <c r="V38" s="132"/>
      <c r="W38" s="132"/>
      <c r="X38" s="266"/>
      <c r="Y38" s="266"/>
      <c r="Z38" s="239"/>
    </row>
    <row r="39" spans="1:26" ht="66.75" x14ac:dyDescent="0.25">
      <c r="B39" s="63"/>
      <c r="C39" s="63"/>
      <c r="D39" s="63"/>
      <c r="E39" s="63"/>
      <c r="F39" s="63"/>
      <c r="G39" s="335"/>
      <c r="H39" s="154"/>
      <c r="I39" s="350"/>
      <c r="J39" s="154"/>
      <c r="K39" s="154"/>
      <c r="L39" s="267"/>
      <c r="M39" s="209"/>
      <c r="N39" s="268"/>
      <c r="O39" s="296"/>
      <c r="P39" s="297"/>
      <c r="Q39" s="270"/>
      <c r="R39" s="266"/>
      <c r="S39" s="188"/>
      <c r="T39" s="188"/>
      <c r="U39" s="188"/>
      <c r="V39" s="97"/>
      <c r="W39" s="97"/>
      <c r="X39" s="188"/>
      <c r="Y39" s="188"/>
      <c r="Z39" s="188"/>
    </row>
    <row r="40" spans="1:26" ht="39.75" customHeight="1" x14ac:dyDescent="0.25">
      <c r="B40" s="97" t="s">
        <v>58</v>
      </c>
      <c r="C40" s="99"/>
      <c r="D40" s="63"/>
      <c r="E40" s="63"/>
      <c r="F40" s="99"/>
      <c r="G40" s="879" t="s">
        <v>59</v>
      </c>
      <c r="H40" s="879"/>
      <c r="I40" s="879"/>
      <c r="J40" s="879"/>
      <c r="K40" s="879"/>
      <c r="L40" s="879"/>
      <c r="M40" s="879"/>
      <c r="N40" s="298"/>
      <c r="O40" s="96"/>
      <c r="P40" s="297"/>
      <c r="R40" s="266"/>
      <c r="S40" s="886" t="s">
        <v>200</v>
      </c>
      <c r="T40" s="886"/>
      <c r="U40" s="886"/>
      <c r="V40" s="886"/>
      <c r="W40" s="886"/>
      <c r="X40" s="886"/>
      <c r="Y40" s="188"/>
      <c r="Z40" s="188"/>
    </row>
    <row r="41" spans="1:26" ht="66.75" x14ac:dyDescent="0.25">
      <c r="B41" s="97"/>
      <c r="C41" s="100"/>
      <c r="D41" s="63"/>
      <c r="E41" s="63"/>
      <c r="F41" s="63"/>
      <c r="G41" s="335"/>
      <c r="H41" s="335"/>
      <c r="I41" s="351"/>
      <c r="J41" s="335"/>
      <c r="K41" s="154"/>
      <c r="L41" s="780"/>
      <c r="M41" s="780"/>
      <c r="N41" s="780"/>
      <c r="O41" s="95"/>
      <c r="P41" s="297"/>
      <c r="R41" s="266"/>
      <c r="S41" s="155"/>
      <c r="T41" s="155"/>
      <c r="U41" s="155"/>
      <c r="V41" s="132"/>
      <c r="W41" s="132"/>
      <c r="X41" s="266"/>
      <c r="Y41" s="266"/>
      <c r="Z41" s="239"/>
    </row>
    <row r="42" spans="1:26" ht="45.75" x14ac:dyDescent="0.25">
      <c r="B42" s="97"/>
      <c r="C42" s="234"/>
      <c r="D42" s="129"/>
      <c r="E42" s="311"/>
      <c r="F42" s="299"/>
      <c r="H42" s="44"/>
      <c r="I42" s="352"/>
      <c r="J42" s="136"/>
      <c r="K42" s="32"/>
      <c r="L42" s="44"/>
      <c r="N42" s="269"/>
      <c r="O42" s="269"/>
      <c r="P42" s="270"/>
      <c r="Q42" s="270"/>
      <c r="R42" s="266"/>
      <c r="S42" s="266"/>
      <c r="T42" s="266"/>
      <c r="U42" s="266"/>
      <c r="V42" s="132"/>
      <c r="W42" s="132"/>
      <c r="X42" s="266"/>
      <c r="Y42" s="266"/>
      <c r="Z42" s="239"/>
    </row>
    <row r="43" spans="1:26" ht="45.75" x14ac:dyDescent="0.25">
      <c r="B43" s="97"/>
      <c r="C43" s="234"/>
      <c r="D43" s="129"/>
      <c r="E43" s="311"/>
      <c r="F43" s="299"/>
      <c r="H43" s="44"/>
      <c r="I43" s="352"/>
      <c r="J43" s="136"/>
      <c r="K43" s="32"/>
      <c r="L43" s="44"/>
      <c r="N43" s="269"/>
      <c r="O43" s="269"/>
      <c r="P43" s="270"/>
      <c r="Q43" s="270"/>
      <c r="R43" s="266"/>
      <c r="S43" s="266"/>
      <c r="T43" s="266"/>
      <c r="U43" s="266"/>
      <c r="V43" s="132"/>
      <c r="W43" s="132"/>
      <c r="X43" s="266"/>
      <c r="Y43" s="266"/>
      <c r="Z43" s="239"/>
    </row>
    <row r="44" spans="1:26" ht="45.75" x14ac:dyDescent="0.25">
      <c r="B44" s="97"/>
      <c r="C44" s="234"/>
      <c r="D44" s="129"/>
      <c r="E44" s="311"/>
      <c r="F44" s="299"/>
      <c r="H44" s="44"/>
      <c r="I44" s="352"/>
      <c r="J44" s="136"/>
      <c r="K44" s="32"/>
      <c r="L44" s="44"/>
      <c r="N44" s="269"/>
      <c r="O44" s="269"/>
      <c r="P44" s="270"/>
      <c r="Q44" s="270"/>
      <c r="R44" s="266"/>
      <c r="S44" s="266"/>
      <c r="T44" s="266"/>
      <c r="U44" s="266"/>
      <c r="V44" s="132"/>
      <c r="W44" s="132"/>
      <c r="X44" s="266"/>
      <c r="Y44" s="266"/>
      <c r="Z44" s="239"/>
    </row>
    <row r="45" spans="1:26" ht="45.75" x14ac:dyDescent="0.25">
      <c r="B45" s="63"/>
      <c r="C45" s="234"/>
      <c r="D45" s="129"/>
      <c r="E45" s="311"/>
      <c r="F45" s="299"/>
      <c r="G45" s="144"/>
      <c r="H45" s="267"/>
      <c r="I45" s="353"/>
      <c r="J45" s="300"/>
      <c r="K45" s="301"/>
      <c r="L45" s="267"/>
      <c r="M45" s="267"/>
      <c r="N45" s="269"/>
      <c r="O45" s="269"/>
      <c r="P45" s="270"/>
      <c r="Q45" s="270"/>
      <c r="R45" s="266"/>
      <c r="S45" s="266"/>
      <c r="T45" s="266"/>
      <c r="U45" s="266"/>
      <c r="V45" s="132"/>
      <c r="W45" s="132"/>
      <c r="X45" s="266"/>
      <c r="Y45" s="266"/>
      <c r="Z45" s="239"/>
    </row>
    <row r="46" spans="1:26" ht="45.75" x14ac:dyDescent="0.25">
      <c r="B46" s="333"/>
      <c r="C46" s="234"/>
      <c r="D46" s="129"/>
      <c r="E46" s="311"/>
      <c r="F46" s="299"/>
      <c r="G46" s="144"/>
      <c r="H46" s="267"/>
      <c r="I46" s="353"/>
      <c r="J46" s="300"/>
      <c r="K46" s="301"/>
      <c r="L46" s="267"/>
      <c r="M46" s="267"/>
      <c r="N46" s="269"/>
      <c r="O46" s="269"/>
      <c r="P46" s="270"/>
      <c r="Q46" s="270"/>
      <c r="R46" s="266"/>
      <c r="S46" s="266"/>
      <c r="T46" s="266"/>
      <c r="U46" s="266"/>
      <c r="V46" s="132"/>
      <c r="W46" s="132"/>
      <c r="X46" s="266"/>
      <c r="Y46" s="266"/>
      <c r="Z46" s="239"/>
    </row>
    <row r="47" spans="1:26" ht="45.75" x14ac:dyDescent="0.55000000000000004">
      <c r="B47" s="230" t="s">
        <v>102</v>
      </c>
      <c r="C47" s="234"/>
      <c r="D47" s="129"/>
      <c r="E47" s="311"/>
      <c r="F47" s="299"/>
      <c r="G47" s="872" t="s">
        <v>61</v>
      </c>
      <c r="H47" s="872"/>
      <c r="I47" s="354"/>
      <c r="J47" s="872" t="s">
        <v>100</v>
      </c>
      <c r="K47" s="872"/>
      <c r="L47" s="872"/>
      <c r="M47" s="872"/>
      <c r="N47" s="302"/>
      <c r="O47" s="269"/>
      <c r="P47" s="270"/>
      <c r="Q47" s="270"/>
      <c r="R47" s="266"/>
      <c r="S47" s="188" t="s">
        <v>101</v>
      </c>
      <c r="T47" s="188"/>
      <c r="U47" s="188"/>
      <c r="V47" s="188"/>
      <c r="W47" s="188"/>
      <c r="X47" s="759" t="s">
        <v>201</v>
      </c>
      <c r="Y47" s="188"/>
      <c r="Z47" s="188"/>
    </row>
    <row r="48" spans="1:26" ht="45.75" x14ac:dyDescent="0.25">
      <c r="B48" s="63" t="s">
        <v>103</v>
      </c>
      <c r="C48" s="234"/>
      <c r="D48" s="129"/>
      <c r="E48" s="311"/>
      <c r="F48" s="299"/>
      <c r="G48" s="871" t="s">
        <v>60</v>
      </c>
      <c r="H48" s="871"/>
      <c r="I48" s="355"/>
      <c r="J48" s="871" t="s">
        <v>62</v>
      </c>
      <c r="K48" s="871"/>
      <c r="L48" s="871"/>
      <c r="M48" s="871"/>
      <c r="N48" s="269"/>
      <c r="O48" s="269"/>
      <c r="P48" s="270"/>
      <c r="Q48" s="270"/>
      <c r="R48" s="266"/>
      <c r="S48" s="188" t="s">
        <v>99</v>
      </c>
      <c r="T48" s="188"/>
      <c r="U48" s="188"/>
      <c r="V48" s="188"/>
      <c r="W48" s="188"/>
      <c r="X48" s="759" t="s">
        <v>202</v>
      </c>
      <c r="Y48" s="188"/>
      <c r="Z48" s="188"/>
    </row>
    <row r="49" spans="2:26" ht="45.75" x14ac:dyDescent="0.25">
      <c r="B49" s="30"/>
      <c r="C49" s="234"/>
      <c r="D49" s="129"/>
      <c r="E49" s="311"/>
      <c r="F49" s="299"/>
      <c r="H49" s="44"/>
      <c r="I49" s="352"/>
      <c r="J49" s="136"/>
      <c r="K49" s="32"/>
      <c r="L49" s="44"/>
      <c r="N49" s="269"/>
      <c r="O49" s="269"/>
      <c r="P49" s="270"/>
      <c r="Q49" s="270"/>
      <c r="R49" s="266"/>
      <c r="S49" s="266"/>
      <c r="T49" s="266"/>
      <c r="U49" s="266"/>
      <c r="V49" s="132"/>
      <c r="W49" s="132"/>
      <c r="X49" s="266"/>
      <c r="Y49" s="266"/>
      <c r="Z49" s="239"/>
    </row>
    <row r="50" spans="2:26" x14ac:dyDescent="0.25">
      <c r="C50" s="120"/>
      <c r="D50" s="122"/>
      <c r="E50" s="312"/>
      <c r="F50" s="122"/>
      <c r="H50" s="44"/>
      <c r="I50" s="352"/>
      <c r="J50" s="132"/>
      <c r="K50" s="131"/>
      <c r="L50" s="44"/>
      <c r="N50" s="132"/>
      <c r="O50" s="132"/>
      <c r="P50" s="131"/>
      <c r="Q50" s="131"/>
      <c r="R50" s="131"/>
      <c r="S50" s="131"/>
      <c r="T50" s="131"/>
      <c r="U50" s="131"/>
      <c r="X50" s="44"/>
      <c r="Y50" s="44"/>
      <c r="Z50" s="62"/>
    </row>
    <row r="51" spans="2:26" x14ac:dyDescent="0.25">
      <c r="D51" s="122"/>
      <c r="E51" s="312"/>
      <c r="F51" s="122"/>
      <c r="H51" s="44"/>
      <c r="I51" s="352"/>
      <c r="J51" s="132"/>
      <c r="K51" s="131"/>
      <c r="L51" s="44"/>
      <c r="N51" s="132"/>
      <c r="O51" s="132"/>
      <c r="P51" s="131"/>
      <c r="Q51" s="131"/>
      <c r="R51" s="131"/>
      <c r="S51" s="131"/>
      <c r="T51" s="131"/>
      <c r="U51" s="131"/>
      <c r="X51" s="44"/>
      <c r="Y51" s="44"/>
      <c r="Z51" s="62"/>
    </row>
    <row r="52" spans="2:26" x14ac:dyDescent="0.25">
      <c r="D52" s="122"/>
      <c r="E52" s="312"/>
      <c r="F52" s="122"/>
      <c r="H52" s="132"/>
      <c r="I52" s="352"/>
      <c r="J52" s="132"/>
      <c r="K52" s="131"/>
      <c r="L52" s="44"/>
      <c r="N52" s="132"/>
      <c r="O52" s="132"/>
      <c r="P52" s="131"/>
      <c r="Q52" s="131"/>
      <c r="R52" s="131"/>
      <c r="S52" s="131"/>
      <c r="T52" s="131"/>
      <c r="U52" s="131"/>
      <c r="X52" s="44"/>
      <c r="Y52" s="44"/>
      <c r="Z52" s="62"/>
    </row>
    <row r="53" spans="2:26" x14ac:dyDescent="0.25">
      <c r="D53" s="122"/>
      <c r="E53" s="312"/>
      <c r="F53" s="122"/>
      <c r="G53" s="120"/>
      <c r="H53" s="44"/>
      <c r="I53" s="352"/>
      <c r="J53" s="132"/>
      <c r="K53" s="131"/>
      <c r="L53" s="44"/>
      <c r="N53" s="44"/>
      <c r="O53" s="44"/>
      <c r="P53" s="131"/>
      <c r="Q53" s="131"/>
      <c r="R53" s="131"/>
      <c r="S53" s="131"/>
      <c r="T53" s="131"/>
      <c r="U53" s="131"/>
      <c r="X53" s="44"/>
      <c r="Y53" s="44"/>
      <c r="Z53" s="62"/>
    </row>
    <row r="54" spans="2:26" x14ac:dyDescent="0.25">
      <c r="D54" s="122"/>
      <c r="E54" s="312"/>
      <c r="F54" s="122"/>
      <c r="H54" s="44"/>
      <c r="I54" s="352"/>
      <c r="J54" s="132"/>
      <c r="K54" s="131"/>
      <c r="L54" s="44"/>
      <c r="N54" s="44"/>
      <c r="O54" s="44"/>
      <c r="P54" s="131"/>
      <c r="Q54" s="131"/>
      <c r="R54" s="131"/>
      <c r="S54" s="131"/>
      <c r="T54" s="131"/>
      <c r="U54" s="131"/>
      <c r="X54" s="44"/>
      <c r="Y54" s="44"/>
      <c r="Z54" s="62"/>
    </row>
    <row r="55" spans="2:26" x14ac:dyDescent="0.25">
      <c r="D55" s="122"/>
      <c r="E55" s="312"/>
      <c r="F55" s="122"/>
      <c r="G55" s="120"/>
      <c r="H55" s="44"/>
      <c r="I55" s="352"/>
      <c r="J55" s="132"/>
      <c r="K55" s="131"/>
      <c r="L55" s="44"/>
      <c r="N55" s="44"/>
      <c r="O55" s="44"/>
      <c r="P55" s="131"/>
      <c r="Q55" s="131"/>
      <c r="R55" s="131"/>
      <c r="S55" s="131"/>
      <c r="T55" s="131"/>
      <c r="U55" s="131"/>
      <c r="X55" s="44"/>
      <c r="Y55" s="44"/>
      <c r="Z55" s="62"/>
    </row>
    <row r="56" spans="2:26" x14ac:dyDescent="0.25">
      <c r="D56" s="122"/>
      <c r="E56" s="312"/>
      <c r="F56" s="122"/>
      <c r="H56" s="44"/>
      <c r="I56" s="352"/>
      <c r="J56" s="132"/>
      <c r="K56" s="131"/>
      <c r="L56" s="44"/>
      <c r="N56" s="44"/>
      <c r="O56" s="44"/>
      <c r="P56" s="131"/>
      <c r="Q56" s="131"/>
      <c r="R56" s="131"/>
      <c r="S56" s="131"/>
      <c r="T56" s="131"/>
      <c r="U56" s="131"/>
      <c r="X56" s="44"/>
      <c r="Y56" s="44"/>
      <c r="Z56" s="62"/>
    </row>
  </sheetData>
  <mergeCells count="22">
    <mergeCell ref="S40:X40"/>
    <mergeCell ref="A4:A5"/>
    <mergeCell ref="B4:B5"/>
    <mergeCell ref="C4:G4"/>
    <mergeCell ref="J4:J5"/>
    <mergeCell ref="K4:K5"/>
    <mergeCell ref="G48:H48"/>
    <mergeCell ref="J47:M47"/>
    <mergeCell ref="J48:M48"/>
    <mergeCell ref="G47:H47"/>
    <mergeCell ref="Z4:Z5"/>
    <mergeCell ref="L38:N38"/>
    <mergeCell ref="L41:N41"/>
    <mergeCell ref="W4:W5"/>
    <mergeCell ref="T4:T5"/>
    <mergeCell ref="U4:U5"/>
    <mergeCell ref="G40:M40"/>
    <mergeCell ref="R4:R5"/>
    <mergeCell ref="S4:S5"/>
    <mergeCell ref="X4:X5"/>
    <mergeCell ref="L4:M4"/>
    <mergeCell ref="N4:Q4"/>
  </mergeCells>
  <printOptions horizontalCentered="1"/>
  <pageMargins left="0" right="0" top="0" bottom="0" header="0.31496062992125984" footer="0.31496062992125984"/>
  <pageSetup paperSize="8" scale="1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33"/>
  <sheetViews>
    <sheetView tabSelected="1" zoomScale="110" zoomScaleNormal="110" workbookViewId="0">
      <selection activeCell="A4" sqref="A4:A15"/>
    </sheetView>
  </sheetViews>
  <sheetFormatPr defaultRowHeight="15" x14ac:dyDescent="0.25"/>
  <cols>
    <col min="2" max="2" width="27.42578125" bestFit="1" customWidth="1"/>
    <col min="3" max="3" width="15.42578125" customWidth="1"/>
    <col min="4" max="4" width="9.140625" style="327"/>
    <col min="5" max="5" width="9" bestFit="1" customWidth="1"/>
    <col min="6" max="6" width="10.5703125" customWidth="1"/>
    <col min="7" max="7" width="16.42578125" bestFit="1" customWidth="1"/>
    <col min="8" max="8" width="10.5703125" bestFit="1" customWidth="1"/>
    <col min="10" max="11" width="11.85546875" bestFit="1" customWidth="1"/>
    <col min="12" max="12" width="11.85546875" customWidth="1"/>
    <col min="13" max="13" width="14.85546875" bestFit="1" customWidth="1"/>
    <col min="14" max="14" width="14.5703125" bestFit="1" customWidth="1"/>
    <col min="15" max="15" width="11.140625" bestFit="1" customWidth="1"/>
    <col min="16" max="17" width="9.140625" customWidth="1"/>
    <col min="18" max="18" width="11.42578125" customWidth="1"/>
    <col min="19" max="19" width="9.140625" style="327"/>
  </cols>
  <sheetData>
    <row r="2" spans="1:19" ht="15" customHeight="1" x14ac:dyDescent="0.25">
      <c r="A2" s="904" t="s">
        <v>225</v>
      </c>
      <c r="B2" s="904"/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</row>
    <row r="3" spans="1:19" ht="15" customHeight="1" x14ac:dyDescent="0.25">
      <c r="A3" s="904"/>
      <c r="B3" s="904"/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904"/>
      <c r="Q3" s="904"/>
      <c r="R3" s="904"/>
    </row>
    <row r="4" spans="1:19" x14ac:dyDescent="0.25">
      <c r="A4" s="905" t="s">
        <v>136</v>
      </c>
      <c r="B4" s="742" t="s">
        <v>111</v>
      </c>
      <c r="C4" s="742"/>
      <c r="D4" s="743"/>
      <c r="E4" s="744"/>
      <c r="F4" s="743"/>
      <c r="G4" s="743"/>
      <c r="H4" s="743"/>
      <c r="I4" s="743"/>
      <c r="J4" s="743"/>
      <c r="K4" s="745"/>
      <c r="L4" s="745"/>
      <c r="M4" s="746"/>
      <c r="N4" s="746"/>
      <c r="O4" s="746"/>
      <c r="P4" s="906" t="s">
        <v>133</v>
      </c>
      <c r="Q4" s="906"/>
      <c r="R4" s="906" t="s">
        <v>134</v>
      </c>
    </row>
    <row r="5" spans="1:19" ht="42.75" x14ac:dyDescent="0.25">
      <c r="A5" s="905"/>
      <c r="B5" s="747" t="s">
        <v>112</v>
      </c>
      <c r="C5" s="747" t="s">
        <v>198</v>
      </c>
      <c r="D5" s="747" t="s">
        <v>113</v>
      </c>
      <c r="E5" s="747" t="s">
        <v>114</v>
      </c>
      <c r="F5" s="747" t="s">
        <v>115</v>
      </c>
      <c r="G5" s="747" t="s">
        <v>116</v>
      </c>
      <c r="H5" s="747" t="s">
        <v>117</v>
      </c>
      <c r="I5" s="747" t="s">
        <v>118</v>
      </c>
      <c r="J5" s="747" t="s">
        <v>199</v>
      </c>
      <c r="K5" s="748" t="s">
        <v>119</v>
      </c>
      <c r="L5" s="748" t="s">
        <v>105</v>
      </c>
      <c r="M5" s="749" t="s">
        <v>120</v>
      </c>
      <c r="N5" s="749" t="s">
        <v>121</v>
      </c>
      <c r="O5" s="749" t="s">
        <v>122</v>
      </c>
      <c r="P5" s="906"/>
      <c r="Q5" s="906"/>
      <c r="R5" s="906"/>
    </row>
    <row r="6" spans="1:19" s="767" customFormat="1" x14ac:dyDescent="0.25">
      <c r="A6" s="905"/>
      <c r="B6" s="743" t="s">
        <v>123</v>
      </c>
      <c r="C6" s="743">
        <v>500</v>
      </c>
      <c r="D6" s="750">
        <v>1.02</v>
      </c>
      <c r="E6" s="751">
        <v>6</v>
      </c>
      <c r="F6" s="768">
        <f>'12'!M6</f>
        <v>0</v>
      </c>
      <c r="G6" s="768">
        <f>'12'!J6</f>
        <v>0</v>
      </c>
      <c r="H6" s="768">
        <f>'12'!K6</f>
        <v>0</v>
      </c>
      <c r="I6" s="751">
        <f t="shared" ref="I6:I10" si="0">+K6/22</f>
        <v>0</v>
      </c>
      <c r="J6" s="751">
        <f t="shared" ref="J6:J10" si="1">C6*H6</f>
        <v>0</v>
      </c>
      <c r="K6" s="764">
        <f>'12'!D6</f>
        <v>0</v>
      </c>
      <c r="L6" s="752" t="e">
        <f t="shared" ref="L6:L15" si="2">K6/J6</f>
        <v>#DIV/0!</v>
      </c>
      <c r="M6" s="765">
        <f>'12'!P6</f>
        <v>0</v>
      </c>
      <c r="N6" s="765">
        <f>'12'!Q6</f>
        <v>0</v>
      </c>
      <c r="O6" s="765">
        <f>'12'!Y6</f>
        <v>0</v>
      </c>
      <c r="P6" s="898">
        <v>1830.65</v>
      </c>
      <c r="Q6" s="899"/>
      <c r="R6" s="907">
        <f>+IFERROR(K16/P6,0)</f>
        <v>10.923988747166307</v>
      </c>
      <c r="S6" s="766"/>
    </row>
    <row r="7" spans="1:19" x14ac:dyDescent="0.25">
      <c r="A7" s="905"/>
      <c r="B7" s="743" t="s">
        <v>124</v>
      </c>
      <c r="C7" s="743">
        <v>500</v>
      </c>
      <c r="D7" s="750">
        <v>1.02</v>
      </c>
      <c r="E7" s="751">
        <v>6</v>
      </c>
      <c r="F7" s="750">
        <f>'12'!M8</f>
        <v>4</v>
      </c>
      <c r="G7" s="750">
        <f>'12'!J8</f>
        <v>9.3833333333333329</v>
      </c>
      <c r="H7" s="750">
        <f>'12'!K8</f>
        <v>10</v>
      </c>
      <c r="I7" s="751">
        <f t="shared" si="0"/>
        <v>170</v>
      </c>
      <c r="J7" s="751">
        <f t="shared" si="1"/>
        <v>5000</v>
      </c>
      <c r="K7" s="745">
        <f>'12'!D8</f>
        <v>3740</v>
      </c>
      <c r="L7" s="752">
        <f t="shared" si="2"/>
        <v>0.748</v>
      </c>
      <c r="M7" s="746">
        <f>'12'!P8</f>
        <v>398.57904085257553</v>
      </c>
      <c r="N7" s="746">
        <f>'12'!Q8</f>
        <v>374</v>
      </c>
      <c r="O7" s="746">
        <f>'12'!Y8</f>
        <v>4.5293072824156306</v>
      </c>
      <c r="P7" s="900"/>
      <c r="Q7" s="901"/>
      <c r="R7" s="908"/>
    </row>
    <row r="8" spans="1:19" x14ac:dyDescent="0.25">
      <c r="A8" s="905"/>
      <c r="B8" s="743" t="s">
        <v>141</v>
      </c>
      <c r="C8" s="743">
        <v>350</v>
      </c>
      <c r="D8" s="750">
        <v>1.02</v>
      </c>
      <c r="E8" s="751">
        <v>6</v>
      </c>
      <c r="F8" s="750">
        <f>'12'!M18</f>
        <v>4</v>
      </c>
      <c r="G8" s="750">
        <f>'12'!J18</f>
        <v>7.4333333333333336</v>
      </c>
      <c r="H8" s="750">
        <f>'12'!K18</f>
        <v>10</v>
      </c>
      <c r="I8" s="751">
        <f t="shared" si="0"/>
        <v>145</v>
      </c>
      <c r="J8" s="751">
        <f t="shared" si="1"/>
        <v>3500</v>
      </c>
      <c r="K8" s="745">
        <f>'12'!D18</f>
        <v>3190</v>
      </c>
      <c r="L8" s="752">
        <f t="shared" si="2"/>
        <v>0.91142857142857148</v>
      </c>
      <c r="M8" s="746">
        <f>'12'!P18</f>
        <v>429.14798206278027</v>
      </c>
      <c r="N8" s="746">
        <f>'12'!Q18</f>
        <v>319</v>
      </c>
      <c r="O8" s="746">
        <f>'12'!Y18</f>
        <v>4.876681614349776</v>
      </c>
      <c r="P8" s="900"/>
      <c r="Q8" s="901"/>
      <c r="R8" s="908"/>
    </row>
    <row r="9" spans="1:19" x14ac:dyDescent="0.25">
      <c r="A9" s="905"/>
      <c r="B9" s="743" t="s">
        <v>129</v>
      </c>
      <c r="C9" s="743">
        <v>500</v>
      </c>
      <c r="D9" s="750">
        <v>1.02</v>
      </c>
      <c r="E9" s="751">
        <v>6</v>
      </c>
      <c r="F9" s="750">
        <f>'12'!M16</f>
        <v>4</v>
      </c>
      <c r="G9" s="750">
        <f>'12'!J16</f>
        <v>9.7666666666666675</v>
      </c>
      <c r="H9" s="750">
        <f>'12'!K16</f>
        <v>10</v>
      </c>
      <c r="I9" s="751">
        <f t="shared" si="0"/>
        <v>239</v>
      </c>
      <c r="J9" s="751">
        <f t="shared" si="1"/>
        <v>5000</v>
      </c>
      <c r="K9" s="745">
        <f>'12'!D16</f>
        <v>5258</v>
      </c>
      <c r="L9" s="752">
        <f t="shared" si="2"/>
        <v>1.0516000000000001</v>
      </c>
      <c r="M9" s="746">
        <f>'12'!P16</f>
        <v>538.36177474402723</v>
      </c>
      <c r="N9" s="746">
        <f>'12'!Q16</f>
        <v>525.79999999999995</v>
      </c>
      <c r="O9" s="746">
        <f>'12'!Y16</f>
        <v>6.1177474402730363</v>
      </c>
      <c r="P9" s="900"/>
      <c r="Q9" s="901"/>
      <c r="R9" s="908"/>
    </row>
    <row r="10" spans="1:19" x14ac:dyDescent="0.25">
      <c r="A10" s="905"/>
      <c r="B10" s="743" t="s">
        <v>143</v>
      </c>
      <c r="C10" s="743">
        <v>500</v>
      </c>
      <c r="D10" s="750">
        <v>1.02</v>
      </c>
      <c r="E10" s="751">
        <v>6</v>
      </c>
      <c r="F10" s="750">
        <f>'12'!M12</f>
        <v>5</v>
      </c>
      <c r="G10" s="750">
        <f>'12'!J12</f>
        <v>9.6</v>
      </c>
      <c r="H10" s="750">
        <f>'12'!K12</f>
        <v>10</v>
      </c>
      <c r="I10" s="751">
        <f t="shared" si="0"/>
        <v>184</v>
      </c>
      <c r="J10" s="751">
        <f t="shared" si="1"/>
        <v>5000</v>
      </c>
      <c r="K10" s="745">
        <f>'12'!D12</f>
        <v>4048</v>
      </c>
      <c r="L10" s="752">
        <f t="shared" si="2"/>
        <v>0.80959999999999999</v>
      </c>
      <c r="M10" s="746">
        <f>'12'!P12</f>
        <v>421.66666666666669</v>
      </c>
      <c r="N10" s="746">
        <f>'12'!Q12</f>
        <v>404.8</v>
      </c>
      <c r="O10" s="746">
        <f>'12'!Y12</f>
        <v>3.8333333333333339</v>
      </c>
      <c r="P10" s="900"/>
      <c r="Q10" s="901"/>
      <c r="R10" s="908"/>
    </row>
    <row r="11" spans="1:19" x14ac:dyDescent="0.25">
      <c r="A11" s="905"/>
      <c r="B11" s="321" t="s">
        <v>126</v>
      </c>
      <c r="C11" s="321"/>
      <c r="D11" s="753"/>
      <c r="E11" s="753"/>
      <c r="F11" s="753"/>
      <c r="G11" s="322">
        <f>SUM(G6:G10)</f>
        <v>36.183333333333337</v>
      </c>
      <c r="H11" s="754">
        <f>SUM(H6:H10)</f>
        <v>40</v>
      </c>
      <c r="I11" s="754">
        <f>SUM(I7:I8)</f>
        <v>315</v>
      </c>
      <c r="J11" s="323">
        <f>SUM(J6:J10)</f>
        <v>18500</v>
      </c>
      <c r="K11" s="323">
        <f>SUM(K6:K10)</f>
        <v>16236</v>
      </c>
      <c r="L11" s="755">
        <f t="shared" si="2"/>
        <v>0.87762162162162161</v>
      </c>
      <c r="M11" s="324">
        <f>IFERROR(K11/G11,0)</f>
        <v>448.71487793643479</v>
      </c>
      <c r="N11" s="324">
        <f>IFERROR(K11/H11,0)</f>
        <v>405.9</v>
      </c>
      <c r="O11" s="756"/>
      <c r="P11" s="900"/>
      <c r="Q11" s="901"/>
      <c r="R11" s="908"/>
    </row>
    <row r="12" spans="1:19" ht="42.75" x14ac:dyDescent="0.25">
      <c r="A12" s="905"/>
      <c r="B12" s="747" t="s">
        <v>127</v>
      </c>
      <c r="C12" s="747" t="s">
        <v>198</v>
      </c>
      <c r="D12" s="747" t="s">
        <v>113</v>
      </c>
      <c r="E12" s="747" t="s">
        <v>114</v>
      </c>
      <c r="F12" s="747" t="s">
        <v>115</v>
      </c>
      <c r="G12" s="747" t="s">
        <v>116</v>
      </c>
      <c r="H12" s="747" t="s">
        <v>117</v>
      </c>
      <c r="I12" s="747" t="s">
        <v>118</v>
      </c>
      <c r="J12" s="747" t="s">
        <v>199</v>
      </c>
      <c r="K12" s="748" t="s">
        <v>119</v>
      </c>
      <c r="L12" s="748" t="s">
        <v>105</v>
      </c>
      <c r="M12" s="749" t="s">
        <v>120</v>
      </c>
      <c r="N12" s="749" t="s">
        <v>121</v>
      </c>
      <c r="O12" s="749" t="s">
        <v>122</v>
      </c>
      <c r="P12" s="900"/>
      <c r="Q12" s="901"/>
      <c r="R12" s="908"/>
    </row>
    <row r="13" spans="1:19" x14ac:dyDescent="0.25">
      <c r="A13" s="905"/>
      <c r="B13" s="743" t="s">
        <v>125</v>
      </c>
      <c r="C13" s="743">
        <v>500</v>
      </c>
      <c r="D13" s="750"/>
      <c r="E13" s="751"/>
      <c r="F13" s="750"/>
      <c r="G13" s="750">
        <f>'12'!J10</f>
        <v>0</v>
      </c>
      <c r="H13" s="750">
        <f>'12'!K10</f>
        <v>0</v>
      </c>
      <c r="I13" s="751">
        <f t="shared" ref="I13:I14" si="3">+K13/22</f>
        <v>0</v>
      </c>
      <c r="J13" s="751">
        <f t="shared" ref="J13:J14" si="4">C13*H13</f>
        <v>0</v>
      </c>
      <c r="K13" s="745">
        <f>'12'!D10</f>
        <v>0</v>
      </c>
      <c r="L13" s="769" t="e">
        <f>K13/J13</f>
        <v>#DIV/0!</v>
      </c>
      <c r="M13" s="746">
        <f>'12'!P10</f>
        <v>0</v>
      </c>
      <c r="N13" s="746">
        <f>'12'!Q10</f>
        <v>0</v>
      </c>
      <c r="O13" s="746">
        <f>'12'!Y10</f>
        <v>0</v>
      </c>
      <c r="P13" s="900"/>
      <c r="Q13" s="901"/>
      <c r="R13" s="908"/>
    </row>
    <row r="14" spans="1:19" x14ac:dyDescent="0.25">
      <c r="A14" s="905"/>
      <c r="B14" s="743" t="s">
        <v>128</v>
      </c>
      <c r="C14" s="743">
        <v>500</v>
      </c>
      <c r="D14" s="750">
        <v>1.34</v>
      </c>
      <c r="E14" s="751">
        <v>5</v>
      </c>
      <c r="F14" s="750">
        <f>'12'!M14</f>
        <v>5</v>
      </c>
      <c r="G14" s="750">
        <f>'12'!J14</f>
        <v>8.9666666666666668</v>
      </c>
      <c r="H14" s="750">
        <f>'12'!K14</f>
        <v>10</v>
      </c>
      <c r="I14" s="751">
        <f t="shared" si="3"/>
        <v>171</v>
      </c>
      <c r="J14" s="751">
        <f t="shared" si="4"/>
        <v>5000</v>
      </c>
      <c r="K14" s="745">
        <f>'12'!D14</f>
        <v>3762</v>
      </c>
      <c r="L14" s="752">
        <f>K14/J14</f>
        <v>0.75239999999999996</v>
      </c>
      <c r="M14" s="746">
        <f>'12'!P14</f>
        <v>419.5539033457249</v>
      </c>
      <c r="N14" s="746">
        <f>'12'!Q14</f>
        <v>376.2</v>
      </c>
      <c r="O14" s="746">
        <f>'12'!Y14</f>
        <v>3.8141263940520447</v>
      </c>
      <c r="P14" s="900"/>
      <c r="Q14" s="901"/>
      <c r="R14" s="908"/>
    </row>
    <row r="15" spans="1:19" x14ac:dyDescent="0.25">
      <c r="A15" s="905"/>
      <c r="B15" s="321" t="s">
        <v>126</v>
      </c>
      <c r="C15" s="321"/>
      <c r="D15" s="321"/>
      <c r="E15" s="321"/>
      <c r="F15" s="321"/>
      <c r="G15" s="322">
        <f>SUM(G13:G14)</f>
        <v>8.9666666666666668</v>
      </c>
      <c r="H15" s="322">
        <f>SUM(H13:H14)</f>
        <v>10</v>
      </c>
      <c r="I15" s="754">
        <f>SUM(I13:I14)</f>
        <v>171</v>
      </c>
      <c r="J15" s="323">
        <f>SUM(J13:J14)</f>
        <v>5000</v>
      </c>
      <c r="K15" s="323">
        <f>SUM(K13:K14)</f>
        <v>3762</v>
      </c>
      <c r="L15" s="755">
        <f t="shared" si="2"/>
        <v>0.75239999999999996</v>
      </c>
      <c r="M15" s="324">
        <f>IFERROR(K15/G15,0)</f>
        <v>419.5539033457249</v>
      </c>
      <c r="N15" s="324">
        <f>IFERROR(K15/H15,0)</f>
        <v>376.2</v>
      </c>
      <c r="O15" s="324"/>
      <c r="P15" s="902"/>
      <c r="Q15" s="903"/>
      <c r="R15" s="909"/>
    </row>
    <row r="16" spans="1:19" x14ac:dyDescent="0.25">
      <c r="A16" s="896" t="s">
        <v>130</v>
      </c>
      <c r="B16" s="896"/>
      <c r="C16" s="896"/>
      <c r="D16" s="896"/>
      <c r="E16" s="896"/>
      <c r="F16" s="896"/>
      <c r="G16" s="315">
        <f>G11+G15</f>
        <v>45.150000000000006</v>
      </c>
      <c r="H16" s="316">
        <f>H11+H15</f>
        <v>50</v>
      </c>
      <c r="I16" s="316">
        <f>I11+I15</f>
        <v>486</v>
      </c>
      <c r="J16" s="316">
        <f>J11+J15</f>
        <v>23500</v>
      </c>
      <c r="K16" s="317">
        <f>K11+K15</f>
        <v>19998</v>
      </c>
      <c r="L16" s="757">
        <f>K16/J16</f>
        <v>0.85097872340425529</v>
      </c>
      <c r="M16" s="318">
        <f>IFERROR(K16/G16,0)</f>
        <v>442.92358803986707</v>
      </c>
      <c r="N16" s="318">
        <f>IFERROR(K16/H16,0)</f>
        <v>399.96</v>
      </c>
      <c r="O16" s="318"/>
      <c r="P16" s="897"/>
      <c r="Q16" s="897"/>
      <c r="R16" s="741"/>
    </row>
    <row r="19" spans="1:19" x14ac:dyDescent="0.25">
      <c r="A19" s="905" t="s">
        <v>135</v>
      </c>
      <c r="B19" s="742" t="s">
        <v>111</v>
      </c>
      <c r="C19" s="742"/>
      <c r="D19" s="743"/>
      <c r="E19" s="744"/>
      <c r="F19" s="743"/>
      <c r="G19" s="743"/>
      <c r="H19" s="743"/>
      <c r="I19" s="743"/>
      <c r="J19" s="743"/>
      <c r="K19" s="745"/>
      <c r="L19" s="745"/>
      <c r="M19" s="746"/>
      <c r="N19" s="746"/>
      <c r="O19" s="746"/>
      <c r="P19" s="906" t="s">
        <v>133</v>
      </c>
      <c r="Q19" s="906"/>
      <c r="R19" s="906" t="s">
        <v>134</v>
      </c>
    </row>
    <row r="20" spans="1:19" ht="42.75" x14ac:dyDescent="0.25">
      <c r="A20" s="905"/>
      <c r="B20" s="747" t="s">
        <v>112</v>
      </c>
      <c r="C20" s="747" t="s">
        <v>198</v>
      </c>
      <c r="D20" s="747" t="s">
        <v>113</v>
      </c>
      <c r="E20" s="747" t="s">
        <v>114</v>
      </c>
      <c r="F20" s="747" t="s">
        <v>115</v>
      </c>
      <c r="G20" s="747" t="s">
        <v>116</v>
      </c>
      <c r="H20" s="747" t="s">
        <v>117</v>
      </c>
      <c r="I20" s="747" t="s">
        <v>118</v>
      </c>
      <c r="J20" s="747" t="s">
        <v>199</v>
      </c>
      <c r="K20" s="748" t="s">
        <v>119</v>
      </c>
      <c r="L20" s="748" t="s">
        <v>105</v>
      </c>
      <c r="M20" s="749" t="s">
        <v>120</v>
      </c>
      <c r="N20" s="749" t="s">
        <v>121</v>
      </c>
      <c r="O20" s="749" t="s">
        <v>122</v>
      </c>
      <c r="P20" s="906"/>
      <c r="Q20" s="906"/>
      <c r="R20" s="906"/>
    </row>
    <row r="21" spans="1:19" s="767" customFormat="1" x14ac:dyDescent="0.25">
      <c r="A21" s="905"/>
      <c r="B21" s="743" t="s">
        <v>123</v>
      </c>
      <c r="C21" s="743">
        <v>500</v>
      </c>
      <c r="D21" s="750">
        <v>1.02</v>
      </c>
      <c r="E21" s="751">
        <v>5</v>
      </c>
      <c r="F21" s="768">
        <f>'12'!M21</f>
        <v>0</v>
      </c>
      <c r="G21" s="768">
        <f>'12'!J21</f>
        <v>0</v>
      </c>
      <c r="H21" s="768">
        <f>'12'!K21</f>
        <v>0</v>
      </c>
      <c r="I21" s="751">
        <f t="shared" ref="I21:I25" si="5">+K21/22</f>
        <v>0</v>
      </c>
      <c r="J21" s="751">
        <f t="shared" ref="J21:J25" si="6">C21*H21</f>
        <v>0</v>
      </c>
      <c r="K21" s="764">
        <f>'12'!D21</f>
        <v>0</v>
      </c>
      <c r="L21" s="752" t="e">
        <f t="shared" ref="L21:L30" si="7">K21/J21</f>
        <v>#DIV/0!</v>
      </c>
      <c r="M21" s="765">
        <f>'12'!P21</f>
        <v>0</v>
      </c>
      <c r="N21" s="765">
        <f>'12'!Q21</f>
        <v>0</v>
      </c>
      <c r="O21" s="765">
        <f>'12'!Y21</f>
        <v>0</v>
      </c>
      <c r="P21" s="898">
        <v>1830.65</v>
      </c>
      <c r="Q21" s="899"/>
      <c r="R21" s="907">
        <f>+IFERROR(K31/P21,0)</f>
        <v>11.464780269303253</v>
      </c>
      <c r="S21" s="766"/>
    </row>
    <row r="22" spans="1:19" s="778" customFormat="1" x14ac:dyDescent="0.25">
      <c r="A22" s="905"/>
      <c r="B22" s="771" t="s">
        <v>124</v>
      </c>
      <c r="C22" s="771">
        <v>500</v>
      </c>
      <c r="D22" s="772">
        <v>1.02</v>
      </c>
      <c r="E22" s="773">
        <v>5</v>
      </c>
      <c r="F22" s="772">
        <f>'12'!M23</f>
        <v>4</v>
      </c>
      <c r="G22" s="772">
        <f>'12'!J23</f>
        <v>9.3333333333333339</v>
      </c>
      <c r="H22" s="772">
        <f>'12'!K23</f>
        <v>10</v>
      </c>
      <c r="I22" s="773">
        <f t="shared" si="5"/>
        <v>145</v>
      </c>
      <c r="J22" s="773">
        <f t="shared" si="6"/>
        <v>5000</v>
      </c>
      <c r="K22" s="774">
        <f>'12'!D23</f>
        <v>3190</v>
      </c>
      <c r="L22" s="775">
        <f t="shared" si="7"/>
        <v>0.63800000000000001</v>
      </c>
      <c r="M22" s="776">
        <f>'12'!P23</f>
        <v>341.78571428571428</v>
      </c>
      <c r="N22" s="776">
        <f>'12'!Q23</f>
        <v>319</v>
      </c>
      <c r="O22" s="776">
        <f>'12'!Y23</f>
        <v>3.8839285714285712</v>
      </c>
      <c r="P22" s="900"/>
      <c r="Q22" s="901"/>
      <c r="R22" s="908"/>
      <c r="S22" s="777"/>
    </row>
    <row r="23" spans="1:19" x14ac:dyDescent="0.25">
      <c r="A23" s="905"/>
      <c r="B23" s="743" t="s">
        <v>129</v>
      </c>
      <c r="C23" s="743">
        <v>500</v>
      </c>
      <c r="D23" s="750">
        <v>1.02</v>
      </c>
      <c r="E23" s="751">
        <v>5</v>
      </c>
      <c r="F23" s="750">
        <f>'12'!M33</f>
        <v>4</v>
      </c>
      <c r="G23" s="750">
        <f>'12'!J33</f>
        <v>9.6333333333333329</v>
      </c>
      <c r="H23" s="750">
        <f>'12'!K33</f>
        <v>10</v>
      </c>
      <c r="I23" s="751">
        <f t="shared" si="5"/>
        <v>194</v>
      </c>
      <c r="J23" s="751">
        <f t="shared" si="6"/>
        <v>5000</v>
      </c>
      <c r="K23" s="745">
        <f>'12'!D33</f>
        <v>4268</v>
      </c>
      <c r="L23" s="752">
        <f t="shared" si="7"/>
        <v>0.85360000000000003</v>
      </c>
      <c r="M23" s="746">
        <f>'12'!P33</f>
        <v>443.04498269896197</v>
      </c>
      <c r="N23" s="746">
        <f>'12'!Q33</f>
        <v>426.8</v>
      </c>
      <c r="O23" s="746">
        <f>'12'!Y33</f>
        <v>5.0346020761245676</v>
      </c>
      <c r="P23" s="900"/>
      <c r="Q23" s="901"/>
      <c r="R23" s="908"/>
    </row>
    <row r="24" spans="1:19" x14ac:dyDescent="0.25">
      <c r="A24" s="905"/>
      <c r="B24" s="743" t="s">
        <v>141</v>
      </c>
      <c r="C24" s="743">
        <v>350</v>
      </c>
      <c r="D24" s="750">
        <v>1.02</v>
      </c>
      <c r="E24" s="751">
        <v>5</v>
      </c>
      <c r="F24" s="750">
        <f>'12'!M35</f>
        <v>3</v>
      </c>
      <c r="G24" s="750">
        <f>'12'!J35</f>
        <v>8.2333333333333325</v>
      </c>
      <c r="H24" s="750">
        <f>'12'!K35</f>
        <v>9</v>
      </c>
      <c r="I24" s="751">
        <f t="shared" si="5"/>
        <v>158</v>
      </c>
      <c r="J24" s="751">
        <f t="shared" si="6"/>
        <v>3150</v>
      </c>
      <c r="K24" s="745">
        <f>'12'!D35</f>
        <v>3476</v>
      </c>
      <c r="L24" s="752">
        <f t="shared" si="7"/>
        <v>1.1034920634920635</v>
      </c>
      <c r="M24" s="746">
        <f>'12'!P35</f>
        <v>422.18623481781378</v>
      </c>
      <c r="N24" s="746">
        <f>'12'!Q35</f>
        <v>386.22222222222223</v>
      </c>
      <c r="O24" s="746">
        <f>'12'!Y35</f>
        <v>6.3967611336032384</v>
      </c>
      <c r="P24" s="900"/>
      <c r="Q24" s="901"/>
      <c r="R24" s="908"/>
    </row>
    <row r="25" spans="1:19" s="778" customFormat="1" x14ac:dyDescent="0.25">
      <c r="A25" s="905"/>
      <c r="B25" s="771" t="s">
        <v>143</v>
      </c>
      <c r="C25" s="771">
        <v>500</v>
      </c>
      <c r="D25" s="772">
        <v>1.02</v>
      </c>
      <c r="E25" s="773">
        <v>5</v>
      </c>
      <c r="F25" s="772">
        <f>'12'!M30</f>
        <v>4</v>
      </c>
      <c r="G25" s="772">
        <f>'12'!J30</f>
        <v>9.8000000000000007</v>
      </c>
      <c r="H25" s="772">
        <f>'12'!K30</f>
        <v>10</v>
      </c>
      <c r="I25" s="773">
        <f t="shared" si="5"/>
        <v>273</v>
      </c>
      <c r="J25" s="773">
        <f t="shared" si="6"/>
        <v>5000</v>
      </c>
      <c r="K25" s="774">
        <f>'12'!D30</f>
        <v>6006</v>
      </c>
      <c r="L25" s="775">
        <f t="shared" si="7"/>
        <v>1.2012</v>
      </c>
      <c r="M25" s="776">
        <f>'12'!P30</f>
        <v>612.85714285714278</v>
      </c>
      <c r="N25" s="776">
        <f>'12'!Q30</f>
        <v>600.6</v>
      </c>
      <c r="O25" s="776">
        <f>'12'!Y30</f>
        <v>6.9642857142857135</v>
      </c>
      <c r="P25" s="900"/>
      <c r="Q25" s="901"/>
      <c r="R25" s="908"/>
      <c r="S25" s="777"/>
    </row>
    <row r="26" spans="1:19" x14ac:dyDescent="0.25">
      <c r="A26" s="905"/>
      <c r="B26" s="321" t="s">
        <v>126</v>
      </c>
      <c r="C26" s="321"/>
      <c r="D26" s="753"/>
      <c r="E26" s="753"/>
      <c r="F26" s="753"/>
      <c r="G26" s="322">
        <f>SUM(G21:G25)</f>
        <v>37</v>
      </c>
      <c r="H26" s="322">
        <f>SUM(H21:H25)</f>
        <v>39</v>
      </c>
      <c r="I26" s="754">
        <f>SUM(I21:I25)</f>
        <v>770</v>
      </c>
      <c r="J26" s="323">
        <f>SUM(J21:J25)</f>
        <v>18150</v>
      </c>
      <c r="K26" s="323">
        <f>SUM(K22:K25)</f>
        <v>16940</v>
      </c>
      <c r="L26" s="755">
        <f t="shared" si="7"/>
        <v>0.93333333333333335</v>
      </c>
      <c r="M26" s="324">
        <f>K26/G26</f>
        <v>457.83783783783781</v>
      </c>
      <c r="N26" s="324">
        <f>K26/H26</f>
        <v>434.35897435897436</v>
      </c>
      <c r="O26" s="756"/>
      <c r="P26" s="900"/>
      <c r="Q26" s="901"/>
      <c r="R26" s="908"/>
    </row>
    <row r="27" spans="1:19" ht="42.75" x14ac:dyDescent="0.25">
      <c r="A27" s="905"/>
      <c r="B27" s="747" t="s">
        <v>127</v>
      </c>
      <c r="C27" s="747" t="s">
        <v>198</v>
      </c>
      <c r="D27" s="747" t="s">
        <v>113</v>
      </c>
      <c r="E27" s="747" t="s">
        <v>114</v>
      </c>
      <c r="F27" s="747" t="s">
        <v>115</v>
      </c>
      <c r="G27" s="747" t="s">
        <v>116</v>
      </c>
      <c r="H27" s="747" t="s">
        <v>117</v>
      </c>
      <c r="I27" s="747" t="s">
        <v>118</v>
      </c>
      <c r="J27" s="747" t="s">
        <v>199</v>
      </c>
      <c r="K27" s="748" t="s">
        <v>119</v>
      </c>
      <c r="L27" s="748" t="s">
        <v>105</v>
      </c>
      <c r="M27" s="749" t="s">
        <v>120</v>
      </c>
      <c r="N27" s="749" t="s">
        <v>121</v>
      </c>
      <c r="O27" s="749" t="s">
        <v>122</v>
      </c>
      <c r="P27" s="900"/>
      <c r="Q27" s="901"/>
      <c r="R27" s="908"/>
    </row>
    <row r="28" spans="1:19" x14ac:dyDescent="0.25">
      <c r="A28" s="905"/>
      <c r="B28" s="743" t="s">
        <v>125</v>
      </c>
      <c r="C28" s="743">
        <v>500</v>
      </c>
      <c r="D28" s="750">
        <v>1.34</v>
      </c>
      <c r="E28" s="751">
        <v>5</v>
      </c>
      <c r="F28" s="750">
        <f>'12'!M25</f>
        <v>0</v>
      </c>
      <c r="G28" s="750">
        <f>'12'!J25</f>
        <v>0</v>
      </c>
      <c r="H28" s="750">
        <f>'12'!K25</f>
        <v>0</v>
      </c>
      <c r="I28" s="751">
        <f t="shared" ref="I28:I29" si="8">+K28/22</f>
        <v>0</v>
      </c>
      <c r="J28" s="751">
        <f t="shared" ref="J28:J29" si="9">C28*H28</f>
        <v>0</v>
      </c>
      <c r="K28" s="745">
        <f>'12'!D25</f>
        <v>0</v>
      </c>
      <c r="L28" s="752" t="e">
        <f t="shared" ref="L28:L29" si="10">K28/J28</f>
        <v>#DIV/0!</v>
      </c>
      <c r="M28" s="746">
        <f>'12'!P25</f>
        <v>0</v>
      </c>
      <c r="N28" s="746">
        <f>'12'!Q25</f>
        <v>0</v>
      </c>
      <c r="O28" s="746">
        <f>'12'!Y25</f>
        <v>0</v>
      </c>
      <c r="P28" s="900"/>
      <c r="Q28" s="901"/>
      <c r="R28" s="908"/>
    </row>
    <row r="29" spans="1:19" x14ac:dyDescent="0.25">
      <c r="A29" s="905"/>
      <c r="B29" s="743" t="s">
        <v>128</v>
      </c>
      <c r="C29" s="743">
        <v>500</v>
      </c>
      <c r="D29" s="750">
        <v>1.34</v>
      </c>
      <c r="E29" s="751">
        <v>5</v>
      </c>
      <c r="F29" s="750">
        <f>'12'!M28</f>
        <v>5</v>
      </c>
      <c r="G29" s="750">
        <f>'12'!J28</f>
        <v>9.5333333333333332</v>
      </c>
      <c r="H29" s="750">
        <f>'12'!K28</f>
        <v>10</v>
      </c>
      <c r="I29" s="751">
        <f t="shared" si="8"/>
        <v>184</v>
      </c>
      <c r="J29" s="751">
        <f t="shared" si="9"/>
        <v>5000</v>
      </c>
      <c r="K29" s="745">
        <f>'12'!D28</f>
        <v>4048</v>
      </c>
      <c r="L29" s="752">
        <f t="shared" si="10"/>
        <v>0.80959999999999999</v>
      </c>
      <c r="M29" s="746">
        <f>'12'!P28</f>
        <v>424.61538461538464</v>
      </c>
      <c r="N29" s="746">
        <f>'12'!Q28</f>
        <v>404.8</v>
      </c>
      <c r="O29" s="746">
        <f>'12'!Y28</f>
        <v>3.8601398601398604</v>
      </c>
      <c r="P29" s="900"/>
      <c r="Q29" s="901"/>
      <c r="R29" s="908"/>
    </row>
    <row r="30" spans="1:19" x14ac:dyDescent="0.25">
      <c r="A30" s="905"/>
      <c r="B30" s="321" t="s">
        <v>126</v>
      </c>
      <c r="C30" s="321"/>
      <c r="D30" s="321"/>
      <c r="E30" s="321"/>
      <c r="F30" s="321"/>
      <c r="G30" s="322">
        <f>SUM(G28:G29)</f>
        <v>9.5333333333333332</v>
      </c>
      <c r="H30" s="322">
        <f>SUM(H28:H29)</f>
        <v>10</v>
      </c>
      <c r="I30" s="754">
        <f>SUM(I28:I29)</f>
        <v>184</v>
      </c>
      <c r="J30" s="323">
        <f>SUM(J28:J29)</f>
        <v>5000</v>
      </c>
      <c r="K30" s="323">
        <f>SUM(K28:K29)</f>
        <v>4048</v>
      </c>
      <c r="L30" s="755">
        <f t="shared" si="7"/>
        <v>0.80959999999999999</v>
      </c>
      <c r="M30" s="324">
        <f>K30/G30</f>
        <v>424.61538461538464</v>
      </c>
      <c r="N30" s="324">
        <f>K30/H30</f>
        <v>404.8</v>
      </c>
      <c r="O30" s="324"/>
      <c r="P30" s="902"/>
      <c r="Q30" s="903"/>
      <c r="R30" s="909"/>
    </row>
    <row r="31" spans="1:19" x14ac:dyDescent="0.25">
      <c r="A31" s="896" t="s">
        <v>131</v>
      </c>
      <c r="B31" s="896"/>
      <c r="C31" s="896"/>
      <c r="D31" s="896"/>
      <c r="E31" s="896"/>
      <c r="F31" s="896"/>
      <c r="G31" s="315">
        <f>G26+G30</f>
        <v>46.533333333333331</v>
      </c>
      <c r="H31" s="315">
        <f>H26+H30</f>
        <v>49</v>
      </c>
      <c r="I31" s="316">
        <f>I26+I30</f>
        <v>954</v>
      </c>
      <c r="J31" s="316">
        <f>J26+J30</f>
        <v>23150</v>
      </c>
      <c r="K31" s="317">
        <f>K26+K30</f>
        <v>20988</v>
      </c>
      <c r="L31" s="757">
        <f>K31/J31</f>
        <v>0.90660907127429802</v>
      </c>
      <c r="M31" s="318">
        <f>K31/G31</f>
        <v>451.03151862464188</v>
      </c>
      <c r="N31" s="318">
        <f>K31/H31</f>
        <v>428.32653061224488</v>
      </c>
      <c r="O31" s="318"/>
      <c r="P31" s="910"/>
      <c r="Q31" s="897"/>
      <c r="R31" s="741"/>
    </row>
    <row r="32" spans="1:19" x14ac:dyDescent="0.25">
      <c r="P32" s="325"/>
      <c r="Q32" s="325"/>
      <c r="R32" s="325"/>
    </row>
    <row r="33" spans="1:18" x14ac:dyDescent="0.25">
      <c r="A33" s="896" t="s">
        <v>132</v>
      </c>
      <c r="B33" s="896"/>
      <c r="C33" s="896"/>
      <c r="D33" s="896"/>
      <c r="E33" s="896"/>
      <c r="F33" s="896"/>
      <c r="G33" s="319">
        <f>G16+G31</f>
        <v>91.683333333333337</v>
      </c>
      <c r="H33" s="319">
        <f>+H16+H31</f>
        <v>99</v>
      </c>
      <c r="I33" s="326">
        <f>I16+I31</f>
        <v>1440</v>
      </c>
      <c r="J33" s="326">
        <f>(J16+J31)</f>
        <v>46650</v>
      </c>
      <c r="K33" s="320">
        <f>K31+K16</f>
        <v>40986</v>
      </c>
      <c r="L33" s="757">
        <f>K33/J33</f>
        <v>0.87858520900321546</v>
      </c>
      <c r="M33" s="318">
        <f>K33/G33</f>
        <v>447.03872023268497</v>
      </c>
      <c r="N33" s="318">
        <f>K33/H33</f>
        <v>414</v>
      </c>
      <c r="P33" s="910">
        <f>P6+P21</f>
        <v>3661.3</v>
      </c>
      <c r="Q33" s="897"/>
      <c r="R33" s="741">
        <f>IFERROR(K33/P33,0)</f>
        <v>11.19438450823478</v>
      </c>
    </row>
  </sheetData>
  <mergeCells count="17">
    <mergeCell ref="P21:Q30"/>
    <mergeCell ref="R21:R30"/>
    <mergeCell ref="A31:F31"/>
    <mergeCell ref="P31:Q31"/>
    <mergeCell ref="A33:F33"/>
    <mergeCell ref="P33:Q33"/>
    <mergeCell ref="A19:A30"/>
    <mergeCell ref="P19:Q20"/>
    <mergeCell ref="R19:R20"/>
    <mergeCell ref="A16:F16"/>
    <mergeCell ref="P16:Q16"/>
    <mergeCell ref="P6:Q15"/>
    <mergeCell ref="A2:R3"/>
    <mergeCell ref="A4:A15"/>
    <mergeCell ref="P4:Q5"/>
    <mergeCell ref="R4:R5"/>
    <mergeCell ref="R6:R15"/>
  </mergeCells>
  <pageMargins left="0.7" right="0.7" top="0.75" bottom="0.75" header="0.3" footer="0.3"/>
  <pageSetup paperSize="9" scale="58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4"/>
  <sheetViews>
    <sheetView workbookViewId="0">
      <selection activeCell="C4" sqref="C4"/>
    </sheetView>
  </sheetViews>
  <sheetFormatPr defaultRowHeight="15" x14ac:dyDescent="0.25"/>
  <sheetData>
    <row r="4" spans="2:4" x14ac:dyDescent="0.25">
      <c r="B4" s="78">
        <v>0.74305555555555547</v>
      </c>
      <c r="C4" s="758">
        <v>0.79166666666666663</v>
      </c>
      <c r="D4" s="758">
        <f>C4-B4</f>
        <v>4.861111111111116E-2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Sheet3</vt:lpstr>
      <vt:lpstr>fleet</vt:lpstr>
      <vt:lpstr>12</vt:lpstr>
      <vt:lpstr>SUMMARY</vt:lpstr>
      <vt:lpstr>Sheet2</vt:lpstr>
      <vt:lpstr>'12'!Print_Area</vt:lpstr>
      <vt:lpstr>Sheet3!Print_Area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meli</cp:lastModifiedBy>
  <cp:lastPrinted>2024-08-12T03:02:41Z</cp:lastPrinted>
  <dcterms:created xsi:type="dcterms:W3CDTF">2018-04-19T02:44:06Z</dcterms:created>
  <dcterms:modified xsi:type="dcterms:W3CDTF">2024-08-13T01:24:43Z</dcterms:modified>
</cp:coreProperties>
</file>