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Tahun 2024\12. DESEMBER\SUMMARY LOST TIME\"/>
    </mc:Choice>
  </mc:AlternateContent>
  <xr:revisionPtr revIDLastSave="0" documentId="13_ncr:1_{16858F4A-1604-4B98-B393-4AF04AFEC016}" xr6:coauthVersionLast="45" xr6:coauthVersionMax="47" xr10:uidLastSave="{00000000-0000-0000-0000-000000000000}"/>
  <bookViews>
    <workbookView xWindow="-120" yWindow="-120" windowWidth="20730" windowHeight="11160" tabRatio="843" firstSheet="24" activeTab="34" xr2:uid="{00000000-000D-0000-FFFF-FFFF00000000}"/>
  </bookViews>
  <sheets>
    <sheet name="01" sheetId="1" r:id="rId1"/>
    <sheet name="02" sheetId="4" r:id="rId2"/>
    <sheet name="03" sheetId="5" r:id="rId3"/>
    <sheet name="04" sheetId="12" r:id="rId4"/>
    <sheet name="05" sheetId="13" r:id="rId5"/>
    <sheet name="06" sheetId="14" r:id="rId6"/>
    <sheet name="07" sheetId="15" r:id="rId7"/>
    <sheet name="08" sheetId="16" r:id="rId8"/>
    <sheet name="09" sheetId="17" r:id="rId9"/>
    <sheet name="10" sheetId="18" r:id="rId10"/>
    <sheet name="11" sheetId="19" r:id="rId11"/>
    <sheet name="12" sheetId="6" r:id="rId12"/>
    <sheet name="13" sheetId="7" r:id="rId13"/>
    <sheet name="14" sheetId="8" r:id="rId14"/>
    <sheet name="15" sheetId="9" r:id="rId15"/>
    <sheet name="16" sheetId="10" r:id="rId16"/>
    <sheet name="17" sheetId="11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7" r:id="rId25"/>
    <sheet name="26" sheetId="28" r:id="rId26"/>
    <sheet name="27" sheetId="29" r:id="rId27"/>
    <sheet name="28" sheetId="30" state="hidden" r:id="rId28"/>
    <sheet name="29" sheetId="31" state="hidden" r:id="rId29"/>
    <sheet name="30" sheetId="32" state="hidden" r:id="rId30"/>
    <sheet name="31" sheetId="33" state="hidden" r:id="rId31"/>
    <sheet name="SUMMARY" sheetId="34" r:id="rId32"/>
    <sheet name="LOSS PROD" sheetId="35" r:id="rId33"/>
    <sheet name="LOSS PROD BY RM" sheetId="36" r:id="rId34"/>
    <sheet name="LOSS PROD BY PROD" sheetId="37" r:id="rId35"/>
  </sheets>
  <definedNames>
    <definedName name="_xlnm.Print_Area" localSheetId="2">'03'!$A$6:$AA$28</definedName>
    <definedName name="_xlnm.Print_Area" localSheetId="3">'04'!$A$4:$AK$28</definedName>
    <definedName name="_xlnm.Print_Area" localSheetId="6">'07'!$A$4:$AK$28</definedName>
    <definedName name="_xlnm.Print_Area" localSheetId="34">'LOSS PROD BY PROD'!$A$5:$BB$5</definedName>
    <definedName name="_xlnm.Print_Area" localSheetId="33">'LOSS PROD BY RM'!$B$2:$AF$15</definedName>
    <definedName name="_xlnm.Print_Area" localSheetId="31">SUMMARY!$A$5:$AA$27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36" l="1"/>
  <c r="P6" i="36"/>
  <c r="H6" i="36"/>
  <c r="D7" i="36"/>
  <c r="D6" i="36"/>
  <c r="D7" i="35"/>
  <c r="C13" i="37" l="1"/>
  <c r="C12" i="37"/>
  <c r="C11" i="37"/>
  <c r="C10" i="37"/>
  <c r="C8" i="37"/>
  <c r="C7" i="37"/>
  <c r="G12" i="37"/>
  <c r="G11" i="37"/>
  <c r="G10" i="37"/>
  <c r="G8" i="37"/>
  <c r="G7" i="37"/>
  <c r="K13" i="37"/>
  <c r="K12" i="37"/>
  <c r="K11" i="37"/>
  <c r="K10" i="37"/>
  <c r="K8" i="37"/>
  <c r="K7" i="37"/>
  <c r="O13" i="37"/>
  <c r="O12" i="37"/>
  <c r="O11" i="37"/>
  <c r="O10" i="37"/>
  <c r="O8" i="37"/>
  <c r="O7" i="37"/>
  <c r="S13" i="37"/>
  <c r="S7" i="37"/>
  <c r="W13" i="37"/>
  <c r="W12" i="37"/>
  <c r="W11" i="37"/>
  <c r="W10" i="37"/>
  <c r="W8" i="37"/>
  <c r="W7" i="37"/>
  <c r="AA13" i="37"/>
  <c r="AA12" i="37"/>
  <c r="AA11" i="37"/>
  <c r="AA10" i="37"/>
  <c r="AA8" i="37"/>
  <c r="AA7" i="37"/>
  <c r="AE13" i="37"/>
  <c r="AE12" i="37"/>
  <c r="AE11" i="37"/>
  <c r="AE10" i="37"/>
  <c r="AE8" i="37"/>
  <c r="AE7" i="37"/>
  <c r="AI13" i="37"/>
  <c r="AI12" i="37"/>
  <c r="AI11" i="37"/>
  <c r="AI10" i="37"/>
  <c r="AI8" i="37"/>
  <c r="AI7" i="37"/>
  <c r="AM13" i="37"/>
  <c r="AM12" i="37"/>
  <c r="AM11" i="37"/>
  <c r="AM10" i="37"/>
  <c r="AM8" i="37"/>
  <c r="AM7" i="37"/>
  <c r="AQ11" i="37"/>
  <c r="AQ8" i="37"/>
  <c r="AQ7" i="37"/>
  <c r="AY13" i="37"/>
  <c r="AY12" i="37"/>
  <c r="AY11" i="37"/>
  <c r="AY10" i="37"/>
  <c r="AY8" i="37"/>
  <c r="AY7" i="37"/>
  <c r="AB12" i="36"/>
  <c r="P12" i="36"/>
  <c r="T12" i="36"/>
  <c r="X12" i="36"/>
  <c r="H8" i="36"/>
  <c r="D10" i="35"/>
  <c r="D9" i="35"/>
  <c r="D8" i="35"/>
  <c r="D5" i="35"/>
  <c r="D4" i="35"/>
  <c r="AA9" i="37" l="1"/>
  <c r="AB6" i="36"/>
  <c r="X6" i="36"/>
  <c r="AE9" i="37" l="1"/>
  <c r="P7" i="36"/>
  <c r="T7" i="36" l="1"/>
  <c r="H7" i="36" l="1"/>
  <c r="X7" i="36" l="1"/>
  <c r="W9" i="37" l="1"/>
  <c r="V22" i="13" l="1"/>
  <c r="V7" i="34"/>
  <c r="W22" i="13"/>
  <c r="AG17" i="13"/>
  <c r="D6" i="35" l="1"/>
  <c r="AY9" i="37" l="1"/>
  <c r="AQ9" i="37"/>
  <c r="AQ10" i="37"/>
  <c r="AQ12" i="37"/>
  <c r="AQ13" i="37"/>
  <c r="AU8" i="37"/>
  <c r="AU9" i="37"/>
  <c r="AU10" i="37"/>
  <c r="AU11" i="37"/>
  <c r="AU12" i="37"/>
  <c r="AU13" i="37"/>
  <c r="AM9" i="37"/>
  <c r="AI9" i="37"/>
  <c r="S8" i="37"/>
  <c r="S9" i="37"/>
  <c r="S10" i="37"/>
  <c r="S11" i="37"/>
  <c r="S12" i="37"/>
  <c r="O9" i="37"/>
  <c r="K9" i="37"/>
  <c r="G9" i="37"/>
  <c r="G13" i="37"/>
  <c r="C9" i="37"/>
  <c r="AB8" i="36"/>
  <c r="X8" i="36"/>
  <c r="L6" i="36"/>
  <c r="H12" i="36"/>
  <c r="D12" i="36"/>
  <c r="D8" i="36"/>
  <c r="AA10" i="4"/>
  <c r="AA11" i="4"/>
  <c r="AA12" i="4"/>
  <c r="AA13" i="4"/>
  <c r="AA14" i="4"/>
  <c r="AA15" i="4"/>
  <c r="AA16" i="4"/>
  <c r="AA17" i="4"/>
  <c r="AA18" i="4"/>
  <c r="AA19" i="4"/>
  <c r="AA20" i="4"/>
  <c r="B5" i="4"/>
  <c r="B5" i="5" s="1"/>
  <c r="B5" i="12" s="1"/>
  <c r="B5" i="13" s="1"/>
  <c r="B5" i="14" s="1"/>
  <c r="B5" i="15" s="1"/>
  <c r="Z20" i="34" l="1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Z17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Z16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Z15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Z14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Z11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Z7" i="34"/>
  <c r="Y7" i="34"/>
  <c r="X7" i="34"/>
  <c r="W7" i="34"/>
  <c r="U7" i="34"/>
  <c r="T7" i="34"/>
  <c r="S7" i="34"/>
  <c r="R7" i="34"/>
  <c r="Q7" i="34"/>
  <c r="P7" i="34"/>
  <c r="O7" i="34"/>
  <c r="N7" i="34"/>
  <c r="M7" i="34"/>
  <c r="L7" i="34"/>
  <c r="K7" i="34"/>
  <c r="J7" i="34"/>
  <c r="AA10" i="7" l="1"/>
  <c r="AA11" i="7"/>
  <c r="AA17" i="7" l="1"/>
  <c r="AA17" i="6" l="1"/>
  <c r="AA10" i="6"/>
  <c r="AA8" i="6"/>
  <c r="AA10" i="19" l="1"/>
  <c r="AA17" i="16" l="1"/>
  <c r="AB17" i="16"/>
  <c r="AA10" i="16"/>
  <c r="AA10" i="15" l="1"/>
  <c r="AA17" i="14" l="1"/>
  <c r="AB17" i="14"/>
  <c r="AA17" i="13" l="1"/>
  <c r="AA10" i="13"/>
  <c r="AB17" i="12" l="1"/>
  <c r="AA17" i="12"/>
  <c r="AA10" i="12"/>
  <c r="M10" i="37" l="1"/>
  <c r="AB7" i="36"/>
  <c r="T8" i="36"/>
  <c r="P8" i="36"/>
  <c r="L12" i="36"/>
  <c r="L8" i="36"/>
  <c r="L7" i="36"/>
  <c r="AA17" i="1" l="1"/>
  <c r="AA10" i="1" l="1"/>
  <c r="V22" i="30" l="1"/>
  <c r="J22" i="28" l="1"/>
  <c r="J23" i="28"/>
  <c r="J24" i="28"/>
  <c r="J25" i="28"/>
  <c r="J26" i="28"/>
  <c r="J27" i="28"/>
  <c r="J28" i="28"/>
  <c r="AH21" i="27" l="1"/>
  <c r="AJ21" i="27" s="1"/>
  <c r="AH20" i="27"/>
  <c r="AH19" i="27"/>
  <c r="AJ19" i="27" s="1"/>
  <c r="AH17" i="27"/>
  <c r="AJ17" i="27" s="1"/>
  <c r="AH16" i="27"/>
  <c r="AJ16" i="27" s="1"/>
  <c r="AH15" i="27"/>
  <c r="AJ15" i="27" s="1"/>
  <c r="AH14" i="27"/>
  <c r="AJ14" i="27" s="1"/>
  <c r="AH13" i="27"/>
  <c r="AJ13" i="27" s="1"/>
  <c r="AH12" i="27"/>
  <c r="AH10" i="27"/>
  <c r="AJ10" i="27" s="1"/>
  <c r="AH9" i="27"/>
  <c r="AJ9" i="27" s="1"/>
  <c r="AH8" i="27"/>
  <c r="AJ8" i="27" s="1"/>
  <c r="AC19" i="27"/>
  <c r="AE19" i="27" s="1"/>
  <c r="AC17" i="27"/>
  <c r="AE17" i="27"/>
  <c r="AC16" i="27"/>
  <c r="AE16" i="27" s="1"/>
  <c r="AC14" i="27"/>
  <c r="AE14" i="27" s="1"/>
  <c r="AC13" i="27"/>
  <c r="AE13" i="27" s="1"/>
  <c r="AC12" i="27"/>
  <c r="AE12" i="27" s="1"/>
  <c r="AC8" i="27"/>
  <c r="AE8" i="27" s="1"/>
  <c r="AC10" i="27"/>
  <c r="AE10" i="27" s="1"/>
  <c r="AC9" i="27"/>
  <c r="AE9" i="27" s="1"/>
  <c r="AG21" i="27"/>
  <c r="AC21" i="27"/>
  <c r="AE21" i="27" s="1"/>
  <c r="AB21" i="27"/>
  <c r="AJ20" i="27"/>
  <c r="AG20" i="27"/>
  <c r="AC20" i="27"/>
  <c r="AE20" i="27" s="1"/>
  <c r="AB20" i="27"/>
  <c r="AG19" i="27"/>
  <c r="AB19" i="27"/>
  <c r="AH18" i="27"/>
  <c r="AJ18" i="27" s="1"/>
  <c r="AG18" i="27"/>
  <c r="AC18" i="27"/>
  <c r="AE18" i="27" s="1"/>
  <c r="AB18" i="27"/>
  <c r="AG17" i="27"/>
  <c r="AB17" i="27"/>
  <c r="AG16" i="27"/>
  <c r="AB16" i="27"/>
  <c r="AG15" i="27"/>
  <c r="AC15" i="27"/>
  <c r="AE15" i="27" s="1"/>
  <c r="AB15" i="27"/>
  <c r="AG14" i="27"/>
  <c r="AB14" i="27"/>
  <c r="AG13" i="27"/>
  <c r="AB13" i="27"/>
  <c r="AJ12" i="27"/>
  <c r="AG12" i="27"/>
  <c r="AB12" i="27"/>
  <c r="AH11" i="27"/>
  <c r="AJ11" i="27" s="1"/>
  <c r="AG11" i="27"/>
  <c r="AC11" i="27"/>
  <c r="AE11" i="27" s="1"/>
  <c r="AB11" i="27"/>
  <c r="AG10" i="27"/>
  <c r="AB10" i="27"/>
  <c r="AG9" i="27"/>
  <c r="AB9" i="27"/>
  <c r="AG8" i="27"/>
  <c r="AB8" i="27"/>
  <c r="AK15" i="27" l="1"/>
  <c r="AK8" i="27"/>
  <c r="AF15" i="27"/>
  <c r="AF8" i="27"/>
  <c r="AF22" i="27" l="1"/>
  <c r="AK22" i="27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K24" i="24"/>
  <c r="L24" i="24"/>
  <c r="M24" i="24"/>
  <c r="N24" i="24"/>
  <c r="O24" i="24"/>
  <c r="P24" i="24"/>
  <c r="Q24" i="24"/>
  <c r="R24" i="24"/>
  <c r="S24" i="24"/>
  <c r="T24" i="24"/>
  <c r="U24" i="24"/>
  <c r="V24" i="24"/>
  <c r="W24" i="24"/>
  <c r="X24" i="24"/>
  <c r="Y24" i="24"/>
  <c r="Z24" i="24"/>
  <c r="K25" i="24"/>
  <c r="L25" i="24"/>
  <c r="M25" i="24"/>
  <c r="N25" i="24"/>
  <c r="O25" i="24"/>
  <c r="P25" i="24"/>
  <c r="Q25" i="24"/>
  <c r="R25" i="24"/>
  <c r="S25" i="24"/>
  <c r="T25" i="24"/>
  <c r="U25" i="24"/>
  <c r="V25" i="24"/>
  <c r="W25" i="24"/>
  <c r="X25" i="24"/>
  <c r="Y25" i="24"/>
  <c r="Z25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K27" i="24"/>
  <c r="L27" i="24"/>
  <c r="M27" i="24"/>
  <c r="N27" i="24"/>
  <c r="O27" i="24"/>
  <c r="P27" i="24"/>
  <c r="Q27" i="24"/>
  <c r="R27" i="24"/>
  <c r="S27" i="24"/>
  <c r="T27" i="24"/>
  <c r="U27" i="24"/>
  <c r="V27" i="24"/>
  <c r="W27" i="24"/>
  <c r="X27" i="24"/>
  <c r="Y27" i="24"/>
  <c r="Z27" i="24"/>
  <c r="K28" i="24"/>
  <c r="L28" i="24"/>
  <c r="M28" i="24"/>
  <c r="N28" i="24"/>
  <c r="O28" i="24"/>
  <c r="P28" i="24"/>
  <c r="Q28" i="24"/>
  <c r="R28" i="24"/>
  <c r="S28" i="24"/>
  <c r="T28" i="24"/>
  <c r="U28" i="24"/>
  <c r="V28" i="24"/>
  <c r="W28" i="24"/>
  <c r="X28" i="24"/>
  <c r="Y28" i="24"/>
  <c r="Z28" i="24"/>
  <c r="P22" i="24"/>
  <c r="Q22" i="24"/>
  <c r="R22" i="24"/>
  <c r="S22" i="24"/>
  <c r="T22" i="24"/>
  <c r="U22" i="24"/>
  <c r="V22" i="24"/>
  <c r="W22" i="24"/>
  <c r="X22" i="24"/>
  <c r="Y22" i="24"/>
  <c r="Z22" i="24"/>
  <c r="L22" i="24"/>
  <c r="M22" i="24"/>
  <c r="N22" i="24"/>
  <c r="O22" i="24"/>
  <c r="J23" i="24"/>
  <c r="J24" i="24"/>
  <c r="J25" i="24"/>
  <c r="J26" i="24"/>
  <c r="J27" i="24"/>
  <c r="J28" i="24"/>
  <c r="K22" i="24"/>
  <c r="AC15" i="23" l="1"/>
  <c r="AE15" i="23" s="1"/>
  <c r="AC10" i="23"/>
  <c r="AE10" i="23" s="1"/>
  <c r="AC9" i="23"/>
  <c r="AE9" i="23" s="1"/>
  <c r="AH21" i="23"/>
  <c r="AH20" i="23"/>
  <c r="AJ20" i="23" s="1"/>
  <c r="AH19" i="23"/>
  <c r="AJ19" i="23" s="1"/>
  <c r="AH17" i="23"/>
  <c r="AJ17" i="23" s="1"/>
  <c r="AH16" i="23"/>
  <c r="AJ16" i="23" s="1"/>
  <c r="AH15" i="23"/>
  <c r="AJ15" i="23" s="1"/>
  <c r="AC19" i="23"/>
  <c r="AC17" i="23"/>
  <c r="AC16" i="23"/>
  <c r="AE16" i="23" s="1"/>
  <c r="AH14" i="23"/>
  <c r="AJ14" i="23" s="1"/>
  <c r="AH13" i="23"/>
  <c r="AJ13" i="23" s="1"/>
  <c r="AH12" i="23"/>
  <c r="AJ12" i="23" s="1"/>
  <c r="AH10" i="23"/>
  <c r="AJ10" i="23" s="1"/>
  <c r="AH9" i="23"/>
  <c r="AJ9" i="23" s="1"/>
  <c r="AH8" i="23"/>
  <c r="AJ8" i="23" s="1"/>
  <c r="AC14" i="23"/>
  <c r="AE14" i="23" s="1"/>
  <c r="AC13" i="23"/>
  <c r="AE13" i="23" s="1"/>
  <c r="AJ21" i="23"/>
  <c r="AG21" i="23"/>
  <c r="AC21" i="23"/>
  <c r="AE21" i="23" s="1"/>
  <c r="AB21" i="23"/>
  <c r="AG20" i="23"/>
  <c r="AC20" i="23"/>
  <c r="AE20" i="23" s="1"/>
  <c r="AB20" i="23"/>
  <c r="AG19" i="23"/>
  <c r="AE19" i="23"/>
  <c r="AB19" i="23"/>
  <c r="AH18" i="23"/>
  <c r="AJ18" i="23" s="1"/>
  <c r="AG18" i="23"/>
  <c r="AC18" i="23"/>
  <c r="AE18" i="23" s="1"/>
  <c r="AB18" i="23"/>
  <c r="AG17" i="23"/>
  <c r="AE17" i="23"/>
  <c r="AB17" i="23"/>
  <c r="AG16" i="23"/>
  <c r="AB16" i="23"/>
  <c r="AG15" i="23"/>
  <c r="AB15" i="23"/>
  <c r="AG14" i="23"/>
  <c r="AB14" i="23"/>
  <c r="AG13" i="23"/>
  <c r="AB13" i="23"/>
  <c r="AG12" i="23"/>
  <c r="AC12" i="23"/>
  <c r="AE12" i="23" s="1"/>
  <c r="AB12" i="23"/>
  <c r="AH11" i="23"/>
  <c r="AJ11" i="23" s="1"/>
  <c r="AG11" i="23"/>
  <c r="AC11" i="23"/>
  <c r="AE11" i="23" s="1"/>
  <c r="AB11" i="23"/>
  <c r="AG10" i="23"/>
  <c r="AB10" i="23"/>
  <c r="AG9" i="23"/>
  <c r="AB9" i="23"/>
  <c r="AG8" i="23"/>
  <c r="AC8" i="23"/>
  <c r="AE8" i="23" s="1"/>
  <c r="AB8" i="23"/>
  <c r="AF15" i="23" l="1"/>
  <c r="AK8" i="23"/>
  <c r="AK15" i="23"/>
  <c r="AK22" i="23" s="1"/>
  <c r="AF8" i="23"/>
  <c r="AF22" i="23" l="1"/>
  <c r="AH21" i="20"/>
  <c r="AJ21" i="20" s="1"/>
  <c r="AH20" i="20"/>
  <c r="AJ20" i="20" s="1"/>
  <c r="AH19" i="20"/>
  <c r="AJ19" i="20" s="1"/>
  <c r="AH17" i="20"/>
  <c r="AJ17" i="20" s="1"/>
  <c r="AH16" i="20"/>
  <c r="AJ16" i="20" s="1"/>
  <c r="AH15" i="20"/>
  <c r="AJ15" i="20" s="1"/>
  <c r="AH14" i="20"/>
  <c r="AJ14" i="20" s="1"/>
  <c r="AH13" i="20"/>
  <c r="AJ13" i="20" s="1"/>
  <c r="AH12" i="20"/>
  <c r="AJ12" i="20" s="1"/>
  <c r="AH10" i="20"/>
  <c r="AJ10" i="20" s="1"/>
  <c r="AH9" i="20"/>
  <c r="AJ9" i="20" s="1"/>
  <c r="AH8" i="20"/>
  <c r="AJ8" i="20" s="1"/>
  <c r="AC19" i="20"/>
  <c r="AE19" i="20" s="1"/>
  <c r="AC17" i="20"/>
  <c r="AE17" i="20" s="1"/>
  <c r="AC15" i="20"/>
  <c r="AE15" i="20" s="1"/>
  <c r="AC13" i="20"/>
  <c r="AE13" i="20" s="1"/>
  <c r="AC12" i="20"/>
  <c r="AE12" i="20" s="1"/>
  <c r="AC10" i="20"/>
  <c r="AE10" i="20" s="1"/>
  <c r="AC9" i="20"/>
  <c r="AE9" i="20" s="1"/>
  <c r="AG21" i="20"/>
  <c r="AC21" i="20"/>
  <c r="AE21" i="20" s="1"/>
  <c r="AB21" i="20"/>
  <c r="AG20" i="20"/>
  <c r="AC20" i="20"/>
  <c r="AE20" i="20" s="1"/>
  <c r="AB20" i="20"/>
  <c r="AG19" i="20"/>
  <c r="AB19" i="20"/>
  <c r="AH18" i="20"/>
  <c r="AJ18" i="20" s="1"/>
  <c r="AG18" i="20"/>
  <c r="AC18" i="20"/>
  <c r="AE18" i="20" s="1"/>
  <c r="AB18" i="20"/>
  <c r="AG17" i="20"/>
  <c r="AB17" i="20"/>
  <c r="AG16" i="20"/>
  <c r="AC16" i="20"/>
  <c r="AE16" i="20" s="1"/>
  <c r="AB16" i="20"/>
  <c r="AG15" i="20"/>
  <c r="AB15" i="20"/>
  <c r="AG14" i="20"/>
  <c r="AC14" i="20"/>
  <c r="AE14" i="20" s="1"/>
  <c r="AB14" i="20"/>
  <c r="AG13" i="20"/>
  <c r="AB13" i="20"/>
  <c r="AG12" i="20"/>
  <c r="AB12" i="20"/>
  <c r="AH11" i="20"/>
  <c r="AJ11" i="20" s="1"/>
  <c r="AG11" i="20"/>
  <c r="AC11" i="20"/>
  <c r="AE11" i="20" s="1"/>
  <c r="AB11" i="20"/>
  <c r="AG10" i="20"/>
  <c r="AB10" i="20"/>
  <c r="AG9" i="20"/>
  <c r="AB9" i="20"/>
  <c r="AG8" i="20"/>
  <c r="AC8" i="20"/>
  <c r="AE8" i="20" s="1"/>
  <c r="AB8" i="20"/>
  <c r="AK8" i="20" l="1"/>
  <c r="AF8" i="20"/>
  <c r="AK15" i="20"/>
  <c r="AK22" i="20" s="1"/>
  <c r="AF15" i="20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F24" i="8"/>
  <c r="E24" i="8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F24" i="9"/>
  <c r="E24" i="9"/>
  <c r="E25" i="9"/>
  <c r="F25" i="9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K26" i="23"/>
  <c r="J26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Z28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Z27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F24" i="21"/>
  <c r="E24" i="21"/>
  <c r="F24" i="22"/>
  <c r="E24" i="22"/>
  <c r="F24" i="23"/>
  <c r="E24" i="23"/>
  <c r="F24" i="24"/>
  <c r="E24" i="24"/>
  <c r="F24" i="25"/>
  <c r="E24" i="25"/>
  <c r="F24" i="26"/>
  <c r="E24" i="26"/>
  <c r="F24" i="27"/>
  <c r="E24" i="27"/>
  <c r="F24" i="28"/>
  <c r="E24" i="28"/>
  <c r="F24" i="29"/>
  <c r="E24" i="29"/>
  <c r="F24" i="30"/>
  <c r="E24" i="30"/>
  <c r="F24" i="31"/>
  <c r="E24" i="31"/>
  <c r="F24" i="32"/>
  <c r="E24" i="32"/>
  <c r="F24" i="33"/>
  <c r="E24" i="33"/>
  <c r="F24" i="20"/>
  <c r="E24" i="20"/>
  <c r="AA17" i="21"/>
  <c r="AA17" i="22"/>
  <c r="AA17" i="23"/>
  <c r="AA17" i="24"/>
  <c r="AA17" i="25"/>
  <c r="AA17" i="26"/>
  <c r="AA17" i="27"/>
  <c r="AA17" i="28"/>
  <c r="AA17" i="29"/>
  <c r="AA17" i="30"/>
  <c r="AA17" i="31"/>
  <c r="AA17" i="32"/>
  <c r="AA17" i="33"/>
  <c r="AA17" i="20"/>
  <c r="AA10" i="21"/>
  <c r="AA10" i="22"/>
  <c r="AA10" i="23"/>
  <c r="AA10" i="24"/>
  <c r="AA10" i="25"/>
  <c r="AA10" i="26"/>
  <c r="AA10" i="27"/>
  <c r="AA10" i="28"/>
  <c r="AA10" i="29"/>
  <c r="AA10" i="30"/>
  <c r="AA10" i="31"/>
  <c r="AA10" i="32"/>
  <c r="AA10" i="33"/>
  <c r="AA10" i="20"/>
  <c r="AA27" i="33" l="1"/>
  <c r="AA25" i="31"/>
  <c r="AA28" i="30"/>
  <c r="AA26" i="28"/>
  <c r="AA24" i="26"/>
  <c r="AA27" i="25"/>
  <c r="AA26" i="25"/>
  <c r="AA24" i="29"/>
  <c r="AA27" i="28"/>
  <c r="AA25" i="26"/>
  <c r="AA24" i="32"/>
  <c r="AA27" i="31"/>
  <c r="AA25" i="29"/>
  <c r="AA28" i="28"/>
  <c r="AA26" i="26"/>
  <c r="AA28" i="25"/>
  <c r="AA25" i="21"/>
  <c r="AA24" i="9"/>
  <c r="AA25" i="8"/>
  <c r="AA26" i="8"/>
  <c r="AA25" i="32"/>
  <c r="AA26" i="32"/>
  <c r="AA24" i="30"/>
  <c r="AA27" i="29"/>
  <c r="AA25" i="27"/>
  <c r="AA28" i="26"/>
  <c r="AA25" i="24"/>
  <c r="AA26" i="24"/>
  <c r="AA26" i="9"/>
  <c r="AA27" i="8"/>
  <c r="AA28" i="33"/>
  <c r="AA24" i="33"/>
  <c r="AA27" i="32"/>
  <c r="AA25" i="30"/>
  <c r="AA28" i="29"/>
  <c r="AA26" i="27"/>
  <c r="AA24" i="25"/>
  <c r="AA27" i="9"/>
  <c r="AA26" i="31"/>
  <c r="AA27" i="26"/>
  <c r="AA25" i="33"/>
  <c r="AA28" i="32"/>
  <c r="AA26" i="30"/>
  <c r="AA24" i="28"/>
  <c r="AA27" i="27"/>
  <c r="AA25" i="25"/>
  <c r="AA28" i="21"/>
  <c r="AA25" i="20"/>
  <c r="AA28" i="31"/>
  <c r="AA26" i="29"/>
  <c r="AA24" i="27"/>
  <c r="AA25" i="9"/>
  <c r="AA26" i="33"/>
  <c r="AA24" i="31"/>
  <c r="AA27" i="30"/>
  <c r="AA25" i="28"/>
  <c r="AA28" i="27"/>
  <c r="AA27" i="22"/>
  <c r="AA28" i="22"/>
  <c r="AA24" i="8"/>
  <c r="AA24" i="24"/>
  <c r="AA28" i="24"/>
  <c r="AA27" i="24"/>
  <c r="AA25" i="23"/>
  <c r="AA28" i="23"/>
  <c r="AA27" i="23"/>
  <c r="AA26" i="23"/>
  <c r="AA24" i="23"/>
  <c r="AA24" i="21"/>
  <c r="AA26" i="21"/>
  <c r="AA27" i="21"/>
  <c r="AA24" i="22"/>
  <c r="AA25" i="22"/>
  <c r="AA26" i="22"/>
  <c r="AF22" i="20"/>
  <c r="AA28" i="20"/>
  <c r="AA24" i="20"/>
  <c r="AA26" i="20"/>
  <c r="AA27" i="20"/>
  <c r="AH15" i="11"/>
  <c r="AH16" i="11"/>
  <c r="AH19" i="11"/>
  <c r="AH20" i="11"/>
  <c r="AH21" i="11"/>
  <c r="AH17" i="11"/>
  <c r="AC18" i="11" l="1"/>
  <c r="AH18" i="11"/>
  <c r="AH14" i="11"/>
  <c r="AH13" i="11"/>
  <c r="AJ13" i="11" s="1"/>
  <c r="AH12" i="11"/>
  <c r="AJ12" i="11" s="1"/>
  <c r="AH10" i="11"/>
  <c r="AJ10" i="11" s="1"/>
  <c r="AH9" i="11"/>
  <c r="AJ9" i="11" s="1"/>
  <c r="AH8" i="11"/>
  <c r="AJ8" i="11" s="1"/>
  <c r="AC21" i="11"/>
  <c r="AC20" i="11"/>
  <c r="AE20" i="11" s="1"/>
  <c r="AC19" i="11"/>
  <c r="AE18" i="11"/>
  <c r="AC17" i="11"/>
  <c r="AE17" i="11" s="1"/>
  <c r="AC15" i="11"/>
  <c r="AE15" i="11" s="1"/>
  <c r="AC13" i="11"/>
  <c r="AE13" i="11" s="1"/>
  <c r="AC10" i="11"/>
  <c r="AE10" i="11" s="1"/>
  <c r="AC9" i="11"/>
  <c r="AC8" i="11"/>
  <c r="AJ21" i="11"/>
  <c r="AG21" i="11"/>
  <c r="AE21" i="11"/>
  <c r="AB21" i="11"/>
  <c r="AJ20" i="11"/>
  <c r="AG20" i="11"/>
  <c r="AB20" i="11"/>
  <c r="AJ19" i="11"/>
  <c r="AG19" i="11"/>
  <c r="AE19" i="11"/>
  <c r="AB19" i="11"/>
  <c r="AJ18" i="11"/>
  <c r="AG18" i="11"/>
  <c r="AB18" i="11"/>
  <c r="AJ17" i="11"/>
  <c r="AG17" i="11"/>
  <c r="AB17" i="11"/>
  <c r="AJ16" i="11"/>
  <c r="AG16" i="11"/>
  <c r="AC16" i="11"/>
  <c r="AE16" i="11" s="1"/>
  <c r="AB16" i="11"/>
  <c r="AJ15" i="11"/>
  <c r="AG15" i="11"/>
  <c r="AB15" i="11"/>
  <c r="AJ14" i="11"/>
  <c r="AG14" i="11"/>
  <c r="AC14" i="11"/>
  <c r="AE14" i="11" s="1"/>
  <c r="AB14" i="11"/>
  <c r="AG13" i="11"/>
  <c r="AB13" i="11"/>
  <c r="AG12" i="11"/>
  <c r="AC12" i="11"/>
  <c r="AE12" i="11" s="1"/>
  <c r="AB12" i="11"/>
  <c r="AH11" i="11"/>
  <c r="AJ11" i="11" s="1"/>
  <c r="AG11" i="11"/>
  <c r="AC11" i="11"/>
  <c r="AE11" i="11" s="1"/>
  <c r="AB11" i="11"/>
  <c r="AG10" i="11"/>
  <c r="AB10" i="11"/>
  <c r="AG9" i="11"/>
  <c r="AE9" i="11"/>
  <c r="AB9" i="11"/>
  <c r="AG8" i="11"/>
  <c r="AE8" i="11"/>
  <c r="AB8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F24" i="11"/>
  <c r="E24" i="11"/>
  <c r="AA17" i="11"/>
  <c r="AA10" i="11"/>
  <c r="AK15" i="11" l="1"/>
  <c r="AK8" i="11"/>
  <c r="AF15" i="11"/>
  <c r="AF8" i="11"/>
  <c r="AA24" i="11"/>
  <c r="BA9" i="37"/>
  <c r="AK9" i="37"/>
  <c r="AG9" i="37"/>
  <c r="AC9" i="37"/>
  <c r="U9" i="37"/>
  <c r="M9" i="37"/>
  <c r="AE6" i="36"/>
  <c r="N8" i="36"/>
  <c r="N6" i="36"/>
  <c r="N12" i="36"/>
  <c r="N13" i="36" s="1"/>
  <c r="N7" i="36"/>
  <c r="AW9" i="37"/>
  <c r="AS9" i="37"/>
  <c r="AO9" i="37"/>
  <c r="Y9" i="37"/>
  <c r="Q9" i="37"/>
  <c r="I9" i="37"/>
  <c r="E9" i="37"/>
  <c r="F7" i="35"/>
  <c r="F6" i="35"/>
  <c r="F23" i="34"/>
  <c r="E23" i="34"/>
  <c r="J25" i="34"/>
  <c r="U26" i="34"/>
  <c r="V25" i="34"/>
  <c r="L25" i="34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Z25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Z26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F24" i="1"/>
  <c r="E24" i="1"/>
  <c r="F24" i="4"/>
  <c r="E24" i="4"/>
  <c r="F24" i="5"/>
  <c r="E24" i="5"/>
  <c r="F24" i="12"/>
  <c r="E24" i="12"/>
  <c r="F24" i="14"/>
  <c r="E24" i="14"/>
  <c r="F24" i="13"/>
  <c r="E24" i="13"/>
  <c r="F24" i="15"/>
  <c r="E24" i="15"/>
  <c r="F24" i="16"/>
  <c r="E24" i="16"/>
  <c r="F24" i="17"/>
  <c r="E24" i="17"/>
  <c r="F24" i="18"/>
  <c r="E24" i="18"/>
  <c r="F24" i="19"/>
  <c r="E24" i="19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F24" i="6"/>
  <c r="E24" i="6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F24" i="7"/>
  <c r="E24" i="7"/>
  <c r="AH21" i="9"/>
  <c r="AH20" i="9"/>
  <c r="AH19" i="9"/>
  <c r="AH17" i="9"/>
  <c r="AH16" i="9"/>
  <c r="AH15" i="9"/>
  <c r="AH14" i="9"/>
  <c r="AH13" i="9"/>
  <c r="AH12" i="9"/>
  <c r="AH11" i="9"/>
  <c r="AH10" i="9"/>
  <c r="AH9" i="9"/>
  <c r="AH8" i="9"/>
  <c r="AC21" i="9"/>
  <c r="AC19" i="9"/>
  <c r="AC17" i="9"/>
  <c r="AC16" i="9"/>
  <c r="AC15" i="9"/>
  <c r="AC12" i="9"/>
  <c r="AC10" i="9"/>
  <c r="AC9" i="9"/>
  <c r="R25" i="34" l="1"/>
  <c r="Z25" i="34"/>
  <c r="Y26" i="34"/>
  <c r="AA25" i="16"/>
  <c r="U23" i="34"/>
  <c r="K12" i="36" s="1"/>
  <c r="T24" i="34"/>
  <c r="R26" i="34"/>
  <c r="Z26" i="34"/>
  <c r="Q26" i="34"/>
  <c r="X23" i="34"/>
  <c r="AP9" i="37" s="1"/>
  <c r="S25" i="34"/>
  <c r="V23" i="34"/>
  <c r="AH9" i="37" s="1"/>
  <c r="AA26" i="19"/>
  <c r="AA24" i="14"/>
  <c r="AA26" i="5"/>
  <c r="T25" i="34"/>
  <c r="S24" i="34"/>
  <c r="T26" i="34"/>
  <c r="L24" i="34"/>
  <c r="U24" i="34"/>
  <c r="J26" i="34"/>
  <c r="C9" i="35" s="1"/>
  <c r="C8" i="35"/>
  <c r="K24" i="34"/>
  <c r="O23" i="34"/>
  <c r="K7" i="36" s="1"/>
  <c r="AA24" i="18"/>
  <c r="AA26" i="16"/>
  <c r="AA25" i="18"/>
  <c r="AA24" i="15"/>
  <c r="AA26" i="14"/>
  <c r="AA25" i="4"/>
  <c r="AA24" i="12"/>
  <c r="AA24" i="7"/>
  <c r="AA24" i="4"/>
  <c r="AA26" i="4"/>
  <c r="AA26" i="15"/>
  <c r="AA25" i="17"/>
  <c r="AA24" i="13"/>
  <c r="AA26" i="12"/>
  <c r="AA25" i="1"/>
  <c r="K23" i="34"/>
  <c r="B9" i="37" s="1"/>
  <c r="AA25" i="14"/>
  <c r="AA24" i="1"/>
  <c r="AA24" i="19"/>
  <c r="AA26" i="17"/>
  <c r="AA25" i="13"/>
  <c r="AA24" i="5"/>
  <c r="AA26" i="1"/>
  <c r="Y23" i="34"/>
  <c r="AT9" i="37" s="1"/>
  <c r="X24" i="34"/>
  <c r="O25" i="34"/>
  <c r="W25" i="34"/>
  <c r="AA26" i="18"/>
  <c r="AA25" i="15"/>
  <c r="AA24" i="17"/>
  <c r="AA25" i="12"/>
  <c r="AA24" i="6"/>
  <c r="AA25" i="19"/>
  <c r="AA24" i="16"/>
  <c r="AA26" i="13"/>
  <c r="AA25" i="5"/>
  <c r="Z23" i="34"/>
  <c r="AX9" i="37" s="1"/>
  <c r="Y24" i="34"/>
  <c r="P25" i="34"/>
  <c r="X25" i="34"/>
  <c r="O26" i="34"/>
  <c r="W26" i="34"/>
  <c r="AK22" i="11"/>
  <c r="K25" i="34"/>
  <c r="J23" i="34"/>
  <c r="C6" i="35" s="1"/>
  <c r="L23" i="34"/>
  <c r="F9" i="37" s="1"/>
  <c r="P23" i="34"/>
  <c r="R9" i="37" s="1"/>
  <c r="T23" i="34"/>
  <c r="AD9" i="37" s="1"/>
  <c r="M23" i="34"/>
  <c r="J9" i="37" s="1"/>
  <c r="Q23" i="34"/>
  <c r="K8" i="36" s="1"/>
  <c r="W23" i="34"/>
  <c r="AL9" i="37" s="1"/>
  <c r="V24" i="34"/>
  <c r="Z24" i="34"/>
  <c r="Q25" i="34"/>
  <c r="U25" i="34"/>
  <c r="Y25" i="34"/>
  <c r="L26" i="34"/>
  <c r="P26" i="34"/>
  <c r="X26" i="34"/>
  <c r="N23" i="34"/>
  <c r="N9" i="37" s="1"/>
  <c r="R23" i="34"/>
  <c r="V9" i="37" s="1"/>
  <c r="M24" i="34"/>
  <c r="J24" i="34"/>
  <c r="C7" i="35" s="1"/>
  <c r="N24" i="34"/>
  <c r="R24" i="34"/>
  <c r="O24" i="34"/>
  <c r="W24" i="34"/>
  <c r="P24" i="34"/>
  <c r="Q24" i="34"/>
  <c r="M26" i="34"/>
  <c r="K26" i="34"/>
  <c r="N26" i="34"/>
  <c r="N25" i="34"/>
  <c r="V26" i="34"/>
  <c r="AH12" i="37" s="1"/>
  <c r="S26" i="34"/>
  <c r="S23" i="34"/>
  <c r="Z9" i="37" s="1"/>
  <c r="M25" i="34"/>
  <c r="N9" i="36"/>
  <c r="L15" i="36" s="1"/>
  <c r="AF22" i="11"/>
  <c r="AA9" i="34"/>
  <c r="AA13" i="34"/>
  <c r="AA19" i="34"/>
  <c r="BB9" i="37"/>
  <c r="AA10" i="34"/>
  <c r="AA16" i="34"/>
  <c r="AA11" i="34"/>
  <c r="AA17" i="34"/>
  <c r="AA12" i="34"/>
  <c r="AA18" i="34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F24" i="10"/>
  <c r="E24" i="10"/>
  <c r="AA25" i="10" l="1"/>
  <c r="AA24" i="10"/>
  <c r="AA27" i="10"/>
  <c r="AA28" i="10"/>
  <c r="AA26" i="10"/>
  <c r="AA23" i="34"/>
  <c r="AA25" i="34"/>
  <c r="AA24" i="34"/>
  <c r="AA26" i="34"/>
  <c r="K6" i="36"/>
  <c r="AH21" i="10"/>
  <c r="AJ21" i="10" s="1"/>
  <c r="AH20" i="10"/>
  <c r="AJ20" i="10" s="1"/>
  <c r="AH19" i="10"/>
  <c r="AJ19" i="10" s="1"/>
  <c r="AH17" i="10"/>
  <c r="AJ17" i="10" s="1"/>
  <c r="AH16" i="10"/>
  <c r="AJ16" i="10" s="1"/>
  <c r="AH15" i="10"/>
  <c r="AJ15" i="10" s="1"/>
  <c r="AH14" i="10"/>
  <c r="AH13" i="10"/>
  <c r="AJ13" i="10" s="1"/>
  <c r="AH12" i="10"/>
  <c r="AJ12" i="10" s="1"/>
  <c r="AH11" i="10"/>
  <c r="AJ11" i="10" s="1"/>
  <c r="AH10" i="10"/>
  <c r="AJ10" i="10" s="1"/>
  <c r="AH9" i="10"/>
  <c r="AJ9" i="10" s="1"/>
  <c r="AH8" i="10"/>
  <c r="AJ8" i="10" s="1"/>
  <c r="AC21" i="10"/>
  <c r="AE21" i="10" s="1"/>
  <c r="AC20" i="10"/>
  <c r="AC19" i="10"/>
  <c r="AE19" i="10" s="1"/>
  <c r="AC17" i="10"/>
  <c r="AE17" i="10" s="1"/>
  <c r="AC15" i="10"/>
  <c r="AE15" i="10" s="1"/>
  <c r="AC12" i="10"/>
  <c r="AE12" i="10" s="1"/>
  <c r="AC10" i="10"/>
  <c r="AE10" i="10" s="1"/>
  <c r="AC8" i="10"/>
  <c r="AE8" i="10" s="1"/>
  <c r="AG21" i="10"/>
  <c r="AB21" i="10"/>
  <c r="AG20" i="10"/>
  <c r="AE20" i="10"/>
  <c r="AB20" i="10"/>
  <c r="AG19" i="10"/>
  <c r="AB19" i="10"/>
  <c r="AH18" i="10"/>
  <c r="AJ18" i="10" s="1"/>
  <c r="AG18" i="10"/>
  <c r="AC18" i="10"/>
  <c r="AE18" i="10" s="1"/>
  <c r="AB18" i="10"/>
  <c r="AG17" i="10"/>
  <c r="AB17" i="10"/>
  <c r="AG16" i="10"/>
  <c r="AC16" i="10"/>
  <c r="AE16" i="10" s="1"/>
  <c r="AB16" i="10"/>
  <c r="AG15" i="10"/>
  <c r="AB15" i="10"/>
  <c r="AJ14" i="10"/>
  <c r="AG14" i="10"/>
  <c r="AC14" i="10"/>
  <c r="AE14" i="10" s="1"/>
  <c r="AB14" i="10"/>
  <c r="AG13" i="10"/>
  <c r="AC13" i="10"/>
  <c r="AE13" i="10" s="1"/>
  <c r="AB13" i="10"/>
  <c r="AG12" i="10"/>
  <c r="AB12" i="10"/>
  <c r="AG11" i="10"/>
  <c r="AC11" i="10"/>
  <c r="AE11" i="10" s="1"/>
  <c r="AB11" i="10"/>
  <c r="AG10" i="10"/>
  <c r="AB10" i="10"/>
  <c r="AG9" i="10"/>
  <c r="AC9" i="10"/>
  <c r="AE9" i="10" s="1"/>
  <c r="AB9" i="10"/>
  <c r="AG8" i="10"/>
  <c r="AB8" i="10"/>
  <c r="AA17" i="10"/>
  <c r="AA10" i="10"/>
  <c r="AJ21" i="9"/>
  <c r="AG21" i="9"/>
  <c r="AE21" i="9"/>
  <c r="AB21" i="9"/>
  <c r="AJ20" i="9"/>
  <c r="AG20" i="9"/>
  <c r="AC20" i="9"/>
  <c r="AE20" i="9" s="1"/>
  <c r="AB20" i="9"/>
  <c r="AJ19" i="9"/>
  <c r="AG19" i="9"/>
  <c r="AE19" i="9"/>
  <c r="AB19" i="9"/>
  <c r="AH18" i="9"/>
  <c r="AJ18" i="9" s="1"/>
  <c r="AG18" i="9"/>
  <c r="AC18" i="9"/>
  <c r="AE18" i="9" s="1"/>
  <c r="AB18" i="9"/>
  <c r="AJ17" i="9"/>
  <c r="AG17" i="9"/>
  <c r="AE17" i="9"/>
  <c r="AB17" i="9"/>
  <c r="AJ16" i="9"/>
  <c r="AG16" i="9"/>
  <c r="AE16" i="9"/>
  <c r="AB16" i="9"/>
  <c r="AJ15" i="9"/>
  <c r="AG15" i="9"/>
  <c r="AE15" i="9"/>
  <c r="AB15" i="9"/>
  <c r="AJ14" i="9"/>
  <c r="AG14" i="9"/>
  <c r="AC14" i="9"/>
  <c r="AE14" i="9" s="1"/>
  <c r="AB14" i="9"/>
  <c r="AJ13" i="9"/>
  <c r="AG13" i="9"/>
  <c r="AC13" i="9"/>
  <c r="AE13" i="9" s="1"/>
  <c r="AB13" i="9"/>
  <c r="AJ12" i="9"/>
  <c r="AG12" i="9"/>
  <c r="AE12" i="9"/>
  <c r="AB12" i="9"/>
  <c r="AJ11" i="9"/>
  <c r="AG11" i="9"/>
  <c r="AC11" i="9"/>
  <c r="AE11" i="9" s="1"/>
  <c r="AB11" i="9"/>
  <c r="AJ10" i="9"/>
  <c r="AG10" i="9"/>
  <c r="AE10" i="9"/>
  <c r="AB10" i="9"/>
  <c r="AJ9" i="9"/>
  <c r="AG9" i="9"/>
  <c r="AE9" i="9"/>
  <c r="AB9" i="9"/>
  <c r="AJ8" i="9"/>
  <c r="AG8" i="9"/>
  <c r="AC8" i="9"/>
  <c r="AE8" i="9" s="1"/>
  <c r="AB8" i="9"/>
  <c r="AF15" i="9" l="1"/>
  <c r="AK8" i="9"/>
  <c r="AF15" i="10"/>
  <c r="AF8" i="10"/>
  <c r="AK8" i="10"/>
  <c r="AK15" i="10"/>
  <c r="AF8" i="9"/>
  <c r="AK15" i="9"/>
  <c r="AA17" i="9"/>
  <c r="AA10" i="9"/>
  <c r="AF22" i="9" l="1"/>
  <c r="AK22" i="9"/>
  <c r="AF22" i="10"/>
  <c r="AK22" i="10"/>
  <c r="AA17" i="8"/>
  <c r="AA10" i="8"/>
  <c r="AA8" i="7" l="1"/>
  <c r="AH21" i="19" l="1"/>
  <c r="AH20" i="19"/>
  <c r="AH19" i="19"/>
  <c r="AC21" i="19"/>
  <c r="AC20" i="19"/>
  <c r="AE8" i="36" l="1"/>
  <c r="AJ21" i="19"/>
  <c r="AJ20" i="19"/>
  <c r="AJ19" i="19"/>
  <c r="AH16" i="19"/>
  <c r="AJ16" i="19" s="1"/>
  <c r="AH15" i="19"/>
  <c r="AJ15" i="19" s="1"/>
  <c r="AH14" i="19"/>
  <c r="AJ14" i="19" s="1"/>
  <c r="AH13" i="19"/>
  <c r="AJ13" i="19" s="1"/>
  <c r="AH12" i="19"/>
  <c r="AJ12" i="19" s="1"/>
  <c r="AH9" i="19"/>
  <c r="AJ9" i="19" s="1"/>
  <c r="AH8" i="19"/>
  <c r="AJ8" i="19" s="1"/>
  <c r="AC15" i="19"/>
  <c r="AE15" i="19" s="1"/>
  <c r="AC14" i="19"/>
  <c r="AE14" i="19" s="1"/>
  <c r="AC13" i="19"/>
  <c r="AE13" i="19" s="1"/>
  <c r="AC9" i="19"/>
  <c r="AE9" i="19" s="1"/>
  <c r="AG21" i="19"/>
  <c r="AE21" i="19"/>
  <c r="AB21" i="19"/>
  <c r="AG20" i="19"/>
  <c r="AE20" i="19"/>
  <c r="AB20" i="19"/>
  <c r="AG19" i="19"/>
  <c r="AC19" i="19"/>
  <c r="AE19" i="19" s="1"/>
  <c r="AB19" i="19"/>
  <c r="AH18" i="19"/>
  <c r="AJ18" i="19" s="1"/>
  <c r="AG18" i="19"/>
  <c r="AC18" i="19"/>
  <c r="AE18" i="19" s="1"/>
  <c r="AB18" i="19"/>
  <c r="AG16" i="19"/>
  <c r="AC16" i="19"/>
  <c r="AE16" i="19" s="1"/>
  <c r="AB16" i="19"/>
  <c r="AG15" i="19"/>
  <c r="AB15" i="19"/>
  <c r="AG14" i="19"/>
  <c r="AB14" i="19"/>
  <c r="AG13" i="19"/>
  <c r="AB13" i="19"/>
  <c r="AG12" i="19"/>
  <c r="AC12" i="19"/>
  <c r="AE12" i="19" s="1"/>
  <c r="AB12" i="19"/>
  <c r="AH11" i="19"/>
  <c r="AJ11" i="19" s="1"/>
  <c r="AG11" i="19"/>
  <c r="AC11" i="19"/>
  <c r="AE11" i="19" s="1"/>
  <c r="AB11" i="19"/>
  <c r="AG9" i="19"/>
  <c r="AB9" i="19"/>
  <c r="AG8" i="19"/>
  <c r="AC8" i="19"/>
  <c r="AE8" i="19" s="1"/>
  <c r="AB8" i="19"/>
  <c r="AK15" i="19" l="1"/>
  <c r="AF8" i="19"/>
  <c r="AK8" i="19"/>
  <c r="AF15" i="19"/>
  <c r="AK22" i="19" l="1"/>
  <c r="AF22" i="19"/>
  <c r="AH21" i="18" l="1"/>
  <c r="AH20" i="18"/>
  <c r="AH19" i="18"/>
  <c r="AH16" i="18"/>
  <c r="AJ16" i="18" s="1"/>
  <c r="AH15" i="18"/>
  <c r="AH14" i="18"/>
  <c r="AJ14" i="18" s="1"/>
  <c r="AH13" i="18"/>
  <c r="AJ13" i="18" s="1"/>
  <c r="AH12" i="18"/>
  <c r="AJ12" i="18" s="1"/>
  <c r="AH11" i="18"/>
  <c r="AH9" i="18"/>
  <c r="AH8" i="18"/>
  <c r="AJ8" i="18" s="1"/>
  <c r="AC21" i="18"/>
  <c r="AE21" i="18" s="1"/>
  <c r="AC20" i="18"/>
  <c r="AE20" i="18" s="1"/>
  <c r="AC16" i="18"/>
  <c r="AE16" i="18" s="1"/>
  <c r="AC15" i="18"/>
  <c r="AE15" i="18" s="1"/>
  <c r="AC14" i="18"/>
  <c r="AE14" i="18" s="1"/>
  <c r="AC13" i="18"/>
  <c r="AC12" i="18"/>
  <c r="AE12" i="18" s="1"/>
  <c r="AC9" i="18"/>
  <c r="AE9" i="18" s="1"/>
  <c r="AC8" i="18"/>
  <c r="AE8" i="18" s="1"/>
  <c r="AJ21" i="18"/>
  <c r="AG21" i="18"/>
  <c r="AB21" i="18"/>
  <c r="AJ20" i="18"/>
  <c r="AG20" i="18"/>
  <c r="AB20" i="18"/>
  <c r="AJ19" i="18"/>
  <c r="AG19" i="18"/>
  <c r="AC19" i="18"/>
  <c r="AE19" i="18" s="1"/>
  <c r="AB19" i="18"/>
  <c r="AH18" i="18"/>
  <c r="AJ18" i="18" s="1"/>
  <c r="AG18" i="18"/>
  <c r="AC18" i="18"/>
  <c r="AE18" i="18" s="1"/>
  <c r="AB18" i="18"/>
  <c r="AG16" i="18"/>
  <c r="AB16" i="18"/>
  <c r="AJ15" i="18"/>
  <c r="AG15" i="18"/>
  <c r="AB15" i="18"/>
  <c r="AG14" i="18"/>
  <c r="AB14" i="18"/>
  <c r="AG13" i="18"/>
  <c r="AE13" i="18"/>
  <c r="AB13" i="18"/>
  <c r="AG12" i="18"/>
  <c r="AB12" i="18"/>
  <c r="AJ11" i="18"/>
  <c r="AG11" i="18"/>
  <c r="AC11" i="18"/>
  <c r="AE11" i="18" s="1"/>
  <c r="AB11" i="18"/>
  <c r="AJ9" i="18"/>
  <c r="AG9" i="18"/>
  <c r="AB9" i="18"/>
  <c r="AG8" i="18"/>
  <c r="AB8" i="18"/>
  <c r="AE12" i="36"/>
  <c r="AK8" i="18" l="1"/>
  <c r="AF15" i="18"/>
  <c r="AF8" i="18"/>
  <c r="AK15" i="18"/>
  <c r="AH21" i="17"/>
  <c r="AJ21" i="17" s="1"/>
  <c r="AH20" i="17"/>
  <c r="AJ20" i="17" s="1"/>
  <c r="AH19" i="17"/>
  <c r="AJ19" i="17" s="1"/>
  <c r="AH16" i="17"/>
  <c r="AJ16" i="17" s="1"/>
  <c r="AH15" i="17"/>
  <c r="AH14" i="17"/>
  <c r="AH13" i="17"/>
  <c r="AH12" i="17"/>
  <c r="AJ12" i="17" s="1"/>
  <c r="AH11" i="17"/>
  <c r="AJ11" i="17" s="1"/>
  <c r="AH9" i="17"/>
  <c r="AJ9" i="17" s="1"/>
  <c r="AH8" i="17"/>
  <c r="AJ8" i="17" s="1"/>
  <c r="AC21" i="17"/>
  <c r="AE21" i="17" s="1"/>
  <c r="AC20" i="17"/>
  <c r="AE20" i="17" s="1"/>
  <c r="AC16" i="17"/>
  <c r="AC15" i="17"/>
  <c r="AC13" i="17"/>
  <c r="AE13" i="17" s="1"/>
  <c r="AC12" i="17"/>
  <c r="AE12" i="17" s="1"/>
  <c r="AC9" i="17"/>
  <c r="AE9" i="17" s="1"/>
  <c r="AC8" i="17"/>
  <c r="AE8" i="17" s="1"/>
  <c r="AG21" i="17"/>
  <c r="AB21" i="17"/>
  <c r="AG20" i="17"/>
  <c r="AB20" i="17"/>
  <c r="AG19" i="17"/>
  <c r="AC19" i="17"/>
  <c r="AE19" i="17" s="1"/>
  <c r="AB19" i="17"/>
  <c r="AH18" i="17"/>
  <c r="AJ18" i="17" s="1"/>
  <c r="AG18" i="17"/>
  <c r="AC18" i="17"/>
  <c r="AE18" i="17" s="1"/>
  <c r="AB18" i="17"/>
  <c r="AG16" i="17"/>
  <c r="AE16" i="17"/>
  <c r="AB16" i="17"/>
  <c r="AJ15" i="17"/>
  <c r="AG15" i="17"/>
  <c r="AE15" i="17"/>
  <c r="AB15" i="17"/>
  <c r="AJ14" i="17"/>
  <c r="AG14" i="17"/>
  <c r="AC14" i="17"/>
  <c r="AE14" i="17" s="1"/>
  <c r="AB14" i="17"/>
  <c r="AJ13" i="17"/>
  <c r="AG13" i="17"/>
  <c r="AB13" i="17"/>
  <c r="AG12" i="17"/>
  <c r="AB12" i="17"/>
  <c r="AG11" i="17"/>
  <c r="AC11" i="17"/>
  <c r="AE11" i="17" s="1"/>
  <c r="AB11" i="17"/>
  <c r="AG9" i="17"/>
  <c r="AB9" i="17"/>
  <c r="AG8" i="17"/>
  <c r="AB8" i="17"/>
  <c r="AK22" i="18" l="1"/>
  <c r="AF22" i="18"/>
  <c r="AK15" i="17"/>
  <c r="AF15" i="17"/>
  <c r="AF8" i="17"/>
  <c r="AF22" i="17" s="1"/>
  <c r="AK8" i="17"/>
  <c r="AK22" i="17" l="1"/>
  <c r="AA13" i="17" l="1"/>
  <c r="AH21" i="16" l="1"/>
  <c r="AH20" i="16"/>
  <c r="AJ20" i="16" s="1"/>
  <c r="AH19" i="16"/>
  <c r="AJ19" i="16" s="1"/>
  <c r="AH16" i="16"/>
  <c r="AJ16" i="16" s="1"/>
  <c r="AH15" i="16"/>
  <c r="AJ15" i="16" s="1"/>
  <c r="AH14" i="16"/>
  <c r="AJ14" i="16" s="1"/>
  <c r="AH13" i="16"/>
  <c r="AJ13" i="16" s="1"/>
  <c r="AH12" i="16"/>
  <c r="AJ12" i="16" s="1"/>
  <c r="AH11" i="16"/>
  <c r="AH9" i="16"/>
  <c r="AH8" i="16"/>
  <c r="AJ8" i="16" s="1"/>
  <c r="AC20" i="16"/>
  <c r="AE20" i="16" s="1"/>
  <c r="AC16" i="16"/>
  <c r="AE16" i="16" s="1"/>
  <c r="AC15" i="16"/>
  <c r="AE15" i="16" s="1"/>
  <c r="AC13" i="16"/>
  <c r="AE13" i="16" s="1"/>
  <c r="AC12" i="16"/>
  <c r="AE12" i="16" s="1"/>
  <c r="AC9" i="16"/>
  <c r="AE9" i="16" s="1"/>
  <c r="AC8" i="16"/>
  <c r="AJ21" i="16"/>
  <c r="AG21" i="16"/>
  <c r="AC21" i="16"/>
  <c r="AE21" i="16" s="1"/>
  <c r="AB21" i="16"/>
  <c r="AG20" i="16"/>
  <c r="AB20" i="16"/>
  <c r="AG19" i="16"/>
  <c r="AC19" i="16"/>
  <c r="AE19" i="16" s="1"/>
  <c r="AB19" i="16"/>
  <c r="AH18" i="16"/>
  <c r="AJ18" i="16" s="1"/>
  <c r="AG18" i="16"/>
  <c r="AC18" i="16"/>
  <c r="AE18" i="16" s="1"/>
  <c r="AB18" i="16"/>
  <c r="AG16" i="16"/>
  <c r="AB16" i="16"/>
  <c r="AG15" i="16"/>
  <c r="AB15" i="16"/>
  <c r="AG14" i="16"/>
  <c r="AC14" i="16"/>
  <c r="AE14" i="16" s="1"/>
  <c r="AB14" i="16"/>
  <c r="AG13" i="16"/>
  <c r="AB13" i="16"/>
  <c r="AG12" i="16"/>
  <c r="AB12" i="16"/>
  <c r="AJ11" i="16"/>
  <c r="AG11" i="16"/>
  <c r="AC11" i="16"/>
  <c r="AE11" i="16" s="1"/>
  <c r="AB11" i="16"/>
  <c r="AJ9" i="16"/>
  <c r="AG9" i="16"/>
  <c r="AB9" i="16"/>
  <c r="AG8" i="16"/>
  <c r="AE8" i="16"/>
  <c r="AB8" i="16"/>
  <c r="AK8" i="16" l="1"/>
  <c r="AK15" i="16"/>
  <c r="AF15" i="16"/>
  <c r="AF8" i="16"/>
  <c r="AK22" i="16" l="1"/>
  <c r="AF22" i="16"/>
  <c r="AH21" i="15"/>
  <c r="AH19" i="15"/>
  <c r="AJ19" i="15" s="1"/>
  <c r="AH16" i="15"/>
  <c r="AJ16" i="15" s="1"/>
  <c r="AH15" i="15"/>
  <c r="AJ15" i="15" s="1"/>
  <c r="AH14" i="15"/>
  <c r="AJ14" i="15" s="1"/>
  <c r="AH12" i="15"/>
  <c r="AJ12" i="15" s="1"/>
  <c r="AH9" i="15"/>
  <c r="AH8" i="15"/>
  <c r="AJ8" i="15" s="1"/>
  <c r="AC21" i="15"/>
  <c r="AE21" i="15" s="1"/>
  <c r="AC20" i="15"/>
  <c r="AE20" i="15" s="1"/>
  <c r="AC9" i="15"/>
  <c r="AE9" i="15" s="1"/>
  <c r="AC8" i="15"/>
  <c r="AE8" i="15" s="1"/>
  <c r="AJ21" i="15"/>
  <c r="AG21" i="15"/>
  <c r="AB21" i="15"/>
  <c r="AH20" i="15"/>
  <c r="AJ20" i="15" s="1"/>
  <c r="AG20" i="15"/>
  <c r="AB20" i="15"/>
  <c r="AG19" i="15"/>
  <c r="AC19" i="15"/>
  <c r="AE19" i="15" s="1"/>
  <c r="AB19" i="15"/>
  <c r="AH18" i="15"/>
  <c r="AJ18" i="15" s="1"/>
  <c r="AG18" i="15"/>
  <c r="AC18" i="15"/>
  <c r="AE18" i="15" s="1"/>
  <c r="AB18" i="15"/>
  <c r="AG16" i="15"/>
  <c r="AC16" i="15"/>
  <c r="AE16" i="15" s="1"/>
  <c r="AB16" i="15"/>
  <c r="AG15" i="15"/>
  <c r="AC15" i="15"/>
  <c r="AE15" i="15" s="1"/>
  <c r="AB15" i="15"/>
  <c r="AG14" i="15"/>
  <c r="AC14" i="15"/>
  <c r="AE14" i="15" s="1"/>
  <c r="AB14" i="15"/>
  <c r="AH13" i="15"/>
  <c r="AJ13" i="15" s="1"/>
  <c r="AG13" i="15"/>
  <c r="AC13" i="15"/>
  <c r="AE13" i="15" s="1"/>
  <c r="AB13" i="15"/>
  <c r="AG12" i="15"/>
  <c r="AC12" i="15"/>
  <c r="AE12" i="15" s="1"/>
  <c r="AB12" i="15"/>
  <c r="AH11" i="15"/>
  <c r="AJ11" i="15" s="1"/>
  <c r="AG11" i="15"/>
  <c r="AC11" i="15"/>
  <c r="AE11" i="15" s="1"/>
  <c r="AB11" i="15"/>
  <c r="AJ9" i="15"/>
  <c r="AG9" i="15"/>
  <c r="AB9" i="15"/>
  <c r="AG8" i="15"/>
  <c r="AB8" i="15"/>
  <c r="AF8" i="15" l="1"/>
  <c r="AK8" i="15"/>
  <c r="AK15" i="15"/>
  <c r="AK22" i="15" s="1"/>
  <c r="AF15" i="15"/>
  <c r="AF22" i="15" l="1"/>
  <c r="AH21" i="14"/>
  <c r="AJ21" i="14" s="1"/>
  <c r="AH20" i="14"/>
  <c r="AJ20" i="14" s="1"/>
  <c r="AH19" i="14"/>
  <c r="AJ19" i="14" s="1"/>
  <c r="AH16" i="14"/>
  <c r="AJ16" i="14" s="1"/>
  <c r="AH14" i="14"/>
  <c r="AJ14" i="14" s="1"/>
  <c r="AH13" i="14"/>
  <c r="AJ13" i="14" s="1"/>
  <c r="AH12" i="14"/>
  <c r="AJ12" i="14" s="1"/>
  <c r="AH9" i="14"/>
  <c r="AH8" i="14"/>
  <c r="AG21" i="14"/>
  <c r="AG20" i="14"/>
  <c r="AG19" i="14"/>
  <c r="AH18" i="14"/>
  <c r="AJ18" i="14" s="1"/>
  <c r="AG18" i="14"/>
  <c r="AG16" i="14"/>
  <c r="AH15" i="14"/>
  <c r="AJ15" i="14" s="1"/>
  <c r="AG15" i="14"/>
  <c r="AG14" i="14"/>
  <c r="AG13" i="14"/>
  <c r="AG12" i="14"/>
  <c r="AH11" i="14"/>
  <c r="AJ11" i="14" s="1"/>
  <c r="AG11" i="14"/>
  <c r="AJ9" i="14"/>
  <c r="AG9" i="14"/>
  <c r="AJ8" i="14"/>
  <c r="AG8" i="14"/>
  <c r="AK15" i="14" l="1"/>
  <c r="AK8" i="14"/>
  <c r="AG21" i="13" l="1"/>
  <c r="AG20" i="13"/>
  <c r="AG19" i="13"/>
  <c r="AG18" i="13"/>
  <c r="AG16" i="13"/>
  <c r="AG15" i="13"/>
  <c r="AG14" i="13"/>
  <c r="AG13" i="13"/>
  <c r="AG12" i="13"/>
  <c r="AG11" i="13"/>
  <c r="AG9" i="13"/>
  <c r="AC18" i="14"/>
  <c r="AC11" i="14"/>
  <c r="AH21" i="13"/>
  <c r="AJ21" i="13" s="1"/>
  <c r="AH20" i="13"/>
  <c r="AJ20" i="13" s="1"/>
  <c r="AH15" i="13"/>
  <c r="AJ15" i="13" s="1"/>
  <c r="AH18" i="13"/>
  <c r="AJ18" i="13" s="1"/>
  <c r="AH19" i="13"/>
  <c r="AH16" i="13"/>
  <c r="AJ16" i="13" s="1"/>
  <c r="AH14" i="13"/>
  <c r="AJ14" i="13" s="1"/>
  <c r="AG8" i="13"/>
  <c r="AC18" i="13"/>
  <c r="AE18" i="13" s="1"/>
  <c r="AC11" i="13"/>
  <c r="AE11" i="13" s="1"/>
  <c r="AB11" i="13"/>
  <c r="AH13" i="13"/>
  <c r="AJ13" i="13" s="1"/>
  <c r="AH12" i="13"/>
  <c r="AJ12" i="13" s="1"/>
  <c r="AH9" i="13"/>
  <c r="AJ9" i="13" s="1"/>
  <c r="AH8" i="13"/>
  <c r="AJ8" i="13" s="1"/>
  <c r="AC19" i="13"/>
  <c r="AE19" i="13" s="1"/>
  <c r="AC16" i="13"/>
  <c r="AE16" i="13" s="1"/>
  <c r="AC14" i="13"/>
  <c r="AE14" i="13" s="1"/>
  <c r="AC12" i="13"/>
  <c r="AE12" i="13" s="1"/>
  <c r="AC9" i="13"/>
  <c r="AE9" i="13" s="1"/>
  <c r="AC8" i="13"/>
  <c r="AE8" i="13" s="1"/>
  <c r="AC21" i="13"/>
  <c r="AE21" i="13" s="1"/>
  <c r="AB21" i="13"/>
  <c r="AC20" i="13"/>
  <c r="AE20" i="13" s="1"/>
  <c r="AB20" i="13"/>
  <c r="AJ19" i="13"/>
  <c r="AB19" i="13"/>
  <c r="AB18" i="13"/>
  <c r="AB16" i="13"/>
  <c r="AC15" i="13"/>
  <c r="AE15" i="13" s="1"/>
  <c r="AB15" i="13"/>
  <c r="AB14" i="13"/>
  <c r="AC13" i="13"/>
  <c r="AE13" i="13" s="1"/>
  <c r="AB13" i="13"/>
  <c r="AB12" i="13"/>
  <c r="AH11" i="13"/>
  <c r="AJ11" i="13" s="1"/>
  <c r="AB9" i="13"/>
  <c r="AB8" i="13"/>
  <c r="AK15" i="13" l="1"/>
  <c r="AF8" i="13"/>
  <c r="AK8" i="13"/>
  <c r="AF15" i="13"/>
  <c r="AK22" i="13" l="1"/>
  <c r="AF22" i="13"/>
  <c r="AC8" i="14" l="1"/>
  <c r="AE8" i="14" s="1"/>
  <c r="AC21" i="14"/>
  <c r="AC19" i="14"/>
  <c r="AE19" i="14" s="1"/>
  <c r="AC14" i="14"/>
  <c r="AE14" i="14" s="1"/>
  <c r="AC12" i="14"/>
  <c r="AE12" i="14" s="1"/>
  <c r="AE21" i="14"/>
  <c r="AB21" i="14"/>
  <c r="AE20" i="14"/>
  <c r="AC20" i="14"/>
  <c r="AB20" i="14"/>
  <c r="AB19" i="14"/>
  <c r="AE18" i="14"/>
  <c r="AB18" i="14"/>
  <c r="AC16" i="14"/>
  <c r="AE16" i="14" s="1"/>
  <c r="AB16" i="14"/>
  <c r="AC15" i="14"/>
  <c r="AE15" i="14" s="1"/>
  <c r="AB15" i="14"/>
  <c r="AB14" i="14"/>
  <c r="AC13" i="14"/>
  <c r="AE13" i="14" s="1"/>
  <c r="AB13" i="14"/>
  <c r="AB12" i="14"/>
  <c r="AE11" i="14"/>
  <c r="AB11" i="14"/>
  <c r="AC9" i="14"/>
  <c r="AE9" i="14" s="1"/>
  <c r="AB9" i="14"/>
  <c r="AB8" i="14"/>
  <c r="AF15" i="14" l="1"/>
  <c r="AF8" i="14"/>
  <c r="AF22" i="14" l="1"/>
  <c r="AK22" i="14"/>
  <c r="AH21" i="12"/>
  <c r="AJ21" i="12" s="1"/>
  <c r="AH20" i="12"/>
  <c r="AJ20" i="12" s="1"/>
  <c r="AH19" i="12"/>
  <c r="AJ19" i="12" s="1"/>
  <c r="AH16" i="12"/>
  <c r="AJ16" i="12" s="1"/>
  <c r="AH15" i="12"/>
  <c r="AJ15" i="12" s="1"/>
  <c r="AH14" i="12"/>
  <c r="AJ14" i="12" s="1"/>
  <c r="AH13" i="12"/>
  <c r="AJ13" i="12" s="1"/>
  <c r="AH12" i="12"/>
  <c r="AJ12" i="12" s="1"/>
  <c r="AH11" i="12"/>
  <c r="AJ11" i="12" s="1"/>
  <c r="AH9" i="12"/>
  <c r="AJ9" i="12" s="1"/>
  <c r="AH8" i="12"/>
  <c r="AJ8" i="12" s="1"/>
  <c r="AC21" i="12"/>
  <c r="AE21" i="12" s="1"/>
  <c r="AC19" i="12"/>
  <c r="AE19" i="12" s="1"/>
  <c r="AC16" i="12"/>
  <c r="AE16" i="12" s="1"/>
  <c r="AC15" i="12"/>
  <c r="AE15" i="12" s="1"/>
  <c r="AC14" i="12"/>
  <c r="AE14" i="12" s="1"/>
  <c r="AC12" i="12"/>
  <c r="AE12" i="12" s="1"/>
  <c r="AC11" i="12"/>
  <c r="AE11" i="12" s="1"/>
  <c r="AC8" i="12"/>
  <c r="AE8" i="12" s="1"/>
  <c r="AG21" i="12"/>
  <c r="AB21" i="12"/>
  <c r="AG20" i="12"/>
  <c r="AC20" i="12"/>
  <c r="AE20" i="12" s="1"/>
  <c r="AB20" i="12"/>
  <c r="AG19" i="12"/>
  <c r="AB19" i="12"/>
  <c r="AH18" i="12"/>
  <c r="AJ18" i="12" s="1"/>
  <c r="AG18" i="12"/>
  <c r="AC18" i="12"/>
  <c r="AE18" i="12" s="1"/>
  <c r="AB18" i="12"/>
  <c r="AG16" i="12"/>
  <c r="AB16" i="12"/>
  <c r="AG15" i="12"/>
  <c r="AB15" i="12"/>
  <c r="AG14" i="12"/>
  <c r="AB14" i="12"/>
  <c r="AG13" i="12"/>
  <c r="AC13" i="12"/>
  <c r="AE13" i="12" s="1"/>
  <c r="AB13" i="12"/>
  <c r="AG12" i="12"/>
  <c r="AB12" i="12"/>
  <c r="AG11" i="12"/>
  <c r="AB11" i="12"/>
  <c r="AG9" i="12"/>
  <c r="AC9" i="12"/>
  <c r="AE9" i="12" s="1"/>
  <c r="AB9" i="12"/>
  <c r="AG8" i="12"/>
  <c r="AB8" i="12"/>
  <c r="AK8" i="12" l="1"/>
  <c r="AF15" i="12"/>
  <c r="AF8" i="12"/>
  <c r="AK15" i="12"/>
  <c r="AK22" i="12" s="1"/>
  <c r="AH21" i="5"/>
  <c r="AH20" i="5"/>
  <c r="AJ20" i="5" s="1"/>
  <c r="AH19" i="5"/>
  <c r="AJ19" i="5" s="1"/>
  <c r="AH18" i="5"/>
  <c r="AJ18" i="5" s="1"/>
  <c r="AH16" i="5"/>
  <c r="AH15" i="5"/>
  <c r="AJ15" i="5" s="1"/>
  <c r="AC19" i="5"/>
  <c r="AE19" i="5" s="1"/>
  <c r="AC18" i="5"/>
  <c r="AE18" i="5" s="1"/>
  <c r="AC16" i="5"/>
  <c r="AE16" i="5" s="1"/>
  <c r="AC15" i="5"/>
  <c r="AE15" i="5" s="1"/>
  <c r="AJ21" i="5"/>
  <c r="AG21" i="5"/>
  <c r="AC21" i="5"/>
  <c r="AE21" i="5" s="1"/>
  <c r="AB21" i="5"/>
  <c r="AG20" i="5"/>
  <c r="AC20" i="5"/>
  <c r="AE20" i="5" s="1"/>
  <c r="AB20" i="5"/>
  <c r="AG19" i="5"/>
  <c r="AB19" i="5"/>
  <c r="AG18" i="5"/>
  <c r="AB18" i="5"/>
  <c r="AJ16" i="5"/>
  <c r="AG16" i="5"/>
  <c r="AB16" i="5"/>
  <c r="AG15" i="5"/>
  <c r="AB15" i="5"/>
  <c r="AH14" i="5"/>
  <c r="AJ14" i="5" s="1"/>
  <c r="AH13" i="5"/>
  <c r="AJ13" i="5" s="1"/>
  <c r="AH12" i="5"/>
  <c r="AJ12" i="5" s="1"/>
  <c r="AH11" i="5"/>
  <c r="AJ11" i="5" s="1"/>
  <c r="AH9" i="5"/>
  <c r="AJ9" i="5" s="1"/>
  <c r="AH8" i="5"/>
  <c r="AJ8" i="5" s="1"/>
  <c r="AG14" i="5"/>
  <c r="AG13" i="5"/>
  <c r="AG12" i="5"/>
  <c r="AG11" i="5"/>
  <c r="AG9" i="5"/>
  <c r="AG8" i="5"/>
  <c r="AC14" i="5"/>
  <c r="AE14" i="5" s="1"/>
  <c r="AC13" i="5"/>
  <c r="AE13" i="5" s="1"/>
  <c r="AC12" i="5"/>
  <c r="AE12" i="5" s="1"/>
  <c r="AC11" i="5"/>
  <c r="AE11" i="5" s="1"/>
  <c r="AC9" i="5"/>
  <c r="AE9" i="5" s="1"/>
  <c r="AC8" i="5"/>
  <c r="AE8" i="5" s="1"/>
  <c r="AB14" i="5"/>
  <c r="AB13" i="5"/>
  <c r="AB12" i="5"/>
  <c r="AB11" i="5"/>
  <c r="AB9" i="5"/>
  <c r="AB8" i="5"/>
  <c r="AK8" i="5" l="1"/>
  <c r="AF8" i="5"/>
  <c r="AK15" i="5"/>
  <c r="AF22" i="12"/>
  <c r="AF15" i="5"/>
  <c r="AE7" i="36" l="1"/>
  <c r="J22" i="32" l="1"/>
  <c r="J23" i="32"/>
  <c r="J22" i="10" l="1"/>
  <c r="J23" i="10"/>
  <c r="BA13" i="37" l="1"/>
  <c r="BA10" i="37"/>
  <c r="BA8" i="37"/>
  <c r="AW13" i="37"/>
  <c r="AW12" i="37"/>
  <c r="AW11" i="37"/>
  <c r="AW10" i="37"/>
  <c r="AU7" i="37"/>
  <c r="AW7" i="37" s="1"/>
  <c r="AS11" i="37"/>
  <c r="AS10" i="37"/>
  <c r="AK13" i="37"/>
  <c r="AK12" i="37"/>
  <c r="AK8" i="37"/>
  <c r="AK7" i="37"/>
  <c r="AG8" i="37"/>
  <c r="AG7" i="37"/>
  <c r="AC7" i="37"/>
  <c r="Q11" i="37"/>
  <c r="Q10" i="37"/>
  <c r="N11" i="37"/>
  <c r="BA12" i="37"/>
  <c r="BA11" i="37"/>
  <c r="BA7" i="37"/>
  <c r="AW8" i="37"/>
  <c r="AS13" i="37"/>
  <c r="AS12" i="37"/>
  <c r="AS8" i="37"/>
  <c r="AS7" i="37"/>
  <c r="AO13" i="37"/>
  <c r="AO12" i="37"/>
  <c r="AO11" i="37"/>
  <c r="AO10" i="37"/>
  <c r="AO8" i="37"/>
  <c r="AO7" i="37"/>
  <c r="AK11" i="37"/>
  <c r="AK10" i="37"/>
  <c r="AG12" i="37"/>
  <c r="AG10" i="37"/>
  <c r="AC13" i="37"/>
  <c r="AC12" i="37"/>
  <c r="AC11" i="37"/>
  <c r="AC10" i="37"/>
  <c r="AC8" i="37"/>
  <c r="Y13" i="37"/>
  <c r="Y12" i="37"/>
  <c r="Y11" i="37"/>
  <c r="Y10" i="37"/>
  <c r="Y8" i="37"/>
  <c r="Y7" i="37"/>
  <c r="U13" i="37"/>
  <c r="U12" i="37"/>
  <c r="U11" i="37"/>
  <c r="U10" i="37"/>
  <c r="U8" i="37"/>
  <c r="U7" i="37"/>
  <c r="Q13" i="37"/>
  <c r="Q12" i="37"/>
  <c r="Q8" i="37"/>
  <c r="Q7" i="37"/>
  <c r="M13" i="37"/>
  <c r="M12" i="37"/>
  <c r="M11" i="37"/>
  <c r="M8" i="37"/>
  <c r="M7" i="37"/>
  <c r="I13" i="37"/>
  <c r="I12" i="37"/>
  <c r="I11" i="37"/>
  <c r="I10" i="37"/>
  <c r="I8" i="37"/>
  <c r="I7" i="37"/>
  <c r="E13" i="37"/>
  <c r="E12" i="37"/>
  <c r="E11" i="37"/>
  <c r="E10" i="37"/>
  <c r="E8" i="37"/>
  <c r="E7" i="37"/>
  <c r="AW14" i="37" l="1"/>
  <c r="AS14" i="37"/>
  <c r="BA14" i="37"/>
  <c r="AC14" i="37"/>
  <c r="Q14" i="37"/>
  <c r="BB10" i="37"/>
  <c r="AK14" i="37"/>
  <c r="I14" i="37"/>
  <c r="E14" i="37"/>
  <c r="Y14" i="37"/>
  <c r="M14" i="37"/>
  <c r="BB12" i="37"/>
  <c r="AO14" i="37"/>
  <c r="U14" i="37"/>
  <c r="BB8" i="37"/>
  <c r="BB7" i="37"/>
  <c r="J22" i="16" l="1"/>
  <c r="J22" i="13" l="1"/>
  <c r="J23" i="13"/>
  <c r="J27" i="13"/>
  <c r="J28" i="13"/>
  <c r="J12" i="36" l="1"/>
  <c r="W22" i="12"/>
  <c r="W23" i="12"/>
  <c r="W27" i="12"/>
  <c r="W28" i="12"/>
  <c r="J13" i="36" l="1"/>
  <c r="AD8" i="36"/>
  <c r="AD7" i="36"/>
  <c r="AD6" i="36"/>
  <c r="AD12" i="36"/>
  <c r="AD13" i="36" s="1"/>
  <c r="Z12" i="36"/>
  <c r="Z13" i="36" s="1"/>
  <c r="Z7" i="36"/>
  <c r="Z8" i="36"/>
  <c r="Z6" i="36"/>
  <c r="V8" i="36"/>
  <c r="V7" i="36"/>
  <c r="V6" i="36"/>
  <c r="V12" i="36"/>
  <c r="V13" i="36" s="1"/>
  <c r="R12" i="36"/>
  <c r="R13" i="36" s="1"/>
  <c r="R8" i="36"/>
  <c r="R7" i="36"/>
  <c r="R6" i="36"/>
  <c r="J8" i="36"/>
  <c r="J7" i="36"/>
  <c r="F12" i="36"/>
  <c r="F13" i="36" s="1"/>
  <c r="F7" i="36"/>
  <c r="F6" i="36"/>
  <c r="F8" i="36"/>
  <c r="J21" i="34" l="1"/>
  <c r="C6" i="36" s="1"/>
  <c r="V9" i="36"/>
  <c r="T15" i="36" s="1"/>
  <c r="R9" i="36"/>
  <c r="P15" i="36" s="1"/>
  <c r="AF12" i="36"/>
  <c r="AF13" i="36" s="1"/>
  <c r="AF7" i="36"/>
  <c r="AF8" i="36"/>
  <c r="AD9" i="36"/>
  <c r="AB15" i="36" s="1"/>
  <c r="Z9" i="36"/>
  <c r="X15" i="36" s="1"/>
  <c r="F9" i="36"/>
  <c r="D15" i="36" s="1"/>
  <c r="J6" i="36"/>
  <c r="AF6" i="36" s="1"/>
  <c r="AF9" i="36" l="1"/>
  <c r="AE15" i="36" s="1"/>
  <c r="J9" i="36"/>
  <c r="H15" i="36" s="1"/>
  <c r="F4" i="35"/>
  <c r="R30" i="11" l="1"/>
  <c r="F10" i="35" l="1"/>
  <c r="F9" i="35"/>
  <c r="F8" i="35"/>
  <c r="F5" i="35"/>
  <c r="F11" i="35" l="1"/>
  <c r="J30" i="8"/>
  <c r="J31" i="8" s="1"/>
  <c r="Z22" i="34" l="1"/>
  <c r="AX8" i="37" s="1"/>
  <c r="AL11" i="37"/>
  <c r="AH11" i="37"/>
  <c r="S7" i="36"/>
  <c r="X22" i="34"/>
  <c r="R22" i="34"/>
  <c r="P22" i="34"/>
  <c r="F27" i="34"/>
  <c r="E27" i="34"/>
  <c r="AX12" i="37"/>
  <c r="F26" i="34"/>
  <c r="E26" i="34"/>
  <c r="AX11" i="37"/>
  <c r="F25" i="34"/>
  <c r="E25" i="34"/>
  <c r="AX10" i="37"/>
  <c r="F24" i="34"/>
  <c r="E24" i="34"/>
  <c r="F22" i="34"/>
  <c r="E22" i="34"/>
  <c r="Z21" i="34"/>
  <c r="AX7" i="37" s="1"/>
  <c r="F21" i="34"/>
  <c r="E21" i="34"/>
  <c r="F28" i="33"/>
  <c r="E28" i="33"/>
  <c r="F27" i="33"/>
  <c r="E27" i="33"/>
  <c r="F26" i="33"/>
  <c r="E26" i="33"/>
  <c r="F25" i="33"/>
  <c r="E25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F23" i="33"/>
  <c r="E23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F22" i="33"/>
  <c r="E22" i="33"/>
  <c r="AA21" i="33"/>
  <c r="AA20" i="33"/>
  <c r="AA19" i="33"/>
  <c r="AA18" i="33"/>
  <c r="AA16" i="33"/>
  <c r="AA15" i="33"/>
  <c r="AA14" i="33"/>
  <c r="AA13" i="33"/>
  <c r="AA12" i="33"/>
  <c r="AA11" i="33"/>
  <c r="AA9" i="33"/>
  <c r="AA8" i="33"/>
  <c r="F28" i="32"/>
  <c r="E28" i="32"/>
  <c r="F27" i="32"/>
  <c r="E27" i="32"/>
  <c r="F26" i="32"/>
  <c r="E26" i="32"/>
  <c r="F25" i="32"/>
  <c r="E25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F23" i="32"/>
  <c r="E23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F22" i="32"/>
  <c r="E22" i="32"/>
  <c r="AA21" i="32"/>
  <c r="AA20" i="32"/>
  <c r="AA19" i="32"/>
  <c r="AA18" i="32"/>
  <c r="AA16" i="32"/>
  <c r="AA15" i="32"/>
  <c r="AA14" i="32"/>
  <c r="AA13" i="32"/>
  <c r="AA12" i="32"/>
  <c r="AA11" i="32"/>
  <c r="AA9" i="32"/>
  <c r="AA8" i="32"/>
  <c r="F28" i="31"/>
  <c r="E28" i="31"/>
  <c r="F27" i="31"/>
  <c r="E27" i="31"/>
  <c r="F26" i="31"/>
  <c r="E26" i="31"/>
  <c r="F25" i="31"/>
  <c r="E25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F23" i="31"/>
  <c r="E23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F22" i="31"/>
  <c r="E22" i="31"/>
  <c r="AA21" i="31"/>
  <c r="AA20" i="31"/>
  <c r="AA19" i="31"/>
  <c r="AA18" i="31"/>
  <c r="AA16" i="31"/>
  <c r="AA15" i="31"/>
  <c r="AA14" i="31"/>
  <c r="AA13" i="31"/>
  <c r="AA12" i="31"/>
  <c r="AA11" i="31"/>
  <c r="AA9" i="31"/>
  <c r="AA8" i="31"/>
  <c r="F28" i="30"/>
  <c r="E28" i="30"/>
  <c r="F27" i="30"/>
  <c r="E27" i="30"/>
  <c r="F26" i="30"/>
  <c r="E26" i="30"/>
  <c r="F25" i="30"/>
  <c r="E25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F23" i="30"/>
  <c r="E23" i="30"/>
  <c r="Z22" i="30"/>
  <c r="Y22" i="30"/>
  <c r="X22" i="30"/>
  <c r="W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F22" i="30"/>
  <c r="E22" i="30"/>
  <c r="AA21" i="30"/>
  <c r="AA20" i="30"/>
  <c r="AA19" i="30"/>
  <c r="AA18" i="30"/>
  <c r="AA16" i="30"/>
  <c r="AA15" i="30"/>
  <c r="AA14" i="30"/>
  <c r="AA13" i="30"/>
  <c r="AA12" i="30"/>
  <c r="AA11" i="30"/>
  <c r="AA9" i="30"/>
  <c r="AA8" i="30"/>
  <c r="F28" i="29"/>
  <c r="E28" i="29"/>
  <c r="F27" i="29"/>
  <c r="E27" i="29"/>
  <c r="F26" i="29"/>
  <c r="E26" i="29"/>
  <c r="F25" i="29"/>
  <c r="E25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F23" i="29"/>
  <c r="E23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F22" i="29"/>
  <c r="E22" i="29"/>
  <c r="AA21" i="29"/>
  <c r="AA20" i="29"/>
  <c r="AA19" i="29"/>
  <c r="AA18" i="29"/>
  <c r="AA16" i="29"/>
  <c r="AA15" i="29"/>
  <c r="AA14" i="29"/>
  <c r="AA13" i="29"/>
  <c r="AA12" i="29"/>
  <c r="AA11" i="29"/>
  <c r="AA9" i="29"/>
  <c r="AA8" i="29"/>
  <c r="F28" i="28"/>
  <c r="E28" i="28"/>
  <c r="F27" i="28"/>
  <c r="E27" i="28"/>
  <c r="F26" i="28"/>
  <c r="E26" i="28"/>
  <c r="F25" i="28"/>
  <c r="E25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F23" i="28"/>
  <c r="E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F22" i="28"/>
  <c r="E22" i="28"/>
  <c r="AA21" i="28"/>
  <c r="AA20" i="28"/>
  <c r="AA19" i="28"/>
  <c r="AA18" i="28"/>
  <c r="AA16" i="28"/>
  <c r="AA15" i="28"/>
  <c r="AA14" i="28"/>
  <c r="AA13" i="28"/>
  <c r="AA12" i="28"/>
  <c r="AA11" i="28"/>
  <c r="AA9" i="28"/>
  <c r="AA8" i="28"/>
  <c r="F28" i="27"/>
  <c r="E28" i="27"/>
  <c r="F27" i="27"/>
  <c r="E27" i="27"/>
  <c r="F26" i="27"/>
  <c r="E26" i="27"/>
  <c r="F25" i="27"/>
  <c r="E25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F23" i="27"/>
  <c r="E23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F22" i="27"/>
  <c r="E22" i="27"/>
  <c r="AA21" i="27"/>
  <c r="AA20" i="27"/>
  <c r="AA19" i="27"/>
  <c r="AA18" i="27"/>
  <c r="AA16" i="27"/>
  <c r="AA15" i="27"/>
  <c r="AA14" i="27"/>
  <c r="AA13" i="27"/>
  <c r="AA12" i="27"/>
  <c r="AA11" i="27"/>
  <c r="AA9" i="27"/>
  <c r="AA8" i="27"/>
  <c r="F28" i="26"/>
  <c r="E28" i="26"/>
  <c r="F27" i="26"/>
  <c r="E27" i="26"/>
  <c r="F26" i="26"/>
  <c r="E26" i="26"/>
  <c r="F25" i="26"/>
  <c r="E25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F23" i="26"/>
  <c r="E23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F22" i="26"/>
  <c r="E22" i="26"/>
  <c r="AA21" i="26"/>
  <c r="AA20" i="26"/>
  <c r="AA19" i="26"/>
  <c r="AA18" i="26"/>
  <c r="AA16" i="26"/>
  <c r="AA15" i="26"/>
  <c r="AA14" i="26"/>
  <c r="AA13" i="26"/>
  <c r="AA12" i="26"/>
  <c r="AA11" i="26"/>
  <c r="AA9" i="26"/>
  <c r="AA8" i="26"/>
  <c r="F28" i="25"/>
  <c r="E28" i="25"/>
  <c r="F27" i="25"/>
  <c r="E27" i="25"/>
  <c r="F26" i="25"/>
  <c r="E26" i="25"/>
  <c r="F25" i="25"/>
  <c r="E25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F23" i="25"/>
  <c r="E23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F22" i="25"/>
  <c r="E22" i="25"/>
  <c r="AA21" i="25"/>
  <c r="AA20" i="25"/>
  <c r="AA19" i="25"/>
  <c r="AA18" i="25"/>
  <c r="AA16" i="25"/>
  <c r="AA15" i="25"/>
  <c r="AA14" i="25"/>
  <c r="AA13" i="25"/>
  <c r="AA12" i="25"/>
  <c r="AA11" i="25"/>
  <c r="AA9" i="25"/>
  <c r="AA8" i="25"/>
  <c r="F28" i="24"/>
  <c r="E28" i="24"/>
  <c r="F27" i="24"/>
  <c r="E27" i="24"/>
  <c r="F26" i="24"/>
  <c r="E26" i="24"/>
  <c r="F25" i="24"/>
  <c r="E25" i="24"/>
  <c r="F23" i="24"/>
  <c r="E23" i="24"/>
  <c r="J22" i="24"/>
  <c r="F22" i="24"/>
  <c r="E22" i="24"/>
  <c r="AA21" i="24"/>
  <c r="AA20" i="24"/>
  <c r="AA19" i="24"/>
  <c r="AA18" i="24"/>
  <c r="AA16" i="24"/>
  <c r="AA15" i="24"/>
  <c r="AA14" i="24"/>
  <c r="AA13" i="24"/>
  <c r="AA12" i="24"/>
  <c r="AA11" i="24"/>
  <c r="AA9" i="24"/>
  <c r="AA8" i="24"/>
  <c r="F28" i="23"/>
  <c r="E28" i="23"/>
  <c r="F27" i="23"/>
  <c r="E27" i="23"/>
  <c r="F26" i="23"/>
  <c r="E26" i="23"/>
  <c r="F25" i="23"/>
  <c r="E25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F23" i="23"/>
  <c r="E23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F22" i="23"/>
  <c r="E22" i="23"/>
  <c r="AA21" i="23"/>
  <c r="AA20" i="23"/>
  <c r="AA19" i="23"/>
  <c r="AA18" i="23"/>
  <c r="AA16" i="23"/>
  <c r="AA15" i="23"/>
  <c r="AA14" i="23"/>
  <c r="AA13" i="23"/>
  <c r="AA12" i="23"/>
  <c r="AA11" i="23"/>
  <c r="AA9" i="23"/>
  <c r="AA8" i="23"/>
  <c r="F28" i="22"/>
  <c r="E28" i="22"/>
  <c r="F27" i="22"/>
  <c r="E27" i="22"/>
  <c r="F26" i="22"/>
  <c r="E26" i="22"/>
  <c r="F25" i="22"/>
  <c r="E25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F23" i="22"/>
  <c r="E23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F22" i="22"/>
  <c r="E22" i="22"/>
  <c r="AA21" i="22"/>
  <c r="AA20" i="22"/>
  <c r="AA19" i="22"/>
  <c r="AA18" i="22"/>
  <c r="AA16" i="22"/>
  <c r="AA15" i="22"/>
  <c r="AA14" i="22"/>
  <c r="AA13" i="22"/>
  <c r="AA12" i="22"/>
  <c r="AA11" i="22"/>
  <c r="AA9" i="22"/>
  <c r="AA8" i="22"/>
  <c r="F28" i="21"/>
  <c r="E28" i="21"/>
  <c r="F27" i="21"/>
  <c r="E27" i="21"/>
  <c r="F26" i="21"/>
  <c r="E26" i="21"/>
  <c r="F25" i="21"/>
  <c r="E25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F23" i="21"/>
  <c r="E23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F22" i="21"/>
  <c r="E22" i="21"/>
  <c r="AA21" i="21"/>
  <c r="AA20" i="21"/>
  <c r="AA19" i="21"/>
  <c r="AA18" i="21"/>
  <c r="AA16" i="21"/>
  <c r="AA15" i="21"/>
  <c r="AA14" i="21"/>
  <c r="AA13" i="21"/>
  <c r="AA12" i="21"/>
  <c r="AA11" i="21"/>
  <c r="AA9" i="21"/>
  <c r="AA8" i="21"/>
  <c r="F28" i="20"/>
  <c r="E28" i="20"/>
  <c r="F27" i="20"/>
  <c r="E27" i="20"/>
  <c r="F26" i="20"/>
  <c r="E26" i="20"/>
  <c r="F25" i="20"/>
  <c r="E25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F23" i="20"/>
  <c r="E23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F22" i="20"/>
  <c r="E22" i="20"/>
  <c r="AA21" i="20"/>
  <c r="AA20" i="20"/>
  <c r="AA19" i="20"/>
  <c r="AA18" i="20"/>
  <c r="AA16" i="20"/>
  <c r="AA15" i="20"/>
  <c r="AA14" i="20"/>
  <c r="AA13" i="20"/>
  <c r="AA12" i="20"/>
  <c r="AA11" i="20"/>
  <c r="AA9" i="20"/>
  <c r="AA8" i="20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F28" i="19"/>
  <c r="E28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F27" i="19"/>
  <c r="E27" i="19"/>
  <c r="F26" i="19"/>
  <c r="E26" i="19"/>
  <c r="F25" i="19"/>
  <c r="E25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F23" i="19"/>
  <c r="E23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F22" i="19"/>
  <c r="E22" i="19"/>
  <c r="AA21" i="19"/>
  <c r="AA20" i="19"/>
  <c r="AA19" i="19"/>
  <c r="AA18" i="19"/>
  <c r="AA16" i="19"/>
  <c r="AA15" i="19"/>
  <c r="AA14" i="19"/>
  <c r="AA13" i="19"/>
  <c r="AA12" i="19"/>
  <c r="AA11" i="19"/>
  <c r="AA9" i="19"/>
  <c r="AA8" i="19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F28" i="18"/>
  <c r="E28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F27" i="18"/>
  <c r="E27" i="18"/>
  <c r="F26" i="18"/>
  <c r="E26" i="18"/>
  <c r="F25" i="18"/>
  <c r="E25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F23" i="18"/>
  <c r="E23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F22" i="18"/>
  <c r="E22" i="18"/>
  <c r="AA21" i="18"/>
  <c r="AA20" i="18"/>
  <c r="AA19" i="18"/>
  <c r="AA18" i="18"/>
  <c r="AA16" i="18"/>
  <c r="AA15" i="18"/>
  <c r="AA14" i="18"/>
  <c r="AA13" i="18"/>
  <c r="AA12" i="18"/>
  <c r="AA11" i="18"/>
  <c r="AA9" i="18"/>
  <c r="AA8" i="18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F28" i="17"/>
  <c r="E28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F27" i="17"/>
  <c r="E27" i="17"/>
  <c r="F26" i="17"/>
  <c r="E26" i="17"/>
  <c r="F25" i="17"/>
  <c r="E25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F23" i="17"/>
  <c r="E23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F22" i="17"/>
  <c r="E22" i="17"/>
  <c r="AA21" i="17"/>
  <c r="AA20" i="17"/>
  <c r="AA19" i="17"/>
  <c r="AA18" i="17"/>
  <c r="AA16" i="17"/>
  <c r="AA15" i="17"/>
  <c r="AA14" i="17"/>
  <c r="AA12" i="17"/>
  <c r="AA11" i="17"/>
  <c r="AA9" i="17"/>
  <c r="AA8" i="17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F28" i="16"/>
  <c r="E28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F27" i="16"/>
  <c r="E27" i="16"/>
  <c r="F26" i="16"/>
  <c r="E26" i="16"/>
  <c r="F25" i="16"/>
  <c r="E25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F23" i="16"/>
  <c r="E23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F22" i="16"/>
  <c r="E22" i="16"/>
  <c r="AA21" i="16"/>
  <c r="AA20" i="16"/>
  <c r="AA19" i="16"/>
  <c r="AA18" i="16"/>
  <c r="AA16" i="16"/>
  <c r="AA15" i="16"/>
  <c r="AA14" i="16"/>
  <c r="AA13" i="16"/>
  <c r="AA12" i="16"/>
  <c r="AA11" i="16"/>
  <c r="AA9" i="16"/>
  <c r="AA8" i="16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F28" i="15"/>
  <c r="E28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F27" i="15"/>
  <c r="E27" i="15"/>
  <c r="F26" i="15"/>
  <c r="E26" i="15"/>
  <c r="F25" i="15"/>
  <c r="E25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F23" i="15"/>
  <c r="E23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F22" i="15"/>
  <c r="E22" i="15"/>
  <c r="AA21" i="15"/>
  <c r="AA20" i="15"/>
  <c r="AA19" i="15"/>
  <c r="AA18" i="15"/>
  <c r="AA16" i="15"/>
  <c r="AA15" i="15"/>
  <c r="AA14" i="15"/>
  <c r="AA13" i="15"/>
  <c r="AA12" i="15"/>
  <c r="AA11" i="15"/>
  <c r="AA9" i="15"/>
  <c r="AA8" i="15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F28" i="14"/>
  <c r="E28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F27" i="14"/>
  <c r="E27" i="14"/>
  <c r="F26" i="14"/>
  <c r="E26" i="14"/>
  <c r="F25" i="14"/>
  <c r="E25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F23" i="14"/>
  <c r="E23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F22" i="14"/>
  <c r="E22" i="14"/>
  <c r="AA21" i="14"/>
  <c r="AA20" i="14"/>
  <c r="AA19" i="14"/>
  <c r="AA18" i="14"/>
  <c r="AA16" i="14"/>
  <c r="AA15" i="14"/>
  <c r="AA14" i="14"/>
  <c r="AA13" i="14"/>
  <c r="AA12" i="14"/>
  <c r="AA11" i="14"/>
  <c r="AA9" i="14"/>
  <c r="AA8" i="14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F28" i="13"/>
  <c r="E28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F27" i="13"/>
  <c r="E27" i="13"/>
  <c r="F26" i="13"/>
  <c r="E26" i="13"/>
  <c r="F25" i="13"/>
  <c r="E25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F23" i="13"/>
  <c r="E23" i="13"/>
  <c r="Z22" i="13"/>
  <c r="Y22" i="13"/>
  <c r="X22" i="13"/>
  <c r="U22" i="13"/>
  <c r="T22" i="13"/>
  <c r="S22" i="13"/>
  <c r="R22" i="13"/>
  <c r="Q22" i="13"/>
  <c r="P22" i="13"/>
  <c r="O22" i="13"/>
  <c r="N22" i="13"/>
  <c r="M22" i="13"/>
  <c r="L22" i="13"/>
  <c r="K22" i="13"/>
  <c r="F22" i="13"/>
  <c r="E22" i="13"/>
  <c r="AA21" i="13"/>
  <c r="AA20" i="13"/>
  <c r="AA19" i="13"/>
  <c r="AA18" i="13"/>
  <c r="AA16" i="13"/>
  <c r="AA15" i="13"/>
  <c r="AA14" i="13"/>
  <c r="AA13" i="13"/>
  <c r="AA12" i="13"/>
  <c r="AA11" i="13"/>
  <c r="AA9" i="13"/>
  <c r="AA8" i="13"/>
  <c r="Z28" i="12"/>
  <c r="Y28" i="12"/>
  <c r="X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F28" i="12"/>
  <c r="E28" i="12"/>
  <c r="Z27" i="12"/>
  <c r="Y27" i="12"/>
  <c r="X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F27" i="12"/>
  <c r="E27" i="12"/>
  <c r="F26" i="12"/>
  <c r="E26" i="12"/>
  <c r="F25" i="12"/>
  <c r="E25" i="12"/>
  <c r="Z23" i="12"/>
  <c r="Y23" i="12"/>
  <c r="X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F23" i="12"/>
  <c r="E23" i="12"/>
  <c r="Z22" i="12"/>
  <c r="Y22" i="12"/>
  <c r="X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F22" i="12"/>
  <c r="E22" i="12"/>
  <c r="AA21" i="12"/>
  <c r="AA20" i="12"/>
  <c r="AA19" i="12"/>
  <c r="AA18" i="12"/>
  <c r="AA16" i="12"/>
  <c r="AA15" i="12"/>
  <c r="AA14" i="12"/>
  <c r="AA13" i="12"/>
  <c r="AA12" i="12"/>
  <c r="AA11" i="12"/>
  <c r="AA9" i="12"/>
  <c r="AA8" i="12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F28" i="11"/>
  <c r="E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F27" i="11"/>
  <c r="E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F26" i="11"/>
  <c r="E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F25" i="11"/>
  <c r="E25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F23" i="11"/>
  <c r="E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F22" i="11"/>
  <c r="E22" i="11"/>
  <c r="AA21" i="11"/>
  <c r="AA20" i="11"/>
  <c r="AA19" i="11"/>
  <c r="AA18" i="11"/>
  <c r="AA16" i="11"/>
  <c r="AA15" i="11"/>
  <c r="AA14" i="11"/>
  <c r="AA13" i="11"/>
  <c r="AA12" i="11"/>
  <c r="AA11" i="11"/>
  <c r="AA9" i="11"/>
  <c r="AA8" i="11"/>
  <c r="F28" i="10"/>
  <c r="E28" i="10"/>
  <c r="F27" i="10"/>
  <c r="E27" i="10"/>
  <c r="F26" i="10"/>
  <c r="E26" i="10"/>
  <c r="F25" i="10"/>
  <c r="E25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F23" i="10"/>
  <c r="E23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F22" i="10"/>
  <c r="E22" i="10"/>
  <c r="AA21" i="10"/>
  <c r="AA20" i="10"/>
  <c r="AA19" i="10"/>
  <c r="AA18" i="10"/>
  <c r="AA16" i="10"/>
  <c r="AA15" i="10"/>
  <c r="AA14" i="10"/>
  <c r="AA13" i="10"/>
  <c r="AA12" i="10"/>
  <c r="AA11" i="10"/>
  <c r="AA9" i="10"/>
  <c r="AA8" i="10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F28" i="9"/>
  <c r="E28" i="9"/>
  <c r="F27" i="9"/>
  <c r="E27" i="9"/>
  <c r="F26" i="9"/>
  <c r="E26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F23" i="9"/>
  <c r="E23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F22" i="9"/>
  <c r="E22" i="9"/>
  <c r="AA21" i="9"/>
  <c r="AA20" i="9"/>
  <c r="AA19" i="9"/>
  <c r="AA18" i="9"/>
  <c r="AA16" i="9"/>
  <c r="AA15" i="9"/>
  <c r="AA14" i="9"/>
  <c r="AA13" i="9"/>
  <c r="AA12" i="9"/>
  <c r="AA11" i="9"/>
  <c r="AA9" i="9"/>
  <c r="AA8" i="9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F28" i="8"/>
  <c r="E28" i="8"/>
  <c r="F27" i="8"/>
  <c r="E27" i="8"/>
  <c r="F26" i="8"/>
  <c r="E26" i="8"/>
  <c r="F25" i="8"/>
  <c r="E25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F23" i="8"/>
  <c r="E23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F22" i="8"/>
  <c r="E22" i="8"/>
  <c r="AA21" i="8"/>
  <c r="AA20" i="8"/>
  <c r="AA19" i="8"/>
  <c r="AA18" i="8"/>
  <c r="AA16" i="8"/>
  <c r="AA15" i="8"/>
  <c r="AA14" i="8"/>
  <c r="AA13" i="8"/>
  <c r="AA12" i="8"/>
  <c r="AA11" i="8"/>
  <c r="AA9" i="8"/>
  <c r="AA8" i="8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F28" i="7"/>
  <c r="E28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F27" i="7"/>
  <c r="E27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F26" i="7"/>
  <c r="E26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F25" i="7"/>
  <c r="E25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F23" i="7"/>
  <c r="E23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F22" i="7"/>
  <c r="E22" i="7"/>
  <c r="AA21" i="7"/>
  <c r="AA20" i="7"/>
  <c r="AA19" i="7"/>
  <c r="AA18" i="7"/>
  <c r="AA16" i="7"/>
  <c r="AA15" i="7"/>
  <c r="AA14" i="7"/>
  <c r="AA13" i="7"/>
  <c r="AA12" i="7"/>
  <c r="AA9" i="7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F28" i="6"/>
  <c r="E28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F27" i="6"/>
  <c r="E27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F26" i="6"/>
  <c r="E26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F25" i="6"/>
  <c r="E25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F23" i="6"/>
  <c r="E23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F22" i="6"/>
  <c r="E22" i="6"/>
  <c r="AA21" i="6"/>
  <c r="AA20" i="6"/>
  <c r="AA19" i="6"/>
  <c r="AA18" i="6"/>
  <c r="AA16" i="6"/>
  <c r="AA15" i="6"/>
  <c r="AA14" i="6"/>
  <c r="AA13" i="6"/>
  <c r="AA12" i="6"/>
  <c r="AA11" i="6"/>
  <c r="AA9" i="6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F28" i="5"/>
  <c r="E28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F27" i="5"/>
  <c r="E27" i="5"/>
  <c r="F26" i="5"/>
  <c r="E26" i="5"/>
  <c r="F25" i="5"/>
  <c r="E25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F23" i="5"/>
  <c r="E23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F22" i="5"/>
  <c r="E22" i="5"/>
  <c r="AA21" i="5"/>
  <c r="AA20" i="5"/>
  <c r="AA19" i="5"/>
  <c r="AA18" i="5"/>
  <c r="AA16" i="5"/>
  <c r="AA15" i="5"/>
  <c r="AA14" i="5"/>
  <c r="AA13" i="5"/>
  <c r="AA12" i="5"/>
  <c r="AA11" i="5"/>
  <c r="AA9" i="5"/>
  <c r="AA8" i="5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F28" i="4"/>
  <c r="E28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F27" i="4"/>
  <c r="E27" i="4"/>
  <c r="F26" i="4"/>
  <c r="E26" i="4"/>
  <c r="F25" i="4"/>
  <c r="E25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F23" i="4"/>
  <c r="E23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F22" i="4"/>
  <c r="E22" i="4"/>
  <c r="AA21" i="4"/>
  <c r="AA9" i="4"/>
  <c r="AA8" i="4"/>
  <c r="L28" i="1"/>
  <c r="K28" i="1"/>
  <c r="J28" i="1"/>
  <c r="L27" i="1"/>
  <c r="K27" i="1"/>
  <c r="J27" i="1"/>
  <c r="L23" i="1"/>
  <c r="K23" i="1"/>
  <c r="J23" i="1"/>
  <c r="L22" i="1"/>
  <c r="K22" i="1"/>
  <c r="J22" i="1"/>
  <c r="L22" i="34" l="1"/>
  <c r="U27" i="34"/>
  <c r="O27" i="34"/>
  <c r="AA7" i="36" s="1"/>
  <c r="W27" i="34"/>
  <c r="AL13" i="37" s="1"/>
  <c r="Y27" i="34"/>
  <c r="AT13" i="37" s="1"/>
  <c r="Q27" i="34"/>
  <c r="AA8" i="36" s="1"/>
  <c r="T22" i="34"/>
  <c r="AD8" i="37" s="1"/>
  <c r="V27" i="34"/>
  <c r="AH13" i="37" s="1"/>
  <c r="Q22" i="34"/>
  <c r="G8" i="36" s="1"/>
  <c r="Y22" i="34"/>
  <c r="M27" i="34"/>
  <c r="J13" i="37" s="1"/>
  <c r="N27" i="34"/>
  <c r="N13" i="37" s="1"/>
  <c r="P27" i="34"/>
  <c r="R13" i="37" s="1"/>
  <c r="X27" i="34"/>
  <c r="AP13" i="37" s="1"/>
  <c r="J27" i="34"/>
  <c r="C10" i="35" s="1"/>
  <c r="R27" i="34"/>
  <c r="V13" i="37" s="1"/>
  <c r="Z27" i="34"/>
  <c r="AX13" i="37" s="1"/>
  <c r="S27" i="34"/>
  <c r="Z13" i="37" s="1"/>
  <c r="L27" i="34"/>
  <c r="F13" i="37" s="1"/>
  <c r="T27" i="34"/>
  <c r="AD13" i="37" s="1"/>
  <c r="AG13" i="37" s="1"/>
  <c r="U22" i="34"/>
  <c r="G12" i="36" s="1"/>
  <c r="O22" i="34"/>
  <c r="G7" i="36" s="1"/>
  <c r="N22" i="34"/>
  <c r="N8" i="37" s="1"/>
  <c r="V22" i="34"/>
  <c r="AH8" i="37" s="1"/>
  <c r="J22" i="34"/>
  <c r="K27" i="34"/>
  <c r="S22" i="34"/>
  <c r="Z8" i="37" s="1"/>
  <c r="W22" i="34"/>
  <c r="AL8" i="37" s="1"/>
  <c r="M22" i="34"/>
  <c r="J8" i="37" s="1"/>
  <c r="K22" i="34"/>
  <c r="B8" i="37" s="1"/>
  <c r="AH10" i="37"/>
  <c r="O12" i="36"/>
  <c r="AL12" i="37"/>
  <c r="AP12" i="37"/>
  <c r="W7" i="36"/>
  <c r="R12" i="37"/>
  <c r="K21" i="34"/>
  <c r="B7" i="37" s="1"/>
  <c r="S21" i="34"/>
  <c r="Z7" i="37" s="1"/>
  <c r="Q21" i="34"/>
  <c r="C8" i="36" s="1"/>
  <c r="Y21" i="34"/>
  <c r="AT7" i="37" s="1"/>
  <c r="V8" i="37"/>
  <c r="Z10" i="37"/>
  <c r="F11" i="37"/>
  <c r="AD11" i="37"/>
  <c r="AG11" i="37" s="1"/>
  <c r="BB11" i="37" s="1"/>
  <c r="W12" i="36"/>
  <c r="R21" i="34"/>
  <c r="V7" i="37" s="1"/>
  <c r="F10" i="37"/>
  <c r="AD10" i="37"/>
  <c r="S12" i="36"/>
  <c r="N10" i="37"/>
  <c r="B10" i="37"/>
  <c r="O21" i="34"/>
  <c r="C7" i="36" s="1"/>
  <c r="W21" i="34"/>
  <c r="AL7" i="37" s="1"/>
  <c r="R8" i="37"/>
  <c r="AP8" i="37"/>
  <c r="O8" i="36"/>
  <c r="AT10" i="37"/>
  <c r="V11" i="37"/>
  <c r="B12" i="37"/>
  <c r="Z12" i="37"/>
  <c r="M21" i="34"/>
  <c r="J7" i="37" s="1"/>
  <c r="U21" i="34"/>
  <c r="C12" i="36" s="1"/>
  <c r="O7" i="36"/>
  <c r="AL10" i="37"/>
  <c r="R11" i="37"/>
  <c r="AP11" i="37"/>
  <c r="AT12" i="37"/>
  <c r="P21" i="34"/>
  <c r="R7" i="37" s="1"/>
  <c r="X21" i="34"/>
  <c r="AP7" i="37" s="1"/>
  <c r="AT8" i="37"/>
  <c r="V10" i="37"/>
  <c r="Z11" i="37"/>
  <c r="AD12" i="37"/>
  <c r="AA12" i="36"/>
  <c r="T21" i="34"/>
  <c r="AD7" i="37" s="1"/>
  <c r="S8" i="36"/>
  <c r="V21" i="34"/>
  <c r="AH7" i="37" s="1"/>
  <c r="AT11" i="37"/>
  <c r="N21" i="34"/>
  <c r="N7" i="37" s="1"/>
  <c r="L21" i="34"/>
  <c r="F7" i="37" s="1"/>
  <c r="AA22" i="5"/>
  <c r="AA27" i="7"/>
  <c r="AA22" i="9"/>
  <c r="AA27" i="11"/>
  <c r="AA22" i="13"/>
  <c r="AA27" i="15"/>
  <c r="AA22" i="17"/>
  <c r="AA27" i="19"/>
  <c r="AA22" i="21"/>
  <c r="AA22" i="25"/>
  <c r="AA22" i="29"/>
  <c r="AA22" i="33"/>
  <c r="J12" i="37"/>
  <c r="W8" i="36"/>
  <c r="F8" i="37"/>
  <c r="J10" i="37"/>
  <c r="R10" i="37"/>
  <c r="AP10" i="37"/>
  <c r="N12" i="37"/>
  <c r="F12" i="37"/>
  <c r="J11" i="37"/>
  <c r="B11" i="37"/>
  <c r="AA15" i="34"/>
  <c r="V12" i="37"/>
  <c r="AA23" i="6"/>
  <c r="AA28" i="5"/>
  <c r="AA26" i="6"/>
  <c r="AA23" i="7"/>
  <c r="AA28" i="9"/>
  <c r="AA23" i="11"/>
  <c r="AA28" i="13"/>
  <c r="AA23" i="15"/>
  <c r="AA28" i="17"/>
  <c r="AA23" i="19"/>
  <c r="AA23" i="23"/>
  <c r="AA23" i="27"/>
  <c r="AA23" i="31"/>
  <c r="AA28" i="8"/>
  <c r="AA23" i="10"/>
  <c r="AA28" i="12"/>
  <c r="AA23" i="14"/>
  <c r="AA28" i="16"/>
  <c r="AA23" i="18"/>
  <c r="AA23" i="22"/>
  <c r="AA23" i="26"/>
  <c r="AA23" i="30"/>
  <c r="AA25" i="11"/>
  <c r="AA22" i="12"/>
  <c r="AA27" i="14"/>
  <c r="AA22" i="16"/>
  <c r="AA27" i="18"/>
  <c r="AA22" i="20"/>
  <c r="AA22" i="24"/>
  <c r="AA22" i="28"/>
  <c r="AA22" i="32"/>
  <c r="AA25" i="7"/>
  <c r="AA23" i="5"/>
  <c r="AA23" i="9"/>
  <c r="AA28" i="11"/>
  <c r="AA28" i="15"/>
  <c r="AA23" i="17"/>
  <c r="AA28" i="19"/>
  <c r="AA23" i="21"/>
  <c r="AA23" i="25"/>
  <c r="AA23" i="29"/>
  <c r="AA23" i="33"/>
  <c r="AA23" i="13"/>
  <c r="AA27" i="5"/>
  <c r="AA25" i="6"/>
  <c r="AA22" i="7"/>
  <c r="AA22" i="11"/>
  <c r="AA27" i="13"/>
  <c r="AA22" i="15"/>
  <c r="AA27" i="17"/>
  <c r="AA22" i="19"/>
  <c r="AA22" i="23"/>
  <c r="AA22" i="27"/>
  <c r="AA22" i="31"/>
  <c r="AA7" i="34"/>
  <c r="AA28" i="7"/>
  <c r="AA28" i="6"/>
  <c r="AA26" i="7"/>
  <c r="AA23" i="8"/>
  <c r="AA26" i="11"/>
  <c r="AA23" i="12"/>
  <c r="AA28" i="14"/>
  <c r="AA23" i="16"/>
  <c r="AA28" i="18"/>
  <c r="AA23" i="20"/>
  <c r="AA23" i="24"/>
  <c r="AA23" i="28"/>
  <c r="AA23" i="32"/>
  <c r="AA27" i="6"/>
  <c r="AA22" i="8"/>
  <c r="AA22" i="6"/>
  <c r="AA22" i="10"/>
  <c r="AA27" i="12"/>
  <c r="AA22" i="14"/>
  <c r="AA27" i="16"/>
  <c r="AA22" i="18"/>
  <c r="AA22" i="22"/>
  <c r="AA22" i="26"/>
  <c r="AA22" i="30"/>
  <c r="AA14" i="34"/>
  <c r="AA8" i="34"/>
  <c r="AA28" i="4"/>
  <c r="AA22" i="4"/>
  <c r="AA27" i="4"/>
  <c r="AA23" i="4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8" i="1"/>
  <c r="M27" i="1"/>
  <c r="M23" i="1"/>
  <c r="M22" i="1"/>
  <c r="AA21" i="1"/>
  <c r="AA20" i="1"/>
  <c r="AA19" i="1"/>
  <c r="AA18" i="1"/>
  <c r="AA16" i="1"/>
  <c r="AA15" i="1"/>
  <c r="AA14" i="1"/>
  <c r="AA13" i="1"/>
  <c r="AA12" i="1"/>
  <c r="AA11" i="1"/>
  <c r="AA9" i="1"/>
  <c r="AA8" i="1"/>
  <c r="F28" i="1"/>
  <c r="F27" i="1"/>
  <c r="F26" i="1"/>
  <c r="F25" i="1"/>
  <c r="F23" i="1"/>
  <c r="F22" i="1"/>
  <c r="E28" i="1"/>
  <c r="E27" i="1"/>
  <c r="E26" i="1"/>
  <c r="E25" i="1"/>
  <c r="E23" i="1"/>
  <c r="E22" i="1"/>
  <c r="C4" i="35" l="1"/>
  <c r="G6" i="36"/>
  <c r="C5" i="35"/>
  <c r="AA27" i="34"/>
  <c r="AA20" i="34"/>
  <c r="B13" i="37"/>
  <c r="AA22" i="34"/>
  <c r="AG14" i="37"/>
  <c r="BB13" i="37"/>
  <c r="BB14" i="37" s="1"/>
  <c r="AA6" i="36"/>
  <c r="W6" i="36"/>
  <c r="O6" i="36"/>
  <c r="S6" i="36"/>
  <c r="AA21" i="34"/>
  <c r="AA23" i="1"/>
  <c r="AA28" i="1"/>
  <c r="AA22" i="1"/>
  <c r="AA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J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kuku bucket lepas</t>
        </r>
      </text>
    </comment>
    <comment ref="J1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swing terlock</t>
        </r>
      </text>
    </comment>
    <comment ref="J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track sebelah kanan lepas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J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cylender aram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kuku bucket lepas</t>
        </r>
      </text>
    </comment>
    <comment ref="V1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general tarilk pompa</t>
        </r>
      </text>
    </comment>
    <comment ref="W1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hd amblas di front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hose silinder arm bocor</t>
        </r>
      </text>
    </comment>
    <comment ref="J2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kuku bucket lepas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HOSE CYLINDER BOOM</t>
        </r>
      </text>
    </comment>
    <comment ref="J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ORING PIPA CYLINDER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WELDING SILINDER ARM</t>
        </r>
      </text>
    </comment>
    <comment ref="J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FIRE SUSPENSION TROUBLE </t>
        </r>
      </text>
    </comment>
    <comment ref="J12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V BELT PUTUS AC</t>
        </r>
      </text>
    </comment>
    <comment ref="W1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HABIS FUEL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J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repair hose joy stick</t>
        </r>
      </text>
    </comment>
    <comment ref="V1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Mery: general kuaras air</t>
        </r>
      </text>
    </comment>
    <comment ref="J12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Mery: las handrill kabin</t>
        </r>
      </text>
    </comment>
    <comment ref="V12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ratakan floor
</t>
        </r>
      </text>
    </comment>
    <comment ref="V1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Mery: geeneral buat saluran parit</t>
        </r>
      </text>
    </comment>
    <comment ref="V14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general buat dudukan drilling
</t>
        </r>
      </text>
    </comment>
    <comment ref="J1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penegecekan pipa bucket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J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Mery: PPC bocor</t>
        </r>
      </text>
    </comment>
    <comment ref="V1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Mery: rilis air, exposes 4 jam 38  menit</t>
        </r>
      </text>
    </comment>
    <comment ref="J16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kebocoran pipa</t>
        </r>
      </text>
    </comment>
    <comment ref="J18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pengecekan mekanik</t>
        </r>
      </text>
    </comment>
    <comment ref="V1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Mery: general disposal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Mery:</t>
        </r>
        <r>
          <rPr>
            <sz val="9"/>
            <color indexed="81"/>
            <rFont val="Tahoma"/>
            <family val="2"/>
          </rPr>
          <t xml:space="preserve">
STB NO HAULER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pipa ppc bocor 43 menit
kebocoran hose hidrolik 2 jam 30 menit 
</t>
        </r>
      </text>
    </comment>
    <comment ref="J1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engine shut down
</t>
        </r>
      </text>
    </comment>
    <comment ref="V1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buat jalan
</t>
        </r>
      </text>
    </comment>
    <comment ref="J1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hose hidrolik bocor </t>
        </r>
      </text>
    </comment>
    <comment ref="V14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ekspose batu bara </t>
        </r>
      </text>
    </comment>
    <comment ref="J18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pengecekan mekanik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engine shut down </t>
        </r>
      </text>
    </comment>
    <comment ref="J1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pecah hose di area pompa hidrolik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HOSE POMPA HIDROLIK</t>
        </r>
      </text>
    </comment>
    <comment ref="J14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HOSE BUCKET BOCOR </t>
        </r>
      </text>
    </comment>
    <comment ref="J15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RADIATOR BOCOR </t>
        </r>
      </text>
    </comment>
    <comment ref="J16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HOSE PUMP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OVER HEAT 1 JAM 12 MENIT 
AC PANAS 4 JAM 10 MENIT 
</t>
        </r>
      </text>
    </comment>
    <comment ref="J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KOPLING HIDROLIK BOCOR 5 JAM 30 MENIT
ERROR II 3 JAM</t>
        </r>
      </text>
    </comment>
    <comment ref="J12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OLI HIDROLIK BOCOR</t>
        </r>
      </text>
    </comment>
    <comment ref="V15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GENERAL LOKASI BLASTING </t>
        </r>
      </text>
    </comment>
    <comment ref="J16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COMMON RAIL
LAMPU KERJA</t>
        </r>
      </text>
    </comment>
    <comment ref="W16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STANDBY WORKSHOP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AC PROBLEM</t>
        </r>
      </text>
    </comment>
    <comment ref="W9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TUNGGU HAULER</t>
        </r>
      </text>
    </comment>
    <comment ref="J12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PENAMBAHAN OLI HIDROLIK 31 MENIT
SAFETY TRACK LINK 1 JAM 54 MENIT </t>
        </r>
      </text>
    </comment>
    <comment ref="W1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PERBAIAKAN JALAN DISPOSAL
</t>
        </r>
      </text>
    </comment>
    <comment ref="W1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JALAN</t>
        </r>
      </text>
    </comment>
    <comment ref="W18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JALAN DISPOSAL</t>
        </r>
      </text>
    </comment>
    <comment ref="W19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JALAN DISPOSAL</t>
        </r>
      </text>
    </comment>
    <comment ref="V20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GENERAL EKSPOS BATU BARA </t>
        </r>
      </text>
    </comment>
    <comment ref="W20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JALAN DISPOSAL </t>
        </r>
      </text>
    </comment>
    <comment ref="W2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JALAN DISPOSAL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MCC-01</author>
  </authors>
  <commentList>
    <comment ref="J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HIDER KANAN PATAH</t>
        </r>
      </text>
    </comment>
    <comment ref="J1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PENGECEKAN UT</t>
        </r>
      </text>
    </comment>
    <comment ref="J12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BOCOR AREA POMPA</t>
        </r>
      </text>
    </comment>
    <comment ref="W16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NO HD</t>
        </r>
      </text>
    </comment>
    <comment ref="J19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LEPAS TRACK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pin track mau lepas </t>
        </r>
      </text>
    </comment>
    <comment ref="J9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air cliner</t>
        </r>
      </text>
    </comment>
    <comment ref="V1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evakuasi pompa</t>
        </r>
      </text>
    </comment>
    <comment ref="J12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adjust track </t>
        </r>
      </text>
    </comment>
    <comment ref="V12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tarik pompa</t>
        </r>
      </text>
    </comment>
    <comment ref="J16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hose tank hidrolik </t>
        </r>
      </text>
    </comment>
    <comment ref="W16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tidak ada hauler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3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oring</t>
        </r>
      </text>
    </comment>
    <comment ref="W2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operator izin minum obat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1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oli area pipa hose cylinder arem</t>
        </r>
      </text>
    </comment>
    <comment ref="J18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cant start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kebocoramn oli area cylinder arm</t>
        </r>
      </text>
    </comment>
    <comment ref="J9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penambahan oli hidrolik</t>
        </r>
      </text>
    </comment>
    <comment ref="J13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KUKU BUCKET LEPAS </t>
        </r>
      </text>
    </comment>
    <comment ref="J14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PIPA CYLINDER BUCKET BOCOR</t>
        </r>
      </text>
    </comment>
    <comment ref="J15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AC PANAS </t>
        </r>
      </text>
    </comment>
    <comment ref="J16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OLI DI AREA POMPA</t>
        </r>
      </text>
    </comment>
    <comment ref="J18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TUNGGU LUBTRUK
TUNGGU SEMPROT AIR CLEANER</t>
        </r>
      </text>
    </comment>
    <comment ref="J19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oli di area hose pompa</t>
        </r>
      </text>
    </comment>
    <comment ref="J20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kuku bucket lepas</t>
        </r>
      </text>
    </comment>
    <comment ref="J2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area hose hidrolik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MENAKANIK </t>
        </r>
      </text>
    </comment>
    <comment ref="J9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PENAAMBAHAN OLI HIDROLIK</t>
        </r>
      </text>
    </comment>
    <comment ref="J1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ENGINE SHUTDOWN</t>
        </r>
      </text>
    </comment>
    <comment ref="J13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LEPAS KUKU BUCKET</t>
        </r>
      </text>
    </comment>
    <comment ref="W14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BERSIHKAN KACA</t>
        </r>
      </text>
    </comment>
    <comment ref="J15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TUNGGU OLI HIDROLIK
SILINDER ARM</t>
        </r>
      </text>
    </comment>
    <comment ref="J16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KEBOCORAN OLI HIDROLIK</t>
        </r>
      </text>
    </comment>
    <comment ref="J18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ENGINE SHUTDOWN
</t>
        </r>
      </text>
    </comment>
    <comment ref="J20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KUKU BUCKET LEPAS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B10C0B53-AE8F-4CD3-82F6-AEEEBAFACC0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AC 
KONDESOR AC</t>
        </r>
      </text>
    </comment>
    <comment ref="J9" authorId="0" shapeId="0" xr:uid="{A22689E8-55B2-41B5-99BD-C2B78822F35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PERBAIKAN RM
PIPA HOSE BUCKET &amp; HOSE JOYSTICK</t>
        </r>
      </text>
    </comment>
    <comment ref="W12" authorId="0" shapeId="0" xr:uid="{A4B84EC0-43A6-4B40-9DF6-A380481EFB8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KURANG HAULER </t>
        </r>
      </text>
    </comment>
    <comment ref="J14" authorId="0" shapeId="0" xr:uid="{680A6678-34C3-41C1-8975-23A3204323A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CANT START 
CANT START </t>
        </r>
      </text>
    </comment>
    <comment ref="J15" authorId="0" shapeId="0" xr:uid="{85A25D84-8085-4264-86C0-7FAAF3076AF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PENAMBAHAN OLI HIDROLIK</t>
        </r>
      </text>
    </comment>
    <comment ref="J18" authorId="0" shapeId="0" xr:uid="{25910FA5-4F2C-4C27-8159-FFBEE213D55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CANT START</t>
        </r>
      </text>
    </comment>
    <comment ref="J19" authorId="0" shapeId="0" xr:uid="{8C576538-E689-4D0F-A52C-E33A746B0AF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GANTI AIR CLEANER</t>
        </r>
      </text>
    </comment>
    <comment ref="J20" authorId="0" shapeId="0" xr:uid="{9AC8784B-1666-460E-A949-2DDF6A2791F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LEPAS KUKU BUCKET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J8" authorId="0" shapeId="0" xr:uid="{55DD18B8-E7D6-4766-8287-897E06686545}">
      <text>
        <r>
          <rPr>
            <b/>
            <sz val="9"/>
            <color indexed="81"/>
            <rFont val="Tahoma"/>
            <family val="2"/>
          </rPr>
          <t>Mery: AC</t>
        </r>
      </text>
    </comment>
    <comment ref="J11" authorId="0" shapeId="0" xr:uid="{12576FDF-D673-4DA0-AE25-A66074E25C42}">
      <text>
        <r>
          <rPr>
            <b/>
            <sz val="9"/>
            <color indexed="81"/>
            <rFont val="Tahoma"/>
            <family val="2"/>
          </rPr>
          <t>Mery: ERORR 14</t>
        </r>
      </text>
    </comment>
    <comment ref="J15" authorId="0" shapeId="0" xr:uid="{78C74151-4B9F-4E6D-8B0F-533B86985FF0}">
      <text>
        <r>
          <rPr>
            <b/>
            <sz val="9"/>
            <color indexed="81"/>
            <rFont val="Tahoma"/>
            <family val="2"/>
          </rPr>
          <t>Mery: AC</t>
        </r>
      </text>
    </comment>
    <comment ref="J18" authorId="0" shapeId="0" xr:uid="{6C0D1DC2-16BE-438D-97B4-FF3AF0A27B4B}">
      <text>
        <r>
          <rPr>
            <b/>
            <sz val="9"/>
            <color indexed="81"/>
            <rFont val="Tahoma"/>
            <family val="2"/>
          </rPr>
          <t>Mery: engine shutdown</t>
        </r>
      </text>
    </comment>
    <comment ref="J20" authorId="0" shapeId="0" xr:uid="{640D0EB6-08F3-413E-93B8-BB6794EB4B8D}">
      <text>
        <r>
          <rPr>
            <b/>
            <sz val="9"/>
            <color indexed="81"/>
            <rFont val="Tahoma"/>
            <family val="2"/>
          </rPr>
          <t>Mery: kuku bucket lepas</t>
        </r>
      </text>
    </comment>
    <comment ref="J21" authorId="0" shapeId="0" xr:uid="{570C6008-536B-4C57-832E-F7490E156774}">
      <text>
        <r>
          <rPr>
            <b/>
            <sz val="9"/>
            <color indexed="81"/>
            <rFont val="Tahoma"/>
            <family val="2"/>
          </rPr>
          <t>Mery: track putus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9D2EA100-5BB8-41A1-B899-BF1CEA56712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AC PANAS</t>
        </r>
      </text>
    </comment>
    <comment ref="J9" authorId="0" shapeId="0" xr:uid="{BD9A476C-93BF-4CEF-99A0-84BC01F91D2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ORING HOSE CONTROL VALVE</t>
        </r>
      </text>
    </comment>
    <comment ref="J11" authorId="0" shapeId="0" xr:uid="{407930AB-399F-4797-B044-247F627EBB3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LOW POWER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MCC-01</author>
  </authors>
  <commentList>
    <comment ref="J12" authorId="0" shapeId="0" xr:uid="{385EAA6A-5D92-449D-B7B9-7DC2844107D7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service</t>
        </r>
      </text>
    </comment>
    <comment ref="V13" authorId="0" shapeId="0" xr:uid="{B605C144-56BA-412F-AADE-937F2679E97C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TARIK MATERIAL</t>
        </r>
      </text>
    </comment>
    <comment ref="J14" authorId="0" shapeId="0" xr:uid="{65284183-89B8-4C59-8FD7-665E1087218F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LEPAS TRACK</t>
        </r>
      </text>
    </comment>
    <comment ref="W14" authorId="0" shapeId="0" xr:uid="{B0B0DE00-2FEE-4960-B084-A18443EA6FE4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KURANG HD</t>
        </r>
      </text>
    </comment>
    <comment ref="W15" authorId="0" shapeId="0" xr:uid="{2B76C8B4-5F19-4EE3-866A-35652961FA42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SLIPPERY PRIORITAS DI PC1250-05</t>
        </r>
      </text>
    </comment>
    <comment ref="W18" authorId="0" shapeId="0" xr:uid="{12E43405-F141-4DC1-A4FC-4233094BE766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SLIPPERY PRIORITAS DI PC1250-05</t>
        </r>
      </text>
    </comment>
    <comment ref="W19" authorId="0" shapeId="0" xr:uid="{EF61FAD1-CE54-47C4-BB37-A67388FEE019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slippery prioritas di selatan</t>
        </r>
      </text>
    </comment>
    <comment ref="W20" authorId="0" shapeId="0" xr:uid="{C316FB47-58D2-4891-A0BC-791D8293BE18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slippery prioritas di selatan</t>
        </r>
      </text>
    </comment>
    <comment ref="J21" authorId="0" shapeId="0" xr:uid="{88BEDAE4-B256-43F4-8835-A03D88B396E7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BD = 20:00-21:06
HOSE CYLINDER BUCKET BOCOR = 05:00-07:00</t>
        </r>
      </text>
    </comment>
    <comment ref="V21" authorId="0" shapeId="0" xr:uid="{540904A7-0608-4781-9C3F-425022EF9C91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buat jalan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MCC-01</author>
  </authors>
  <commentList>
    <comment ref="V14" authorId="0" shapeId="0" xr:uid="{50B6F326-FA80-4A58-AF8A-9396F08046B0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pelebaran jalan</t>
        </r>
      </text>
    </comment>
    <comment ref="W15" authorId="0" shapeId="0" xr:uid="{1C6ABE9F-47F3-4DF7-9DE5-A22348571DFA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terhalang PC1250-07 insiden</t>
        </r>
      </text>
    </comment>
    <comment ref="J18" authorId="0" shapeId="0" xr:uid="{E20036F1-DDD2-468F-A89F-025C77B2468D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insdien</t>
        </r>
      </text>
    </comment>
    <comment ref="J21" authorId="0" shapeId="0" xr:uid="{4644A2A6-C2D8-44C8-835C-4BA10077DD06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hose silinder bucket bocor</t>
        </r>
      </text>
    </comment>
    <comment ref="V21" authorId="0" shapeId="0" xr:uid="{361F194A-2C89-4458-A406-E9BC1DBBC49E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land clearing = 20:00-20:18
pelebaran jalan = 04:00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V8" authorId="0" shapeId="0" xr:uid="{F379E76B-B166-4B97-B56B-9EEA89C6183B}">
      <text>
        <r>
          <rPr>
            <b/>
            <sz val="9"/>
            <color indexed="81"/>
            <rFont val="Tahoma"/>
            <family val="2"/>
          </rPr>
          <t>Mery: evakuasi pc2150-07</t>
        </r>
      </text>
    </comment>
    <comment ref="J9" authorId="0" shapeId="0" xr:uid="{CA1AC71A-F29C-4F38-9EE5-5123668A5CDE}">
      <text>
        <r>
          <rPr>
            <b/>
            <sz val="9"/>
            <color indexed="81"/>
            <rFont val="Tahoma"/>
            <family val="2"/>
          </rPr>
          <t xml:space="preserve">Mery: service
</t>
        </r>
      </text>
    </comment>
    <comment ref="J12" authorId="0" shapeId="0" xr:uid="{BFB28C98-CE86-4BF6-B26D-2F72EA0BBE55}">
      <text>
        <r>
          <rPr>
            <b/>
            <sz val="9"/>
            <color indexed="81"/>
            <rFont val="Tahoma"/>
            <family val="2"/>
          </rPr>
          <t>Mery:B/D AC 2 jam 34 menit</t>
        </r>
      </text>
    </comment>
    <comment ref="J14" authorId="0" shapeId="0" xr:uid="{B9E2914C-8D17-41A8-9E3A-FA54C46C40B4}">
      <text>
        <r>
          <rPr>
            <b/>
            <sz val="9"/>
            <color indexed="81"/>
            <rFont val="Tahoma"/>
            <family val="2"/>
          </rPr>
          <t>Mery: oli cylinder bucket bocor</t>
        </r>
      </text>
    </comment>
    <comment ref="W15" authorId="0" shapeId="0" xr:uid="{0FF071B5-EBFC-4921-9C30-4DABA4F123B9}">
      <text>
        <r>
          <rPr>
            <b/>
            <sz val="9"/>
            <color indexed="81"/>
            <rFont val="Tahoma"/>
            <family val="2"/>
          </rPr>
          <t>Mery: menunggu lubtruck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V8" authorId="0" shapeId="0" xr:uid="{F806FA95-8A80-4153-9B06-C0509D4EFB42}">
      <text>
        <r>
          <rPr>
            <b/>
            <sz val="9"/>
            <color indexed="81"/>
            <rFont val="Tahoma"/>
            <family val="2"/>
          </rPr>
          <t>Mery: EVAKUASI PC 1250-07</t>
        </r>
      </text>
    </comment>
    <comment ref="J9" authorId="0" shapeId="0" xr:uid="{5930798E-9D8D-466D-A340-3246C02D1CFF}">
      <text>
        <r>
          <rPr>
            <b/>
            <sz val="9"/>
            <color indexed="81"/>
            <rFont val="Tahoma"/>
            <family val="2"/>
          </rPr>
          <t>Mery: KEBOCORAN HOSE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2" authorId="0" shapeId="0" xr:uid="{918E6718-8954-4E43-85B6-CDA253ABC40D}">
      <text>
        <r>
          <rPr>
            <b/>
            <sz val="9"/>
            <color indexed="81"/>
            <rFont val="Tahoma"/>
            <family val="2"/>
          </rPr>
          <t>Mery: MENUNGU INFORMAI IBADAH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0" shapeId="0" xr:uid="{F5241C5C-131B-45E5-8964-05D4AB85DD41}">
      <text>
        <r>
          <rPr>
            <b/>
            <sz val="9"/>
            <color indexed="81"/>
            <rFont val="Tahoma"/>
            <family val="2"/>
          </rPr>
          <t xml:space="preserve">Mery: PENGECEKAN MEKANIK </t>
        </r>
      </text>
    </comment>
    <comment ref="J20" authorId="0" shapeId="0" xr:uid="{5CDBCE78-03B4-474D-B1D3-07FBD9043069}">
      <text>
        <r>
          <rPr>
            <b/>
            <sz val="9"/>
            <color indexed="81"/>
            <rFont val="Tahoma"/>
            <family val="2"/>
          </rPr>
          <t>Mery: KUKU BUCKET LEPAS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0" shapeId="0" xr:uid="{0DD9FC27-8E39-4FFB-BE7B-52992C57E520}">
      <text>
        <r>
          <rPr>
            <b/>
            <sz val="9"/>
            <color indexed="81"/>
            <rFont val="Tahoma"/>
            <family val="2"/>
          </rPr>
          <t>Mery: DINAMO START RUSAK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Mery</author>
  </authors>
  <commentList>
    <comment ref="W16" authorId="0" shapeId="0" xr:uid="{5770E78C-41A9-420B-8B58-588B846455B8}">
      <text>
        <r>
          <rPr>
            <b/>
            <sz val="9"/>
            <color indexed="81"/>
            <rFont val="Tahoma"/>
            <family val="2"/>
          </rPr>
          <t>Mery: STB DIPULANGKAN HAULER KURANG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9" authorId="0" shapeId="0" xr:uid="{C90FDD56-0929-4983-B26B-BFB9878ADC85}">
      <text>
        <r>
          <rPr>
            <b/>
            <sz val="9"/>
            <color indexed="81"/>
            <rFont val="Tahoma"/>
            <family val="2"/>
          </rPr>
          <t>Mery: STB DIPULANGKAN HAULER KURANG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1" authorId="0" shapeId="0" xr:uid="{C311FBAC-B891-416A-9414-99DA9C0ABD23}">
      <text>
        <r>
          <rPr>
            <b/>
            <sz val="9"/>
            <color indexed="81"/>
            <rFont val="Tahoma"/>
            <family val="2"/>
          </rPr>
          <t>Mery: STB DIPULANGKAN HAULER KURANG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MCC-01</author>
  </authors>
  <commentList>
    <comment ref="J9" authorId="0" shapeId="0" xr:uid="{88DE635A-F174-45E5-AC96-3D56A11E516D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PENGGANTIAN HIDLER</t>
        </r>
      </text>
    </comment>
    <comment ref="W12" authorId="0" shapeId="0" xr:uid="{11E4EBFA-C2B6-4D43-A664-46C5D57DD0E3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STB TUNGGU SLIPPERY PRIOROTAS DI SELATAN</t>
        </r>
      </text>
    </comment>
    <comment ref="V14" authorId="0" shapeId="0" xr:uid="{DC2B4395-5C3D-4F5F-ADFC-B2CD11D1F032}">
      <text>
        <r>
          <rPr>
            <b/>
            <sz val="9"/>
            <color indexed="81"/>
            <rFont val="Tahoma"/>
            <family val="2"/>
          </rPr>
          <t>MCC-01:</t>
        </r>
        <r>
          <rPr>
            <sz val="9"/>
            <color indexed="81"/>
            <rFont val="Tahoma"/>
            <family val="2"/>
          </rPr>
          <t xml:space="preserve">
BUANG AIR DI FRONT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J8" authorId="0" shapeId="0" xr:uid="{CB664C8E-F923-40C3-8C74-9B1383D52D7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PENGECEKAN RM ADA BAU GOSONG </t>
        </r>
      </text>
    </comment>
    <comment ref="J9" authorId="0" shapeId="0" xr:uid="{D04B1DB4-BC33-4959-A117-BE1AF38DD54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CEK BAUT SWING </t>
        </r>
      </text>
    </comment>
    <comment ref="J12" authorId="0" shapeId="0" xr:uid="{957E91DC-42D1-4D09-B366-9AF11A159B8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SEFTY LINK ANTARA ROLLER MAU LEPAS </t>
        </r>
      </text>
    </comment>
    <comment ref="V14" authorId="0" shapeId="0" xr:uid="{4411EC62-2A76-46FC-99CA-17349A3B99C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BANTU MEKANIK</t>
        </r>
      </text>
    </comment>
  </commentList>
</comments>
</file>

<file path=xl/sharedStrings.xml><?xml version="1.0" encoding="utf-8"?>
<sst xmlns="http://schemas.openxmlformats.org/spreadsheetml/2006/main" count="1915" uniqueCount="69">
  <si>
    <t>LOST TIME EXCAVATOR PIT 55</t>
  </si>
  <si>
    <t>Tanggal :</t>
  </si>
  <si>
    <t>DELAY OPERATION</t>
  </si>
  <si>
    <t>Shift</t>
  </si>
  <si>
    <t>No Unit</t>
  </si>
  <si>
    <t>HM Awal</t>
  </si>
  <si>
    <t>HM Akhir</t>
  </si>
  <si>
    <t>Total HM</t>
  </si>
  <si>
    <t>EWH</t>
  </si>
  <si>
    <t>Prodty</t>
  </si>
  <si>
    <t>PA</t>
  </si>
  <si>
    <t>UA</t>
  </si>
  <si>
    <t>BD</t>
  </si>
  <si>
    <t>Perbaikan Front</t>
  </si>
  <si>
    <t>Pindah Front</t>
  </si>
  <si>
    <t>Stop loading menjelang istirahat</t>
  </si>
  <si>
    <t>Stop loading akhir shift</t>
  </si>
  <si>
    <t>Greasing</t>
  </si>
  <si>
    <t>Travel</t>
  </si>
  <si>
    <t>Oli hydrolik &amp; coolant</t>
  </si>
  <si>
    <t>Blasting</t>
  </si>
  <si>
    <t>Hujan</t>
  </si>
  <si>
    <t>Slippery</t>
  </si>
  <si>
    <t>Pengisian Fuel</t>
  </si>
  <si>
    <t>General</t>
  </si>
  <si>
    <t>STB</t>
  </si>
  <si>
    <t>Perbaikan Jalan</t>
  </si>
  <si>
    <t>Washing</t>
  </si>
  <si>
    <t>Total Loss Time</t>
  </si>
  <si>
    <t>Pagi</t>
  </si>
  <si>
    <t>PC1250-02</t>
  </si>
  <si>
    <t>PC1250-05</t>
  </si>
  <si>
    <t>PC1250-07</t>
  </si>
  <si>
    <t>PC1250-10</t>
  </si>
  <si>
    <t>CAT395-02</t>
  </si>
  <si>
    <t>EC750-02</t>
  </si>
  <si>
    <t>Malam</t>
  </si>
  <si>
    <t>Total</t>
  </si>
  <si>
    <t>Start loading setealh sholat jumat</t>
  </si>
  <si>
    <t>Target Prod</t>
  </si>
  <si>
    <t>Loss Produksi</t>
  </si>
  <si>
    <t>Total kehilangan produksi</t>
  </si>
  <si>
    <t>Unit</t>
  </si>
  <si>
    <t>Jumlah Jam BD</t>
  </si>
  <si>
    <t>Isi Oli Hidrolik &amp; Coolant</t>
  </si>
  <si>
    <t>Jumlah Jam</t>
  </si>
  <si>
    <t>Target Produksi</t>
  </si>
  <si>
    <t>Total Loss Produksi</t>
  </si>
  <si>
    <t>Target</t>
  </si>
  <si>
    <t>Loss Prod</t>
  </si>
  <si>
    <t>LOSS TIME RM</t>
  </si>
  <si>
    <t>LOSS TIME PROD</t>
  </si>
  <si>
    <t>Total loss time RM</t>
  </si>
  <si>
    <t>Total loss time Produksi</t>
  </si>
  <si>
    <t>Start loading setelah sholat jumat</t>
  </si>
  <si>
    <t>BD KARENA RM</t>
  </si>
  <si>
    <t>BD KARENA LOGISTIK</t>
  </si>
  <si>
    <t>Total Loss Prod RM</t>
  </si>
  <si>
    <t>Total Loss Prod Logistik</t>
  </si>
  <si>
    <t>PC1250-06</t>
  </si>
  <si>
    <t>PERIODE DESEMBER 204</t>
  </si>
  <si>
    <t>PERIODE DESEMBER 2024</t>
  </si>
  <si>
    <t>loading kembali setelah sholat jumat</t>
  </si>
  <si>
    <t>setelah sholat jumat</t>
  </si>
  <si>
    <t>LOADING SETELAH SHOLAT JUMAT</t>
  </si>
  <si>
    <t xml:space="preserve">   </t>
  </si>
  <si>
    <t>Loading setelah istirahat</t>
  </si>
  <si>
    <t>LOSS PRODUKSI KARENA BD 1-27 DESEMBER 2024</t>
  </si>
  <si>
    <t>LOSS PRODUKSI KARENA RM &amp; LOGISTIK 1-27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</si>
</sst>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h:mm;@"/>
    <numFmt numFmtId="166" formatCode="_(* #,##0_);_(* \(#,##0\);_(* &quot;-&quot;??_);_(@_)"/>
    <numFmt numFmtId="167" formatCode="\ [h]:mm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43" fontId="4" fillId="4" borderId="3" xfId="1" applyFont="1" applyFill="1" applyBorder="1" applyAlignment="1">
      <alignment vertical="center"/>
    </xf>
    <xf numFmtId="165" fontId="4" fillId="4" borderId="3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43" fontId="4" fillId="4" borderId="4" xfId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43" fontId="4" fillId="4" borderId="5" xfId="1" applyFont="1" applyFill="1" applyBorder="1" applyAlignment="1">
      <alignment vertical="center"/>
    </xf>
    <xf numFmtId="165" fontId="4" fillId="4" borderId="5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3" fontId="2" fillId="5" borderId="0" xfId="1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horizontal="center" vertical="center"/>
    </xf>
    <xf numFmtId="166" fontId="5" fillId="0" borderId="3" xfId="1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3" fontId="2" fillId="0" borderId="5" xfId="1" applyFont="1" applyFill="1" applyBorder="1" applyAlignment="1">
      <alignment horizontal="center" vertical="center"/>
    </xf>
    <xf numFmtId="166" fontId="5" fillId="0" borderId="5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7" fontId="4" fillId="4" borderId="5" xfId="0" applyNumberFormat="1" applyFont="1" applyFill="1" applyBorder="1" applyAlignment="1">
      <alignment vertical="center"/>
    </xf>
    <xf numFmtId="167" fontId="4" fillId="4" borderId="3" xfId="0" applyNumberFormat="1" applyFont="1" applyFill="1" applyBorder="1" applyAlignment="1">
      <alignment vertical="center"/>
    </xf>
    <xf numFmtId="167" fontId="4" fillId="4" borderId="4" xfId="0" applyNumberFormat="1" applyFont="1" applyFill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167" fontId="2" fillId="0" borderId="5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vertical="center"/>
    </xf>
    <xf numFmtId="167" fontId="2" fillId="0" borderId="4" xfId="0" applyNumberFormat="1" applyFont="1" applyBorder="1" applyAlignment="1">
      <alignment vertical="center"/>
    </xf>
    <xf numFmtId="167" fontId="5" fillId="0" borderId="5" xfId="0" applyNumberFormat="1" applyFont="1" applyFill="1" applyBorder="1" applyAlignment="1">
      <alignment horizontal="center" vertical="center"/>
    </xf>
    <xf numFmtId="167" fontId="5" fillId="0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7" fontId="4" fillId="0" borderId="5" xfId="0" applyNumberFormat="1" applyFont="1" applyFill="1" applyBorder="1" applyAlignment="1">
      <alignment vertical="center"/>
    </xf>
    <xf numFmtId="167" fontId="4" fillId="0" borderId="3" xfId="0" applyNumberFormat="1" applyFont="1" applyFill="1" applyBorder="1" applyAlignment="1">
      <alignment vertical="center"/>
    </xf>
    <xf numFmtId="43" fontId="4" fillId="0" borderId="5" xfId="1" applyFont="1" applyFill="1" applyBorder="1" applyAlignment="1">
      <alignment vertical="center"/>
    </xf>
    <xf numFmtId="43" fontId="4" fillId="0" borderId="3" xfId="1" applyFont="1" applyFill="1" applyBorder="1" applyAlignment="1">
      <alignment vertical="center"/>
    </xf>
    <xf numFmtId="167" fontId="4" fillId="0" borderId="6" xfId="0" applyNumberFormat="1" applyFont="1" applyFill="1" applyBorder="1" applyAlignment="1">
      <alignment vertical="center"/>
    </xf>
    <xf numFmtId="43" fontId="4" fillId="0" borderId="6" xfId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2" fillId="0" borderId="0" xfId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3" fontId="4" fillId="6" borderId="3" xfId="1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167" fontId="2" fillId="0" borderId="3" xfId="0" applyNumberFormat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167" fontId="2" fillId="0" borderId="6" xfId="0" applyNumberFormat="1" applyFont="1" applyFill="1" applyBorder="1" applyAlignment="1">
      <alignment vertical="center"/>
    </xf>
    <xf numFmtId="43" fontId="2" fillId="0" borderId="6" xfId="1" applyFont="1" applyBorder="1" applyAlignment="1">
      <alignment vertical="center"/>
    </xf>
    <xf numFmtId="43" fontId="2" fillId="0" borderId="6" xfId="0" applyNumberFormat="1" applyFont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167" fontId="2" fillId="4" borderId="8" xfId="0" applyNumberFormat="1" applyFont="1" applyFill="1" applyBorder="1" applyAlignment="1">
      <alignment vertical="center"/>
    </xf>
    <xf numFmtId="43" fontId="2" fillId="4" borderId="8" xfId="1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43" fontId="4" fillId="4" borderId="8" xfId="1" applyFont="1" applyFill="1" applyBorder="1" applyAlignment="1">
      <alignment vertical="center"/>
    </xf>
    <xf numFmtId="43" fontId="6" fillId="6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43" fontId="4" fillId="0" borderId="0" xfId="1" applyFont="1" applyAlignment="1">
      <alignment horizontal="center" vertical="center"/>
    </xf>
    <xf numFmtId="43" fontId="4" fillId="0" borderId="0" xfId="1" applyFont="1" applyAlignment="1">
      <alignment vertic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vertical="center"/>
    </xf>
    <xf numFmtId="43" fontId="4" fillId="2" borderId="5" xfId="1" applyFont="1" applyFill="1" applyBorder="1" applyAlignment="1">
      <alignment vertical="center"/>
    </xf>
    <xf numFmtId="43" fontId="4" fillId="2" borderId="3" xfId="1" applyFont="1" applyFill="1" applyBorder="1" applyAlignment="1">
      <alignment vertical="center"/>
    </xf>
    <xf numFmtId="166" fontId="2" fillId="0" borderId="3" xfId="1" applyNumberFormat="1" applyFont="1" applyBorder="1" applyAlignment="1">
      <alignment vertical="center"/>
    </xf>
    <xf numFmtId="43" fontId="2" fillId="0" borderId="5" xfId="1" applyFont="1" applyBorder="1" applyAlignment="1">
      <alignment vertical="center"/>
    </xf>
    <xf numFmtId="166" fontId="2" fillId="0" borderId="5" xfId="1" applyNumberFormat="1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6" fontId="2" fillId="0" borderId="6" xfId="1" applyNumberFormat="1" applyFont="1" applyBorder="1" applyAlignment="1">
      <alignment vertical="center"/>
    </xf>
    <xf numFmtId="166" fontId="4" fillId="6" borderId="1" xfId="0" applyNumberFormat="1" applyFont="1" applyFill="1" applyBorder="1" applyAlignment="1">
      <alignment vertical="center"/>
    </xf>
    <xf numFmtId="20" fontId="2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165" fontId="10" fillId="0" borderId="5" xfId="0" applyNumberFormat="1" applyFont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65" fontId="10" fillId="0" borderId="4" xfId="0" applyNumberFormat="1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vertical="center"/>
    </xf>
    <xf numFmtId="43" fontId="11" fillId="4" borderId="5" xfId="1" applyFont="1" applyFill="1" applyBorder="1" applyAlignment="1">
      <alignment vertical="center"/>
    </xf>
    <xf numFmtId="165" fontId="11" fillId="4" borderId="5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vertical="center"/>
    </xf>
    <xf numFmtId="43" fontId="11" fillId="4" borderId="3" xfId="1" applyFont="1" applyFill="1" applyBorder="1" applyAlignment="1">
      <alignment vertical="center"/>
    </xf>
    <xf numFmtId="165" fontId="11" fillId="4" borderId="3" xfId="0" applyNumberFormat="1" applyFont="1" applyFill="1" applyBorder="1" applyAlignment="1">
      <alignment vertical="center"/>
    </xf>
    <xf numFmtId="0" fontId="11" fillId="0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vertical="center"/>
    </xf>
    <xf numFmtId="43" fontId="11" fillId="4" borderId="4" xfId="1" applyFont="1" applyFill="1" applyBorder="1" applyAlignment="1">
      <alignment vertical="center"/>
    </xf>
    <xf numFmtId="165" fontId="11" fillId="4" borderId="4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2" fillId="0" borderId="11" xfId="0" applyNumberFormat="1" applyFont="1" applyBorder="1" applyAlignment="1">
      <alignment vertical="center"/>
    </xf>
    <xf numFmtId="165" fontId="2" fillId="0" borderId="5" xfId="0" applyNumberFormat="1" applyFont="1" applyFill="1" applyBorder="1" applyAlignment="1">
      <alignment vertical="center"/>
    </xf>
    <xf numFmtId="165" fontId="2" fillId="0" borderId="4" xfId="0" applyNumberFormat="1" applyFont="1" applyFill="1" applyBorder="1" applyAlignment="1">
      <alignment vertical="center"/>
    </xf>
    <xf numFmtId="165" fontId="2" fillId="0" borderId="2" xfId="0" applyNumberFormat="1" applyFont="1" applyFill="1" applyBorder="1" applyAlignment="1">
      <alignment vertical="center"/>
    </xf>
    <xf numFmtId="165" fontId="10" fillId="7" borderId="4" xfId="0" applyNumberFormat="1" applyFont="1" applyFill="1" applyBorder="1" applyAlignment="1">
      <alignment vertical="center"/>
    </xf>
    <xf numFmtId="165" fontId="2" fillId="7" borderId="3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3" fontId="6" fillId="6" borderId="1" xfId="0" applyNumberFormat="1" applyFont="1" applyFill="1" applyBorder="1" applyAlignment="1">
      <alignment vertical="center"/>
    </xf>
    <xf numFmtId="43" fontId="6" fillId="3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3:AA28"/>
  <sheetViews>
    <sheetView topLeftCell="A4" zoomScale="115" zoomScaleNormal="115" workbookViewId="0">
      <pane xSplit="2" ySplit="4" topLeftCell="J8" activePane="bottomRight" state="frozen"/>
      <selection activeCell="N25" sqref="N25"/>
      <selection pane="topRight" activeCell="N25" sqref="N25"/>
      <selection pane="bottomLeft" activeCell="N25" sqref="N25"/>
      <selection pane="bottomRight" activeCell="A8" sqref="A8:A14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45627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38</v>
      </c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>
        <v>6.9444444444444441E-3</v>
      </c>
      <c r="O11" s="9"/>
      <c r="P11" s="9"/>
      <c r="Q11" s="9"/>
      <c r="R11" s="9"/>
      <c r="S11" s="9"/>
      <c r="T11" s="9"/>
      <c r="U11" s="9"/>
      <c r="V11" s="9"/>
      <c r="W11" s="9">
        <v>0.32291666666666669</v>
      </c>
      <c r="X11" s="9"/>
      <c r="Y11" s="9"/>
      <c r="Z11" s="9"/>
      <c r="AA11" s="9">
        <f t="shared" si="0"/>
        <v>0.3298611111111111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0.18611111111111112</v>
      </c>
      <c r="K13" s="9">
        <v>6.2499999999999995E-3</v>
      </c>
      <c r="L13" s="9"/>
      <c r="M13" s="9">
        <v>2.7777777777777779E-3</v>
      </c>
      <c r="N13" s="9"/>
      <c r="O13" s="9"/>
      <c r="P13" s="9"/>
      <c r="Q13" s="9"/>
      <c r="R13" s="9"/>
      <c r="S13" s="9"/>
      <c r="T13" s="9">
        <v>5.2083333333333336E-2</v>
      </c>
      <c r="U13" s="9"/>
      <c r="V13" s="9"/>
      <c r="W13" s="9"/>
      <c r="X13" s="9"/>
      <c r="Y13" s="9"/>
      <c r="Z13" s="9"/>
      <c r="AA13" s="9">
        <f t="shared" si="0"/>
        <v>0.24722222222222223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6.5277777777777782E-2</v>
      </c>
      <c r="K16" s="9"/>
      <c r="L16" s="9"/>
      <c r="M16" s="9">
        <v>3.472222222222222E-3</v>
      </c>
      <c r="N16" s="9">
        <v>6.2499999999999995E-3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7.5000000000000011E-2</v>
      </c>
    </row>
    <row r="17" spans="1:2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4.1666666666666666E-3</v>
      </c>
      <c r="L18" s="9"/>
      <c r="M18" s="9">
        <v>6.9444444444444441E-3</v>
      </c>
      <c r="N18" s="9">
        <v>6.9444444444444441E-3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1.8055555555555554E-2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0.14861111111111111</v>
      </c>
      <c r="K19" s="9">
        <v>1.1111111111111112E-2</v>
      </c>
      <c r="L19" s="9"/>
      <c r="M19" s="9">
        <v>1.3888888888888889E-3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0.16111111111111109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>
        <v>6.9444444444444441E-3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1.3888888888888888E-2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7.6388888888888886E-3</v>
      </c>
      <c r="L21" s="23"/>
      <c r="M21" s="23">
        <v>6.9444444444444441E-3</v>
      </c>
      <c r="N21" s="23">
        <v>6.9444444444444441E-3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2.1527777777777778E-2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">E8+E15</f>
        <v>0</v>
      </c>
      <c r="F22" s="26">
        <f t="shared" si="1"/>
        <v>0</v>
      </c>
      <c r="G22" s="25"/>
      <c r="H22" s="25"/>
      <c r="I22" s="25"/>
      <c r="J22" s="27">
        <f t="shared" ref="J22:L22" si="2">J8+J15</f>
        <v>0</v>
      </c>
      <c r="K22" s="27">
        <f t="shared" si="2"/>
        <v>0</v>
      </c>
      <c r="L22" s="27">
        <f t="shared" si="2"/>
        <v>0</v>
      </c>
      <c r="M22" s="27">
        <f>M8+M15</f>
        <v>0</v>
      </c>
      <c r="N22" s="27">
        <f t="shared" ref="N22:Z22" si="3">N8+N15</f>
        <v>0</v>
      </c>
      <c r="O22" s="27">
        <f t="shared" si="3"/>
        <v>0</v>
      </c>
      <c r="P22" s="27">
        <f t="shared" si="3"/>
        <v>0</v>
      </c>
      <c r="Q22" s="27">
        <f t="shared" si="3"/>
        <v>0</v>
      </c>
      <c r="R22" s="27">
        <f t="shared" si="3"/>
        <v>0</v>
      </c>
      <c r="S22" s="27">
        <f t="shared" si="3"/>
        <v>0</v>
      </c>
      <c r="T22" s="27">
        <f t="shared" si="3"/>
        <v>0</v>
      </c>
      <c r="U22" s="27">
        <f t="shared" si="3"/>
        <v>0</v>
      </c>
      <c r="V22" s="27">
        <f t="shared" si="3"/>
        <v>0</v>
      </c>
      <c r="W22" s="27">
        <f t="shared" si="3"/>
        <v>0</v>
      </c>
      <c r="X22" s="27">
        <f t="shared" si="3"/>
        <v>0</v>
      </c>
      <c r="Y22" s="27">
        <f t="shared" si="3"/>
        <v>0</v>
      </c>
      <c r="Z22" s="27">
        <f t="shared" si="3"/>
        <v>0</v>
      </c>
      <c r="AA22" s="27">
        <f>SUM(J22:Z22)</f>
        <v>0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1"/>
        <v>0</v>
      </c>
      <c r="F23" s="12">
        <f t="shared" si="1"/>
        <v>0</v>
      </c>
      <c r="G23" s="11"/>
      <c r="H23" s="11"/>
      <c r="I23" s="11"/>
      <c r="J23" s="13">
        <f t="shared" ref="J23:L23" si="4">J9+J16</f>
        <v>6.5277777777777782E-2</v>
      </c>
      <c r="K23" s="13">
        <f t="shared" si="4"/>
        <v>0</v>
      </c>
      <c r="L23" s="13">
        <f t="shared" si="4"/>
        <v>0</v>
      </c>
      <c r="M23" s="13">
        <f>M9+M16</f>
        <v>3.472222222222222E-3</v>
      </c>
      <c r="N23" s="13">
        <f t="shared" ref="N23:Z23" si="5">N9+N16</f>
        <v>6.2499999999999995E-3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:AA28" si="6">SUM(J23:Z23)</f>
        <v>7.5000000000000011E-2</v>
      </c>
    </row>
    <row r="24" spans="1:27" s="5" customFormat="1" x14ac:dyDescent="0.25">
      <c r="A24" s="168"/>
      <c r="B24" s="113" t="s">
        <v>59</v>
      </c>
      <c r="C24" s="11"/>
      <c r="D24" s="11"/>
      <c r="E24" s="12">
        <f t="shared" si="1"/>
        <v>0</v>
      </c>
      <c r="F24" s="12">
        <f t="shared" si="1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6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1"/>
        <v>0</v>
      </c>
      <c r="F25" s="12">
        <f t="shared" si="1"/>
        <v>0</v>
      </c>
      <c r="G25" s="11"/>
      <c r="H25" s="11"/>
      <c r="I25" s="11"/>
      <c r="J25" s="13">
        <f t="shared" ref="J25:Z25" si="9">J11+J18</f>
        <v>0</v>
      </c>
      <c r="K25" s="13">
        <f t="shared" si="9"/>
        <v>4.1666666666666666E-3</v>
      </c>
      <c r="L25" s="13">
        <f t="shared" si="9"/>
        <v>0</v>
      </c>
      <c r="M25" s="13">
        <f t="shared" si="9"/>
        <v>6.9444444444444441E-3</v>
      </c>
      <c r="N25" s="13">
        <f t="shared" si="9"/>
        <v>1.3888888888888888E-2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0.32291666666666669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0.34791666666666671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1"/>
        <v>0</v>
      </c>
      <c r="F26" s="12">
        <f t="shared" si="1"/>
        <v>0</v>
      </c>
      <c r="G26" s="11"/>
      <c r="H26" s="11"/>
      <c r="I26" s="11"/>
      <c r="J26" s="13">
        <f t="shared" ref="J26:Z26" si="10">J12+J19</f>
        <v>0.14861111111111111</v>
      </c>
      <c r="K26" s="13">
        <f t="shared" si="10"/>
        <v>1.1111111111111112E-2</v>
      </c>
      <c r="L26" s="13">
        <f t="shared" si="10"/>
        <v>0</v>
      </c>
      <c r="M26" s="13">
        <f t="shared" si="10"/>
        <v>1.3888888888888889E-3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0.16111111111111109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1"/>
        <v>0</v>
      </c>
      <c r="F27" s="12">
        <f t="shared" si="1"/>
        <v>0</v>
      </c>
      <c r="G27" s="11"/>
      <c r="H27" s="11"/>
      <c r="I27" s="11"/>
      <c r="J27" s="13">
        <f t="shared" ref="J27:L27" si="11">J13+J20</f>
        <v>0.18611111111111112</v>
      </c>
      <c r="K27" s="13">
        <f t="shared" si="11"/>
        <v>6.2499999999999995E-3</v>
      </c>
      <c r="L27" s="13">
        <f t="shared" si="11"/>
        <v>0</v>
      </c>
      <c r="M27" s="13">
        <f t="shared" ref="M27:Z27" si="12">M13+M20</f>
        <v>9.7222222222222224E-3</v>
      </c>
      <c r="N27" s="13">
        <f t="shared" si="12"/>
        <v>6.9444444444444441E-3</v>
      </c>
      <c r="O27" s="13">
        <f t="shared" si="12"/>
        <v>0</v>
      </c>
      <c r="P27" s="13">
        <f t="shared" si="12"/>
        <v>0</v>
      </c>
      <c r="Q27" s="13">
        <f t="shared" si="12"/>
        <v>0</v>
      </c>
      <c r="R27" s="13">
        <f t="shared" si="12"/>
        <v>0</v>
      </c>
      <c r="S27" s="13">
        <f t="shared" si="12"/>
        <v>0</v>
      </c>
      <c r="T27" s="13">
        <f t="shared" si="12"/>
        <v>5.2083333333333336E-2</v>
      </c>
      <c r="U27" s="13">
        <f t="shared" si="12"/>
        <v>0</v>
      </c>
      <c r="V27" s="13">
        <f t="shared" si="12"/>
        <v>0</v>
      </c>
      <c r="W27" s="13">
        <f t="shared" si="12"/>
        <v>0</v>
      </c>
      <c r="X27" s="13">
        <f t="shared" si="12"/>
        <v>0</v>
      </c>
      <c r="Y27" s="13">
        <f t="shared" si="12"/>
        <v>0</v>
      </c>
      <c r="Z27" s="13">
        <f t="shared" si="12"/>
        <v>0</v>
      </c>
      <c r="AA27" s="13">
        <f t="shared" si="6"/>
        <v>0.26111111111111113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1"/>
        <v>0</v>
      </c>
      <c r="F28" s="16">
        <f t="shared" si="1"/>
        <v>0</v>
      </c>
      <c r="G28" s="15"/>
      <c r="H28" s="15"/>
      <c r="I28" s="15"/>
      <c r="J28" s="17">
        <f t="shared" ref="J28:L28" si="13">J14+J21</f>
        <v>0</v>
      </c>
      <c r="K28" s="17">
        <f t="shared" si="13"/>
        <v>7.6388888888888886E-3</v>
      </c>
      <c r="L28" s="17">
        <f t="shared" si="13"/>
        <v>0</v>
      </c>
      <c r="M28" s="17">
        <f t="shared" ref="M28:Z28" si="14">M14+M21</f>
        <v>6.9444444444444441E-3</v>
      </c>
      <c r="N28" s="17">
        <f t="shared" si="14"/>
        <v>6.9444444444444441E-3</v>
      </c>
      <c r="O28" s="17">
        <f t="shared" si="14"/>
        <v>0</v>
      </c>
      <c r="P28" s="17">
        <f t="shared" si="14"/>
        <v>0</v>
      </c>
      <c r="Q28" s="17">
        <f t="shared" si="14"/>
        <v>0</v>
      </c>
      <c r="R28" s="17">
        <f t="shared" si="14"/>
        <v>0</v>
      </c>
      <c r="S28" s="17">
        <f t="shared" si="14"/>
        <v>0</v>
      </c>
      <c r="T28" s="17">
        <f t="shared" si="14"/>
        <v>0</v>
      </c>
      <c r="U28" s="17">
        <f t="shared" si="14"/>
        <v>0</v>
      </c>
      <c r="V28" s="17">
        <f t="shared" si="14"/>
        <v>0</v>
      </c>
      <c r="W28" s="17">
        <f t="shared" si="14"/>
        <v>0</v>
      </c>
      <c r="X28" s="17">
        <f t="shared" si="14"/>
        <v>0</v>
      </c>
      <c r="Y28" s="17">
        <f t="shared" si="14"/>
        <v>0</v>
      </c>
      <c r="Z28" s="17">
        <f t="shared" si="14"/>
        <v>0</v>
      </c>
      <c r="AA28" s="17">
        <f t="shared" si="6"/>
        <v>2.1527777777777778E-2</v>
      </c>
    </row>
  </sheetData>
  <mergeCells count="13">
    <mergeCell ref="J6:Z6"/>
    <mergeCell ref="A15:A21"/>
    <mergeCell ref="A8:A14"/>
    <mergeCell ref="A22:A28"/>
    <mergeCell ref="B6:B7"/>
    <mergeCell ref="A6:A7"/>
    <mergeCell ref="E6:E7"/>
    <mergeCell ref="D6:D7"/>
    <mergeCell ref="C6:C7"/>
    <mergeCell ref="I6:I7"/>
    <mergeCell ref="H6:H7"/>
    <mergeCell ref="G6:G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3:AA28"/>
  <sheetViews>
    <sheetView topLeftCell="A4" zoomScale="115" zoomScaleNormal="115" workbookViewId="0">
      <pane xSplit="2" ySplit="4" topLeftCell="N8" activePane="bottomRight" state="frozen"/>
      <selection activeCell="A5" sqref="A5:A6"/>
      <selection pane="topRight" activeCell="A5" sqref="A5:A6"/>
      <selection pane="bottomLeft" activeCell="A5" sqref="A5:A6"/>
      <selection pane="bottomRight" activeCell="N15" sqref="N15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f>'01'!B5+1</f>
        <v>45628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38</v>
      </c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0.41666666666666669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0.41666666666666669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5.2083333333333336E-2</v>
      </c>
      <c r="K9" s="9">
        <v>3.472222222222222E-3</v>
      </c>
      <c r="L9" s="9"/>
      <c r="M9" s="9">
        <v>6.9444444444444441E-3</v>
      </c>
      <c r="N9" s="9"/>
      <c r="O9" s="9"/>
      <c r="P9" s="9"/>
      <c r="Q9" s="9"/>
      <c r="R9" s="9">
        <v>1.7361111111111112E-2</v>
      </c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7.9861111111111105E-2</v>
      </c>
    </row>
    <row r="10" spans="1:2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6.2499999999999995E-3</v>
      </c>
      <c r="N11" s="9">
        <v>1.0416666666666666E-2</v>
      </c>
      <c r="O11" s="9"/>
      <c r="P11" s="9"/>
      <c r="Q11" s="9"/>
      <c r="R11" s="9">
        <v>1.3888888888888888E-2</v>
      </c>
      <c r="S11" s="9"/>
      <c r="T11" s="9"/>
      <c r="U11" s="9"/>
      <c r="V11" s="9"/>
      <c r="W11" s="9"/>
      <c r="X11" s="9"/>
      <c r="Y11" s="9"/>
      <c r="Z11" s="9"/>
      <c r="AA11" s="9">
        <f t="shared" si="0"/>
        <v>3.0555555555555555E-2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0.41666666666666669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0.41666666666666669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3.0555555555555555E-2</v>
      </c>
      <c r="K13" s="9">
        <v>2.7777777777777779E-3</v>
      </c>
      <c r="L13" s="9"/>
      <c r="M13" s="9">
        <v>6.9444444444444441E-3</v>
      </c>
      <c r="N13" s="9">
        <v>4.1666666666666666E-3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4.4444444444444439E-2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5.5555555555555558E-3</v>
      </c>
      <c r="L14" s="23"/>
      <c r="M14" s="23">
        <v>3.472222222222222E-3</v>
      </c>
      <c r="N14" s="23"/>
      <c r="O14" s="23"/>
      <c r="P14" s="23"/>
      <c r="Q14" s="23"/>
      <c r="R14" s="23"/>
      <c r="S14" s="23"/>
      <c r="T14" s="23"/>
      <c r="U14" s="23"/>
      <c r="V14" s="23">
        <v>9.2361111111111116E-2</v>
      </c>
      <c r="W14" s="23">
        <v>1.5277777777777777E-2</v>
      </c>
      <c r="X14" s="23"/>
      <c r="Y14" s="23"/>
      <c r="Z14" s="23"/>
      <c r="AA14" s="9">
        <f t="shared" si="0"/>
        <v>0.11666666666666667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0.34375</v>
      </c>
      <c r="K15" s="30"/>
      <c r="L15" s="30"/>
      <c r="M15" s="30"/>
      <c r="N15" s="30"/>
      <c r="O15" s="30"/>
      <c r="P15" s="30"/>
      <c r="Q15" s="30"/>
      <c r="R15" s="30"/>
      <c r="S15" s="30">
        <v>5.2083333333333336E-2</v>
      </c>
      <c r="T15" s="30"/>
      <c r="U15" s="30"/>
      <c r="V15" s="30"/>
      <c r="W15" s="30"/>
      <c r="X15" s="30"/>
      <c r="Y15" s="30"/>
      <c r="Z15" s="30"/>
      <c r="AA15" s="9">
        <f t="shared" si="0"/>
        <v>0.39583333333333331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30">
        <v>0.34375</v>
      </c>
      <c r="K16" s="9"/>
      <c r="L16" s="9"/>
      <c r="M16" s="9"/>
      <c r="N16" s="9"/>
      <c r="O16" s="9"/>
      <c r="P16" s="9"/>
      <c r="Q16" s="9"/>
      <c r="R16" s="9"/>
      <c r="S16" s="9">
        <v>5.2083333333333336E-2</v>
      </c>
      <c r="T16" s="9"/>
      <c r="U16" s="9"/>
      <c r="V16" s="9"/>
      <c r="W16" s="9"/>
      <c r="X16" s="9"/>
      <c r="Y16" s="9"/>
      <c r="Z16" s="9"/>
      <c r="AA16" s="9">
        <f t="shared" si="0"/>
        <v>0.39583333333333331</v>
      </c>
    </row>
    <row r="17" spans="1:2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1.2499999999999999E-2</v>
      </c>
      <c r="L18" s="9"/>
      <c r="M18" s="9">
        <v>6.9444444444444441E-3</v>
      </c>
      <c r="N18" s="9"/>
      <c r="O18" s="9"/>
      <c r="P18" s="9"/>
      <c r="Q18" s="9"/>
      <c r="R18" s="9"/>
      <c r="S18" s="9">
        <v>5.2083333333333336E-2</v>
      </c>
      <c r="T18" s="9"/>
      <c r="U18" s="9"/>
      <c r="V18" s="9"/>
      <c r="W18" s="9"/>
      <c r="X18" s="9"/>
      <c r="Y18" s="9"/>
      <c r="Z18" s="9"/>
      <c r="AA18" s="9">
        <f t="shared" si="0"/>
        <v>7.1527777777777773E-2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0.19930555555555554</v>
      </c>
      <c r="K19" s="9"/>
      <c r="L19" s="9"/>
      <c r="M19" s="9"/>
      <c r="N19" s="9"/>
      <c r="O19" s="9"/>
      <c r="P19" s="9"/>
      <c r="Q19" s="9"/>
      <c r="R19" s="9"/>
      <c r="S19" s="9">
        <v>5.2083333333333336E-2</v>
      </c>
      <c r="T19" s="9"/>
      <c r="U19" s="9"/>
      <c r="V19" s="9"/>
      <c r="W19" s="9"/>
      <c r="X19" s="9"/>
      <c r="Y19" s="9"/>
      <c r="Z19" s="9"/>
      <c r="AA19" s="9">
        <f t="shared" si="0"/>
        <v>0.25138888888888888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>
        <v>6.0416666666666667E-2</v>
      </c>
      <c r="K20" s="9"/>
      <c r="L20" s="9"/>
      <c r="M20" s="9">
        <v>2.0833333333333333E-3</v>
      </c>
      <c r="N20" s="9"/>
      <c r="O20" s="9"/>
      <c r="P20" s="9"/>
      <c r="Q20" s="9"/>
      <c r="R20" s="9"/>
      <c r="S20" s="9">
        <v>5.2083333333333336E-2</v>
      </c>
      <c r="T20" s="9"/>
      <c r="U20" s="9"/>
      <c r="V20" s="9"/>
      <c r="W20" s="9"/>
      <c r="X20" s="9"/>
      <c r="Y20" s="9"/>
      <c r="Z20" s="9"/>
      <c r="AA20" s="9">
        <f t="shared" si="0"/>
        <v>0.11458333333333334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2.7777777777777779E-3</v>
      </c>
      <c r="L21" s="23"/>
      <c r="M21" s="23">
        <v>6.9444444444444447E-4</v>
      </c>
      <c r="N21" s="23"/>
      <c r="O21" s="23"/>
      <c r="P21" s="23"/>
      <c r="Q21" s="23"/>
      <c r="R21" s="23"/>
      <c r="S21" s="9">
        <v>5.2083333333333336E-2</v>
      </c>
      <c r="T21" s="23"/>
      <c r="U21" s="23"/>
      <c r="V21" s="23"/>
      <c r="W21" s="23"/>
      <c r="X21" s="23"/>
      <c r="Y21" s="23"/>
      <c r="Z21" s="23"/>
      <c r="AA21" s="23">
        <f t="shared" si="0"/>
        <v>5.5555555555555559E-2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">E8+E15</f>
        <v>0</v>
      </c>
      <c r="F22" s="26">
        <f t="shared" si="1"/>
        <v>0</v>
      </c>
      <c r="G22" s="25"/>
      <c r="H22" s="25"/>
      <c r="I22" s="25"/>
      <c r="J22" s="27">
        <f t="shared" ref="J22:Z22" si="2">J8+J15</f>
        <v>0.76041666666666674</v>
      </c>
      <c r="K22" s="27">
        <f t="shared" si="2"/>
        <v>0</v>
      </c>
      <c r="L22" s="27">
        <f t="shared" si="2"/>
        <v>0</v>
      </c>
      <c r="M22" s="27">
        <f t="shared" si="2"/>
        <v>0</v>
      </c>
      <c r="N22" s="27">
        <f t="shared" si="2"/>
        <v>0</v>
      </c>
      <c r="O22" s="27">
        <f t="shared" si="2"/>
        <v>0</v>
      </c>
      <c r="P22" s="27">
        <f t="shared" si="2"/>
        <v>0</v>
      </c>
      <c r="Q22" s="27">
        <f t="shared" si="2"/>
        <v>0</v>
      </c>
      <c r="R22" s="27">
        <f t="shared" si="2"/>
        <v>0</v>
      </c>
      <c r="S22" s="27">
        <f t="shared" si="2"/>
        <v>5.2083333333333336E-2</v>
      </c>
      <c r="T22" s="27">
        <f t="shared" si="2"/>
        <v>0</v>
      </c>
      <c r="U22" s="27">
        <f t="shared" si="2"/>
        <v>0</v>
      </c>
      <c r="V22" s="27">
        <f t="shared" si="2"/>
        <v>0</v>
      </c>
      <c r="W22" s="27">
        <f t="shared" si="2"/>
        <v>0</v>
      </c>
      <c r="X22" s="27">
        <f t="shared" si="2"/>
        <v>0</v>
      </c>
      <c r="Y22" s="27">
        <f t="shared" si="2"/>
        <v>0</v>
      </c>
      <c r="Z22" s="27">
        <f t="shared" si="2"/>
        <v>0</v>
      </c>
      <c r="AA22" s="27">
        <f>SUM(J22:Z22)</f>
        <v>0.81250000000000011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1"/>
        <v>0</v>
      </c>
      <c r="F23" s="12">
        <f t="shared" si="1"/>
        <v>0</v>
      </c>
      <c r="G23" s="11"/>
      <c r="H23" s="11"/>
      <c r="I23" s="11"/>
      <c r="J23" s="13">
        <f t="shared" ref="J23:Z23" si="3">J9+J16</f>
        <v>0.39583333333333331</v>
      </c>
      <c r="K23" s="13">
        <f t="shared" si="3"/>
        <v>3.472222222222222E-3</v>
      </c>
      <c r="L23" s="13">
        <f t="shared" si="3"/>
        <v>0</v>
      </c>
      <c r="M23" s="13">
        <f t="shared" si="3"/>
        <v>6.9444444444444441E-3</v>
      </c>
      <c r="N23" s="13">
        <f t="shared" si="3"/>
        <v>0</v>
      </c>
      <c r="O23" s="13">
        <f t="shared" si="3"/>
        <v>0</v>
      </c>
      <c r="P23" s="13">
        <f t="shared" si="3"/>
        <v>0</v>
      </c>
      <c r="Q23" s="13">
        <f t="shared" si="3"/>
        <v>0</v>
      </c>
      <c r="R23" s="13">
        <f t="shared" si="3"/>
        <v>1.7361111111111112E-2</v>
      </c>
      <c r="S23" s="13">
        <f t="shared" si="3"/>
        <v>5.2083333333333336E-2</v>
      </c>
      <c r="T23" s="13">
        <f t="shared" si="3"/>
        <v>0</v>
      </c>
      <c r="U23" s="13">
        <f t="shared" si="3"/>
        <v>0</v>
      </c>
      <c r="V23" s="13">
        <f t="shared" si="3"/>
        <v>0</v>
      </c>
      <c r="W23" s="13">
        <f t="shared" si="3"/>
        <v>0</v>
      </c>
      <c r="X23" s="13">
        <f t="shared" si="3"/>
        <v>0</v>
      </c>
      <c r="Y23" s="13">
        <f t="shared" si="3"/>
        <v>0</v>
      </c>
      <c r="Z23" s="13">
        <f t="shared" si="3"/>
        <v>0</v>
      </c>
      <c r="AA23" s="13">
        <f t="shared" ref="AA23:AA28" si="4">SUM(J23:Z23)</f>
        <v>0.47569444444444436</v>
      </c>
    </row>
    <row r="24" spans="1:27" s="5" customFormat="1" x14ac:dyDescent="0.25">
      <c r="A24" s="168"/>
      <c r="B24" s="113" t="s">
        <v>59</v>
      </c>
      <c r="C24" s="11"/>
      <c r="D24" s="11"/>
      <c r="E24" s="12">
        <f t="shared" si="1"/>
        <v>0</v>
      </c>
      <c r="F24" s="12">
        <f t="shared" si="1"/>
        <v>0</v>
      </c>
      <c r="G24" s="11"/>
      <c r="H24" s="11"/>
      <c r="I24" s="11"/>
      <c r="J24" s="13">
        <f t="shared" ref="J24:Z24" si="5">J10+J17</f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ref="AA24:AA26" si="6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1"/>
        <v>0</v>
      </c>
      <c r="F25" s="12">
        <f t="shared" si="1"/>
        <v>0</v>
      </c>
      <c r="G25" s="11"/>
      <c r="H25" s="11"/>
      <c r="I25" s="11"/>
      <c r="J25" s="13">
        <f t="shared" ref="J25:Z25" si="7">J11+J18</f>
        <v>0</v>
      </c>
      <c r="K25" s="13">
        <f t="shared" si="7"/>
        <v>1.2499999999999999E-2</v>
      </c>
      <c r="L25" s="13">
        <f t="shared" si="7"/>
        <v>0</v>
      </c>
      <c r="M25" s="13">
        <f t="shared" si="7"/>
        <v>1.3194444444444443E-2</v>
      </c>
      <c r="N25" s="13">
        <f t="shared" si="7"/>
        <v>1.0416666666666666E-2</v>
      </c>
      <c r="O25" s="13">
        <f t="shared" si="7"/>
        <v>0</v>
      </c>
      <c r="P25" s="13">
        <f t="shared" si="7"/>
        <v>0</v>
      </c>
      <c r="Q25" s="13">
        <f t="shared" si="7"/>
        <v>0</v>
      </c>
      <c r="R25" s="13">
        <f t="shared" si="7"/>
        <v>1.3888888888888888E-2</v>
      </c>
      <c r="S25" s="13">
        <f t="shared" si="7"/>
        <v>5.2083333333333336E-2</v>
      </c>
      <c r="T25" s="13">
        <f t="shared" si="7"/>
        <v>0</v>
      </c>
      <c r="U25" s="13">
        <f t="shared" si="7"/>
        <v>0</v>
      </c>
      <c r="V25" s="13">
        <f t="shared" si="7"/>
        <v>0</v>
      </c>
      <c r="W25" s="13">
        <f t="shared" si="7"/>
        <v>0</v>
      </c>
      <c r="X25" s="13">
        <f t="shared" si="7"/>
        <v>0</v>
      </c>
      <c r="Y25" s="13">
        <f t="shared" si="7"/>
        <v>0</v>
      </c>
      <c r="Z25" s="13">
        <f t="shared" si="7"/>
        <v>0</v>
      </c>
      <c r="AA25" s="13">
        <f t="shared" si="6"/>
        <v>0.10208333333333333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1"/>
        <v>0</v>
      </c>
      <c r="F26" s="12">
        <f t="shared" si="1"/>
        <v>0</v>
      </c>
      <c r="G26" s="11"/>
      <c r="H26" s="11"/>
      <c r="I26" s="11"/>
      <c r="J26" s="13">
        <f t="shared" ref="J26:Z26" si="8">J12+J19</f>
        <v>0.61597222222222225</v>
      </c>
      <c r="K26" s="13">
        <f t="shared" si="8"/>
        <v>0</v>
      </c>
      <c r="L26" s="13">
        <f t="shared" si="8"/>
        <v>0</v>
      </c>
      <c r="M26" s="13">
        <f t="shared" si="8"/>
        <v>0</v>
      </c>
      <c r="N26" s="13">
        <f t="shared" si="8"/>
        <v>0</v>
      </c>
      <c r="O26" s="13">
        <f t="shared" si="8"/>
        <v>0</v>
      </c>
      <c r="P26" s="13">
        <f t="shared" si="8"/>
        <v>0</v>
      </c>
      <c r="Q26" s="13">
        <f t="shared" si="8"/>
        <v>0</v>
      </c>
      <c r="R26" s="13">
        <f t="shared" si="8"/>
        <v>0</v>
      </c>
      <c r="S26" s="13">
        <f t="shared" si="8"/>
        <v>5.2083333333333336E-2</v>
      </c>
      <c r="T26" s="13">
        <f t="shared" si="8"/>
        <v>0</v>
      </c>
      <c r="U26" s="13">
        <f t="shared" si="8"/>
        <v>0</v>
      </c>
      <c r="V26" s="13">
        <f t="shared" si="8"/>
        <v>0</v>
      </c>
      <c r="W26" s="13">
        <f t="shared" si="8"/>
        <v>0</v>
      </c>
      <c r="X26" s="13">
        <f t="shared" si="8"/>
        <v>0</v>
      </c>
      <c r="Y26" s="13">
        <f t="shared" si="8"/>
        <v>0</v>
      </c>
      <c r="Z26" s="13">
        <f t="shared" si="8"/>
        <v>0</v>
      </c>
      <c r="AA26" s="13">
        <f t="shared" si="6"/>
        <v>0.66805555555555562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1"/>
        <v>0</v>
      </c>
      <c r="F27" s="12">
        <f t="shared" si="1"/>
        <v>0</v>
      </c>
      <c r="G27" s="11"/>
      <c r="H27" s="11"/>
      <c r="I27" s="11"/>
      <c r="J27" s="13">
        <f t="shared" ref="J27:Z27" si="9">J13+J20</f>
        <v>9.0972222222222218E-2</v>
      </c>
      <c r="K27" s="13">
        <f t="shared" si="9"/>
        <v>2.7777777777777779E-3</v>
      </c>
      <c r="L27" s="13">
        <f t="shared" si="9"/>
        <v>0</v>
      </c>
      <c r="M27" s="13">
        <f t="shared" si="9"/>
        <v>9.0277777777777769E-3</v>
      </c>
      <c r="N27" s="13">
        <f t="shared" si="9"/>
        <v>4.1666666666666666E-3</v>
      </c>
      <c r="O27" s="13">
        <f t="shared" si="9"/>
        <v>0</v>
      </c>
      <c r="P27" s="13">
        <f t="shared" si="9"/>
        <v>0</v>
      </c>
      <c r="Q27" s="13">
        <f t="shared" si="9"/>
        <v>0</v>
      </c>
      <c r="R27" s="13">
        <f t="shared" si="9"/>
        <v>0</v>
      </c>
      <c r="S27" s="13">
        <f t="shared" si="9"/>
        <v>5.2083333333333336E-2</v>
      </c>
      <c r="T27" s="13">
        <f t="shared" si="9"/>
        <v>0</v>
      </c>
      <c r="U27" s="13">
        <f t="shared" si="9"/>
        <v>0</v>
      </c>
      <c r="V27" s="13">
        <f t="shared" si="9"/>
        <v>0</v>
      </c>
      <c r="W27" s="13">
        <f t="shared" si="9"/>
        <v>0</v>
      </c>
      <c r="X27" s="13">
        <f t="shared" si="9"/>
        <v>0</v>
      </c>
      <c r="Y27" s="13">
        <f t="shared" si="9"/>
        <v>0</v>
      </c>
      <c r="Z27" s="13">
        <f t="shared" si="9"/>
        <v>0</v>
      </c>
      <c r="AA27" s="13">
        <f t="shared" si="4"/>
        <v>0.15902777777777777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1"/>
        <v>0</v>
      </c>
      <c r="F28" s="16">
        <f t="shared" si="1"/>
        <v>0</v>
      </c>
      <c r="G28" s="15"/>
      <c r="H28" s="15"/>
      <c r="I28" s="15"/>
      <c r="J28" s="17">
        <f t="shared" ref="J28:Z28" si="10">J14+J21</f>
        <v>0</v>
      </c>
      <c r="K28" s="17">
        <f t="shared" si="10"/>
        <v>8.3333333333333332E-3</v>
      </c>
      <c r="L28" s="17">
        <f t="shared" si="10"/>
        <v>0</v>
      </c>
      <c r="M28" s="17">
        <f t="shared" si="10"/>
        <v>4.1666666666666666E-3</v>
      </c>
      <c r="N28" s="17">
        <f t="shared" si="10"/>
        <v>0</v>
      </c>
      <c r="O28" s="17">
        <f t="shared" si="10"/>
        <v>0</v>
      </c>
      <c r="P28" s="17">
        <f t="shared" si="10"/>
        <v>0</v>
      </c>
      <c r="Q28" s="17">
        <f t="shared" si="10"/>
        <v>0</v>
      </c>
      <c r="R28" s="17">
        <f t="shared" si="10"/>
        <v>0</v>
      </c>
      <c r="S28" s="17">
        <f t="shared" si="10"/>
        <v>5.2083333333333336E-2</v>
      </c>
      <c r="T28" s="17">
        <f t="shared" si="10"/>
        <v>0</v>
      </c>
      <c r="U28" s="17">
        <f t="shared" si="10"/>
        <v>0</v>
      </c>
      <c r="V28" s="17">
        <f t="shared" si="10"/>
        <v>9.2361111111111116E-2</v>
      </c>
      <c r="W28" s="17">
        <f t="shared" si="10"/>
        <v>1.5277777777777777E-2</v>
      </c>
      <c r="X28" s="17">
        <f t="shared" si="10"/>
        <v>0</v>
      </c>
      <c r="Y28" s="17">
        <f t="shared" si="10"/>
        <v>0</v>
      </c>
      <c r="Z28" s="17">
        <f t="shared" si="10"/>
        <v>0</v>
      </c>
      <c r="AA28" s="17">
        <f t="shared" si="4"/>
        <v>0.17222222222222222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3:AK28"/>
  <sheetViews>
    <sheetView topLeftCell="A4" zoomScale="115" zoomScaleNormal="115" workbookViewId="0">
      <pane xSplit="2" ySplit="4" topLeftCell="J14" activePane="bottomRight" state="frozen"/>
      <selection activeCell="A5" sqref="A5:A6"/>
      <selection pane="topRight" activeCell="A5" sqref="A5:A6"/>
      <selection pane="bottomLeft" activeCell="A5" sqref="A5:A6"/>
      <selection pane="bottomRight" activeCell="O13" sqref="O13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15" width="9.140625" style="1"/>
    <col min="16" max="16" width="0" style="1" hidden="1" customWidth="1"/>
    <col min="17" max="22" width="9.140625" style="1"/>
    <col min="23" max="23" width="9.140625" style="1" customWidth="1"/>
    <col min="24" max="24" width="10" style="1" customWidth="1"/>
    <col min="25" max="26" width="9.140625" style="1" customWidth="1"/>
    <col min="27" max="28" width="9.140625" style="1"/>
    <col min="29" max="29" width="9.140625" style="66"/>
    <col min="30" max="30" width="9.140625" style="1"/>
    <col min="31" max="32" width="9.140625" style="88"/>
    <col min="33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f>'02'!B5+1</f>
        <v>45629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  <c r="AC6" s="86"/>
      <c r="AE6" s="89"/>
      <c r="AF6" s="89"/>
    </row>
    <row r="7" spans="1:3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38</v>
      </c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0.38194444444444442</v>
      </c>
      <c r="K8" s="20"/>
      <c r="L8" s="20"/>
      <c r="M8" s="20"/>
      <c r="N8" s="20"/>
      <c r="O8" s="20"/>
      <c r="P8" s="20"/>
      <c r="Q8" s="20"/>
      <c r="R8" s="20"/>
      <c r="S8" s="20">
        <v>3.4722222222222224E-2</v>
      </c>
      <c r="T8" s="20"/>
      <c r="U8" s="20"/>
      <c r="V8" s="20"/>
      <c r="W8" s="20"/>
      <c r="X8" s="20"/>
      <c r="Y8" s="20"/>
      <c r="Z8" s="20"/>
      <c r="AA8" s="20">
        <f>SUM(J8:Z8)</f>
        <v>0.41666666666666663</v>
      </c>
      <c r="AB8" s="85">
        <f>+J8+O8+Q8+U8</f>
        <v>0.38194444444444442</v>
      </c>
      <c r="AC8" s="66">
        <f>0+(0/60)</f>
        <v>0</v>
      </c>
      <c r="AD8" s="1">
        <v>400</v>
      </c>
      <c r="AE8" s="88">
        <f>+AC8*AD8</f>
        <v>0</v>
      </c>
      <c r="AF8" s="171">
        <f>SUM(AE8:AE14)</f>
        <v>4100</v>
      </c>
      <c r="AG8" s="85">
        <f>+K8+L8+M8+N8+R8+S8+T8+V8</f>
        <v>3.4722222222222224E-2</v>
      </c>
      <c r="AH8" s="66">
        <f>4+(3/60)</f>
        <v>4.05</v>
      </c>
      <c r="AI8" s="1">
        <v>400</v>
      </c>
      <c r="AJ8" s="88">
        <f>+AH8*AI8</f>
        <v>1620</v>
      </c>
      <c r="AK8" s="171">
        <f>SUM(AJ8:AJ14)</f>
        <v>11505.833333333334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0.16666666666666666</v>
      </c>
      <c r="K9" s="9"/>
      <c r="L9" s="9">
        <v>2.5694444444444447E-2</v>
      </c>
      <c r="M9" s="9">
        <v>6.9444444444444441E-3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0.19930555555555554</v>
      </c>
      <c r="AB9" s="85">
        <f t="shared" ref="AB9:AB14" si="1">+J9+O9+Q9+U9</f>
        <v>0.16666666666666666</v>
      </c>
      <c r="AC9" s="66">
        <f>0+(0/60)</f>
        <v>0</v>
      </c>
      <c r="AD9" s="1">
        <v>400</v>
      </c>
      <c r="AE9" s="88">
        <f t="shared" ref="AE9:AE14" si="2">+AC9*AD9</f>
        <v>0</v>
      </c>
      <c r="AF9" s="171"/>
      <c r="AG9" s="85">
        <f t="shared" ref="AG9:AG14" si="3">+K9+L9+M9+N9+R9+S9+T9+V9</f>
        <v>3.2638888888888891E-2</v>
      </c>
      <c r="AH9" s="66">
        <f>10+(0/60)</f>
        <v>10</v>
      </c>
      <c r="AI9" s="1">
        <v>400</v>
      </c>
      <c r="AJ9" s="88">
        <f t="shared" ref="AJ9:AJ14" si="4">+AH9*AI9</f>
        <v>4000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85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2.0833333333333333E-3</v>
      </c>
      <c r="N11" s="9">
        <v>5.5555555555555558E-3</v>
      </c>
      <c r="O11" s="9"/>
      <c r="P11" s="9"/>
      <c r="Q11" s="9"/>
      <c r="R11" s="9"/>
      <c r="S11" s="9">
        <v>3.4722222222222224E-2</v>
      </c>
      <c r="T11" s="9">
        <v>7.9861111111111105E-2</v>
      </c>
      <c r="U11" s="9"/>
      <c r="V11" s="9"/>
      <c r="W11" s="9"/>
      <c r="X11" s="9"/>
      <c r="Y11" s="9"/>
      <c r="Z11" s="9"/>
      <c r="AA11" s="9">
        <f t="shared" si="0"/>
        <v>0.12222222222222222</v>
      </c>
      <c r="AB11" s="85">
        <f t="shared" si="1"/>
        <v>0</v>
      </c>
      <c r="AC11" s="66">
        <f>8+(30/60)</f>
        <v>8.5</v>
      </c>
      <c r="AD11" s="1">
        <v>400</v>
      </c>
      <c r="AE11" s="88">
        <f t="shared" si="2"/>
        <v>3400</v>
      </c>
      <c r="AF11" s="171"/>
      <c r="AG11" s="85">
        <f t="shared" si="3"/>
        <v>0.12222222222222222</v>
      </c>
      <c r="AH11" s="66">
        <f>1+(30/60)</f>
        <v>1.5</v>
      </c>
      <c r="AI11" s="1">
        <v>400</v>
      </c>
      <c r="AJ11" s="88">
        <f t="shared" si="4"/>
        <v>600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>
        <v>6.9444444444444441E-3</v>
      </c>
      <c r="O12" s="9"/>
      <c r="P12" s="9"/>
      <c r="Q12" s="9"/>
      <c r="R12" s="9">
        <v>1.1111111111111112E-2</v>
      </c>
      <c r="S12" s="9">
        <v>3.4722222222222224E-2</v>
      </c>
      <c r="T12" s="9">
        <v>7.6388888888888895E-2</v>
      </c>
      <c r="U12" s="9">
        <v>3.472222222222222E-3</v>
      </c>
      <c r="V12" s="9"/>
      <c r="W12" s="9"/>
      <c r="X12" s="9"/>
      <c r="Y12" s="9"/>
      <c r="Z12" s="9"/>
      <c r="AA12" s="9">
        <f t="shared" si="0"/>
        <v>0.13263888888888889</v>
      </c>
      <c r="AB12" s="85">
        <f t="shared" si="1"/>
        <v>3.472222222222222E-3</v>
      </c>
      <c r="AC12" s="66">
        <f t="shared" ref="AC12:AC13" si="5">0+(0/60)</f>
        <v>0</v>
      </c>
      <c r="AD12" s="1">
        <v>400</v>
      </c>
      <c r="AE12" s="88">
        <f t="shared" si="2"/>
        <v>0</v>
      </c>
      <c r="AF12" s="171"/>
      <c r="AG12" s="85">
        <f t="shared" si="3"/>
        <v>0.12916666666666668</v>
      </c>
      <c r="AH12" s="66">
        <f>3+(56/60)</f>
        <v>3.9333333333333336</v>
      </c>
      <c r="AI12" s="1">
        <v>400</v>
      </c>
      <c r="AJ12" s="88">
        <f t="shared" si="4"/>
        <v>1573.3333333333335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6.9444444444444441E-3</v>
      </c>
      <c r="N13" s="9">
        <v>6.9444444444444441E-3</v>
      </c>
      <c r="O13" s="9"/>
      <c r="P13" s="9"/>
      <c r="Q13" s="9"/>
      <c r="R13" s="9"/>
      <c r="S13" s="9">
        <v>3.4722222222222224E-2</v>
      </c>
      <c r="T13" s="9">
        <v>7.6388888888888895E-2</v>
      </c>
      <c r="U13" s="9"/>
      <c r="V13" s="9"/>
      <c r="W13" s="9"/>
      <c r="X13" s="9"/>
      <c r="Y13" s="9"/>
      <c r="Z13" s="9"/>
      <c r="AA13" s="9">
        <f t="shared" si="0"/>
        <v>0.125</v>
      </c>
      <c r="AB13" s="85">
        <f t="shared" si="1"/>
        <v>0</v>
      </c>
      <c r="AC13" s="66">
        <f t="shared" si="5"/>
        <v>0</v>
      </c>
      <c r="AD13" s="1">
        <v>450</v>
      </c>
      <c r="AE13" s="88">
        <f t="shared" si="2"/>
        <v>0</v>
      </c>
      <c r="AF13" s="171"/>
      <c r="AG13" s="85">
        <f t="shared" si="3"/>
        <v>0.125</v>
      </c>
      <c r="AH13" s="66">
        <f>3+(35/60)</f>
        <v>3.5833333333333335</v>
      </c>
      <c r="AI13" s="1">
        <v>450</v>
      </c>
      <c r="AJ13" s="88">
        <f t="shared" si="4"/>
        <v>1612.5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1.0416666666666666E-2</v>
      </c>
      <c r="L14" s="23"/>
      <c r="M14" s="23">
        <v>6.9444444444444441E-3</v>
      </c>
      <c r="N14" s="23"/>
      <c r="O14" s="23"/>
      <c r="P14" s="23"/>
      <c r="Q14" s="23"/>
      <c r="R14" s="23"/>
      <c r="S14" s="23">
        <v>3.4722222222222224E-2</v>
      </c>
      <c r="T14" s="23">
        <v>7.9861111111111105E-2</v>
      </c>
      <c r="U14" s="23"/>
      <c r="V14" s="23">
        <v>0.25</v>
      </c>
      <c r="W14" s="23"/>
      <c r="X14" s="23"/>
      <c r="Y14" s="23"/>
      <c r="Z14" s="23"/>
      <c r="AA14" s="23">
        <f t="shared" si="0"/>
        <v>0.38194444444444442</v>
      </c>
      <c r="AB14" s="85">
        <f t="shared" si="1"/>
        <v>0</v>
      </c>
      <c r="AC14" s="66">
        <f>2+(0/60)</f>
        <v>2</v>
      </c>
      <c r="AD14" s="1">
        <v>350</v>
      </c>
      <c r="AE14" s="88">
        <f t="shared" si="2"/>
        <v>700</v>
      </c>
      <c r="AF14" s="171"/>
      <c r="AG14" s="85">
        <f t="shared" si="3"/>
        <v>0.38194444444444442</v>
      </c>
      <c r="AH14" s="66">
        <f>6+(0/60)</f>
        <v>6</v>
      </c>
      <c r="AI14" s="1">
        <v>350</v>
      </c>
      <c r="AJ14" s="88">
        <f t="shared" si="4"/>
        <v>2100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0.41666666666666669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0.41666666666666669</v>
      </c>
      <c r="AB15" s="85">
        <f>+J15+O15+Q15+U15</f>
        <v>0.41666666666666669</v>
      </c>
      <c r="AC15" s="66">
        <f>0+(40/60)</f>
        <v>0.66666666666666663</v>
      </c>
      <c r="AD15" s="1">
        <v>400</v>
      </c>
      <c r="AE15" s="88">
        <f>+AC15*AD15</f>
        <v>266.66666666666663</v>
      </c>
      <c r="AF15" s="171">
        <f>SUM(AE15:AE21)</f>
        <v>5626.666666666667</v>
      </c>
      <c r="AG15" s="85">
        <f>+K15+L15+M15+N15+R15+S15+T15+V15</f>
        <v>0</v>
      </c>
      <c r="AH15" s="66">
        <f>0+(44/60)</f>
        <v>0.73333333333333328</v>
      </c>
      <c r="AI15" s="1">
        <v>400</v>
      </c>
      <c r="AJ15" s="88">
        <f>+AH15*AI15</f>
        <v>293.33333333333331</v>
      </c>
      <c r="AK15" s="171">
        <f>SUM(AJ15:AJ21)</f>
        <v>1137.5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>
        <v>1.3888888888888889E-3</v>
      </c>
      <c r="L16" s="9"/>
      <c r="M16" s="9">
        <v>4.8611111111111112E-3</v>
      </c>
      <c r="N16" s="9">
        <v>6.9444444444444441E-3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1.3194444444444444E-2</v>
      </c>
      <c r="AB16" s="85">
        <f t="shared" ref="AB16:AB21" si="6">+J16+O16+Q16+U16</f>
        <v>0</v>
      </c>
      <c r="AC16" s="66">
        <f>0+(39/60)</f>
        <v>0.65</v>
      </c>
      <c r="AD16" s="1">
        <v>400</v>
      </c>
      <c r="AE16" s="88">
        <f t="shared" ref="AE16:AE21" si="7">+AC16*AD16</f>
        <v>260</v>
      </c>
      <c r="AF16" s="171"/>
      <c r="AG16" s="85">
        <f t="shared" ref="AG16:AG21" si="8">+K16+L16+M16+N16+R16+S16+T16+V16</f>
        <v>1.3194444444444444E-2</v>
      </c>
      <c r="AH16" s="66">
        <f>0+(28/60)</f>
        <v>0.46666666666666667</v>
      </c>
      <c r="AI16" s="1">
        <v>400</v>
      </c>
      <c r="AJ16" s="88">
        <f t="shared" ref="AJ16:AJ21" si="9">+AH16*AI16</f>
        <v>186.66666666666666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5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3.472222222222222E-3</v>
      </c>
      <c r="L18" s="9"/>
      <c r="M18" s="9">
        <v>6.9444444444444441E-3</v>
      </c>
      <c r="N18" s="9">
        <v>1.0416666666666666E-2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2.0833333333333332E-2</v>
      </c>
      <c r="AB18" s="85">
        <f t="shared" si="6"/>
        <v>0</v>
      </c>
      <c r="AC18" s="66">
        <f>10+(0/60)</f>
        <v>10</v>
      </c>
      <c r="AD18" s="1">
        <v>400</v>
      </c>
      <c r="AE18" s="88">
        <f t="shared" si="7"/>
        <v>4000</v>
      </c>
      <c r="AF18" s="171"/>
      <c r="AG18" s="85">
        <f t="shared" si="8"/>
        <v>2.0833333333333332E-2</v>
      </c>
      <c r="AH18" s="66">
        <f>0+(0/60)</f>
        <v>0</v>
      </c>
      <c r="AI18" s="1">
        <v>400</v>
      </c>
      <c r="AJ18" s="88">
        <f t="shared" si="9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2.361111111111111E-2</v>
      </c>
      <c r="K19" s="9">
        <v>5.5555555555555558E-3</v>
      </c>
      <c r="L19" s="9">
        <v>1.2499999999999999E-2</v>
      </c>
      <c r="M19" s="9">
        <v>3.472222222222222E-3</v>
      </c>
      <c r="N19" s="9">
        <v>2.0833333333333333E-3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4.7222222222222221E-2</v>
      </c>
      <c r="AB19" s="85">
        <f t="shared" si="6"/>
        <v>2.361111111111111E-2</v>
      </c>
      <c r="AC19" s="66">
        <f>1+(0/60)</f>
        <v>1</v>
      </c>
      <c r="AD19" s="1">
        <v>400</v>
      </c>
      <c r="AE19" s="88">
        <f t="shared" si="7"/>
        <v>400</v>
      </c>
      <c r="AF19" s="171"/>
      <c r="AG19" s="85">
        <f t="shared" si="8"/>
        <v>2.361111111111111E-2</v>
      </c>
      <c r="AH19" s="66">
        <f>0+(23/60)</f>
        <v>0.38333333333333336</v>
      </c>
      <c r="AI19" s="1">
        <v>400</v>
      </c>
      <c r="AJ19" s="88">
        <f t="shared" si="9"/>
        <v>153.33333333333334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8.3333333333333332E-3</v>
      </c>
      <c r="L20" s="9"/>
      <c r="M20" s="9">
        <v>5.5555555555555558E-3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2.0833333333333332E-2</v>
      </c>
      <c r="AB20" s="85">
        <f t="shared" si="6"/>
        <v>0</v>
      </c>
      <c r="AC20" s="66">
        <f t="shared" ref="AC20" si="10">0+(0/60)</f>
        <v>0</v>
      </c>
      <c r="AD20" s="1">
        <v>450</v>
      </c>
      <c r="AE20" s="88">
        <f t="shared" si="7"/>
        <v>0</v>
      </c>
      <c r="AF20" s="171"/>
      <c r="AG20" s="85">
        <f t="shared" si="8"/>
        <v>2.0833333333333332E-2</v>
      </c>
      <c r="AH20" s="66">
        <f>0+(47/60)</f>
        <v>0.78333333333333333</v>
      </c>
      <c r="AI20" s="1">
        <v>450</v>
      </c>
      <c r="AJ20" s="88">
        <f t="shared" si="9"/>
        <v>352.5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2.6388888888888889E-2</v>
      </c>
      <c r="L21" s="23"/>
      <c r="M21" s="23">
        <v>2.7777777777777779E-3</v>
      </c>
      <c r="N21" s="23"/>
      <c r="O21" s="23"/>
      <c r="P21" s="23"/>
      <c r="Q21" s="23"/>
      <c r="R21" s="23"/>
      <c r="S21" s="23"/>
      <c r="T21" s="23"/>
      <c r="U21" s="23"/>
      <c r="V21" s="23">
        <v>0.125</v>
      </c>
      <c r="W21" s="23">
        <v>8.3333333333333329E-2</v>
      </c>
      <c r="X21" s="23"/>
      <c r="Y21" s="23"/>
      <c r="Z21" s="23"/>
      <c r="AA21" s="23">
        <f t="shared" si="0"/>
        <v>0.23749999999999999</v>
      </c>
      <c r="AB21" s="85">
        <f t="shared" si="6"/>
        <v>0</v>
      </c>
      <c r="AC21" s="66">
        <f>2+(0/60)</f>
        <v>2</v>
      </c>
      <c r="AD21" s="1">
        <v>350</v>
      </c>
      <c r="AE21" s="88">
        <f t="shared" si="7"/>
        <v>700</v>
      </c>
      <c r="AF21" s="171"/>
      <c r="AG21" s="85">
        <f t="shared" si="8"/>
        <v>0.15416666666666667</v>
      </c>
      <c r="AH21" s="66">
        <f>0+(26/60)</f>
        <v>0.43333333333333335</v>
      </c>
      <c r="AI21" s="1">
        <v>350</v>
      </c>
      <c r="AJ21" s="88">
        <f t="shared" si="9"/>
        <v>151.66666666666669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1">E8+E15</f>
        <v>0</v>
      </c>
      <c r="F22" s="26">
        <f t="shared" si="11"/>
        <v>0</v>
      </c>
      <c r="G22" s="25"/>
      <c r="H22" s="25"/>
      <c r="I22" s="25"/>
      <c r="J22" s="27">
        <f t="shared" ref="J22:Z22" si="12">J8+J15</f>
        <v>0.79861111111111116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3.4722222222222224E-2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si="12"/>
        <v>0</v>
      </c>
      <c r="Z22" s="27">
        <f t="shared" si="12"/>
        <v>0</v>
      </c>
      <c r="AA22" s="27">
        <f>SUM(J22:Z22)</f>
        <v>0.83333333333333337</v>
      </c>
      <c r="AC22" s="87"/>
      <c r="AE22" s="90"/>
      <c r="AF22" s="90"/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1"/>
        <v>0</v>
      </c>
      <c r="F23" s="12">
        <f t="shared" si="11"/>
        <v>0</v>
      </c>
      <c r="G23" s="11"/>
      <c r="H23" s="11"/>
      <c r="I23" s="11"/>
      <c r="J23" s="13">
        <f t="shared" ref="J23:Z23" si="13">J9+J16</f>
        <v>0.16666666666666666</v>
      </c>
      <c r="K23" s="13">
        <f t="shared" si="13"/>
        <v>1.3888888888888889E-3</v>
      </c>
      <c r="L23" s="13">
        <f t="shared" si="13"/>
        <v>2.5694444444444447E-2</v>
      </c>
      <c r="M23" s="13">
        <f t="shared" si="13"/>
        <v>1.1805555555555555E-2</v>
      </c>
      <c r="N23" s="13">
        <f t="shared" si="13"/>
        <v>6.9444444444444441E-3</v>
      </c>
      <c r="O23" s="13">
        <f t="shared" si="13"/>
        <v>0</v>
      </c>
      <c r="P23" s="13">
        <f t="shared" si="13"/>
        <v>0</v>
      </c>
      <c r="Q23" s="13">
        <f t="shared" si="13"/>
        <v>0</v>
      </c>
      <c r="R23" s="13">
        <f t="shared" si="13"/>
        <v>0</v>
      </c>
      <c r="S23" s="13">
        <f t="shared" si="13"/>
        <v>0</v>
      </c>
      <c r="T23" s="13">
        <f t="shared" si="13"/>
        <v>0</v>
      </c>
      <c r="U23" s="13">
        <f t="shared" si="13"/>
        <v>0</v>
      </c>
      <c r="V23" s="13">
        <f t="shared" si="13"/>
        <v>0</v>
      </c>
      <c r="W23" s="13">
        <f t="shared" si="13"/>
        <v>0</v>
      </c>
      <c r="X23" s="13">
        <f t="shared" si="13"/>
        <v>0</v>
      </c>
      <c r="Y23" s="13">
        <f t="shared" si="13"/>
        <v>0</v>
      </c>
      <c r="Z23" s="13">
        <f t="shared" si="13"/>
        <v>0</v>
      </c>
      <c r="AA23" s="13">
        <f t="shared" ref="AA23:AA28" si="14">SUM(J23:Z23)</f>
        <v>0.21249999999999999</v>
      </c>
      <c r="AC23" s="87"/>
      <c r="AE23" s="90"/>
      <c r="AF23" s="90"/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1"/>
        <v>0</v>
      </c>
      <c r="F24" s="12">
        <f t="shared" si="11"/>
        <v>0</v>
      </c>
      <c r="G24" s="11"/>
      <c r="H24" s="11"/>
      <c r="I24" s="11"/>
      <c r="J24" s="13">
        <f t="shared" ref="J24:Z24" si="15">J10+J17</f>
        <v>0</v>
      </c>
      <c r="K24" s="13">
        <f t="shared" si="15"/>
        <v>0</v>
      </c>
      <c r="L24" s="13">
        <f t="shared" si="15"/>
        <v>0</v>
      </c>
      <c r="M24" s="13">
        <f t="shared" si="15"/>
        <v>0</v>
      </c>
      <c r="N24" s="13">
        <f t="shared" si="15"/>
        <v>0</v>
      </c>
      <c r="O24" s="13">
        <f t="shared" si="15"/>
        <v>0</v>
      </c>
      <c r="P24" s="13">
        <f t="shared" si="15"/>
        <v>0</v>
      </c>
      <c r="Q24" s="13">
        <f t="shared" si="15"/>
        <v>0</v>
      </c>
      <c r="R24" s="13">
        <f t="shared" si="15"/>
        <v>0</v>
      </c>
      <c r="S24" s="13">
        <f t="shared" si="15"/>
        <v>0</v>
      </c>
      <c r="T24" s="13">
        <f t="shared" si="15"/>
        <v>0</v>
      </c>
      <c r="U24" s="13">
        <f t="shared" si="15"/>
        <v>0</v>
      </c>
      <c r="V24" s="13">
        <f t="shared" si="15"/>
        <v>0</v>
      </c>
      <c r="W24" s="13">
        <f t="shared" si="15"/>
        <v>0</v>
      </c>
      <c r="X24" s="13">
        <f t="shared" si="15"/>
        <v>0</v>
      </c>
      <c r="Y24" s="13">
        <f t="shared" si="15"/>
        <v>0</v>
      </c>
      <c r="Z24" s="13">
        <f t="shared" si="15"/>
        <v>0</v>
      </c>
      <c r="AA24" s="13">
        <f t="shared" ref="AA24:AA26" si="16">SUM(J24:Z24)</f>
        <v>0</v>
      </c>
      <c r="AC24" s="87"/>
      <c r="AE24" s="90"/>
      <c r="AF24" s="90"/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1"/>
        <v>0</v>
      </c>
      <c r="F25" s="12">
        <f t="shared" si="11"/>
        <v>0</v>
      </c>
      <c r="G25" s="11"/>
      <c r="H25" s="11"/>
      <c r="I25" s="11"/>
      <c r="J25" s="13">
        <f t="shared" ref="J25:Z25" si="17">J11+J18</f>
        <v>0</v>
      </c>
      <c r="K25" s="13">
        <f t="shared" si="17"/>
        <v>3.472222222222222E-3</v>
      </c>
      <c r="L25" s="13">
        <f t="shared" si="17"/>
        <v>0</v>
      </c>
      <c r="M25" s="13">
        <f t="shared" si="17"/>
        <v>9.0277777777777769E-3</v>
      </c>
      <c r="N25" s="13">
        <f t="shared" si="17"/>
        <v>1.5972222222222221E-2</v>
      </c>
      <c r="O25" s="13">
        <f t="shared" si="17"/>
        <v>0</v>
      </c>
      <c r="P25" s="13">
        <f t="shared" si="17"/>
        <v>0</v>
      </c>
      <c r="Q25" s="13">
        <f t="shared" si="17"/>
        <v>0</v>
      </c>
      <c r="R25" s="13">
        <f t="shared" si="17"/>
        <v>0</v>
      </c>
      <c r="S25" s="13">
        <f t="shared" si="17"/>
        <v>3.4722222222222224E-2</v>
      </c>
      <c r="T25" s="13">
        <f t="shared" si="17"/>
        <v>7.9861111111111105E-2</v>
      </c>
      <c r="U25" s="13">
        <f t="shared" si="17"/>
        <v>0</v>
      </c>
      <c r="V25" s="13">
        <f t="shared" si="17"/>
        <v>0</v>
      </c>
      <c r="W25" s="13">
        <f t="shared" si="17"/>
        <v>0</v>
      </c>
      <c r="X25" s="13">
        <f t="shared" si="17"/>
        <v>0</v>
      </c>
      <c r="Y25" s="13">
        <f t="shared" si="17"/>
        <v>0</v>
      </c>
      <c r="Z25" s="13">
        <f t="shared" si="17"/>
        <v>0</v>
      </c>
      <c r="AA25" s="13">
        <f t="shared" si="16"/>
        <v>0.14305555555555555</v>
      </c>
      <c r="AC25" s="87"/>
      <c r="AE25" s="90"/>
      <c r="AF25" s="90"/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1"/>
        <v>0</v>
      </c>
      <c r="F26" s="12">
        <f t="shared" si="11"/>
        <v>0</v>
      </c>
      <c r="G26" s="11"/>
      <c r="H26" s="11"/>
      <c r="I26" s="11"/>
      <c r="J26" s="13">
        <f t="shared" ref="J26:Z26" si="18">J12+J19</f>
        <v>2.361111111111111E-2</v>
      </c>
      <c r="K26" s="13">
        <f t="shared" si="18"/>
        <v>5.5555555555555558E-3</v>
      </c>
      <c r="L26" s="13">
        <f t="shared" si="18"/>
        <v>1.2499999999999999E-2</v>
      </c>
      <c r="M26" s="13">
        <f t="shared" si="18"/>
        <v>3.472222222222222E-3</v>
      </c>
      <c r="N26" s="13">
        <f t="shared" si="18"/>
        <v>9.0277777777777769E-3</v>
      </c>
      <c r="O26" s="13">
        <f t="shared" si="18"/>
        <v>0</v>
      </c>
      <c r="P26" s="13">
        <f t="shared" si="18"/>
        <v>0</v>
      </c>
      <c r="Q26" s="13">
        <f t="shared" si="18"/>
        <v>0</v>
      </c>
      <c r="R26" s="13">
        <f t="shared" si="18"/>
        <v>1.1111111111111112E-2</v>
      </c>
      <c r="S26" s="13">
        <f t="shared" si="18"/>
        <v>3.4722222222222224E-2</v>
      </c>
      <c r="T26" s="13">
        <f t="shared" si="18"/>
        <v>7.6388888888888895E-2</v>
      </c>
      <c r="U26" s="13">
        <f t="shared" si="18"/>
        <v>3.472222222222222E-3</v>
      </c>
      <c r="V26" s="13">
        <f t="shared" si="18"/>
        <v>0</v>
      </c>
      <c r="W26" s="13">
        <f t="shared" si="18"/>
        <v>0</v>
      </c>
      <c r="X26" s="13">
        <f t="shared" si="18"/>
        <v>0</v>
      </c>
      <c r="Y26" s="13">
        <f t="shared" si="18"/>
        <v>0</v>
      </c>
      <c r="Z26" s="13">
        <f t="shared" si="18"/>
        <v>0</v>
      </c>
      <c r="AA26" s="13">
        <f t="shared" si="16"/>
        <v>0.17986111111111111</v>
      </c>
      <c r="AC26" s="87"/>
      <c r="AE26" s="90"/>
      <c r="AF26" s="90"/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1"/>
        <v>0</v>
      </c>
      <c r="F27" s="12">
        <f t="shared" si="11"/>
        <v>0</v>
      </c>
      <c r="G27" s="11"/>
      <c r="H27" s="11"/>
      <c r="I27" s="11"/>
      <c r="J27" s="13">
        <f t="shared" ref="J27:Z27" si="19">J13+J20</f>
        <v>0</v>
      </c>
      <c r="K27" s="13">
        <f t="shared" si="19"/>
        <v>8.3333333333333332E-3</v>
      </c>
      <c r="L27" s="13">
        <f t="shared" si="19"/>
        <v>0</v>
      </c>
      <c r="M27" s="13">
        <f t="shared" si="19"/>
        <v>1.2500000000000001E-2</v>
      </c>
      <c r="N27" s="13">
        <f t="shared" si="19"/>
        <v>1.3888888888888888E-2</v>
      </c>
      <c r="O27" s="13">
        <f t="shared" si="19"/>
        <v>0</v>
      </c>
      <c r="P27" s="13">
        <f t="shared" si="19"/>
        <v>0</v>
      </c>
      <c r="Q27" s="13">
        <f t="shared" si="19"/>
        <v>0</v>
      </c>
      <c r="R27" s="13">
        <f t="shared" si="19"/>
        <v>0</v>
      </c>
      <c r="S27" s="13">
        <f t="shared" si="19"/>
        <v>3.4722222222222224E-2</v>
      </c>
      <c r="T27" s="13">
        <f t="shared" si="19"/>
        <v>7.6388888888888895E-2</v>
      </c>
      <c r="U27" s="13">
        <f t="shared" si="19"/>
        <v>0</v>
      </c>
      <c r="V27" s="13">
        <f t="shared" si="19"/>
        <v>0</v>
      </c>
      <c r="W27" s="13">
        <f t="shared" si="19"/>
        <v>0</v>
      </c>
      <c r="X27" s="13">
        <f t="shared" si="19"/>
        <v>0</v>
      </c>
      <c r="Y27" s="13">
        <f t="shared" si="19"/>
        <v>0</v>
      </c>
      <c r="Z27" s="13">
        <f t="shared" si="19"/>
        <v>0</v>
      </c>
      <c r="AA27" s="13">
        <f t="shared" si="14"/>
        <v>0.14583333333333334</v>
      </c>
      <c r="AC27" s="87"/>
      <c r="AE27" s="90"/>
      <c r="AF27" s="90"/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1"/>
        <v>0</v>
      </c>
      <c r="F28" s="16">
        <f t="shared" si="11"/>
        <v>0</v>
      </c>
      <c r="G28" s="15"/>
      <c r="H28" s="15"/>
      <c r="I28" s="15"/>
      <c r="J28" s="17">
        <f t="shared" ref="J28:Z28" si="20">J14+J21</f>
        <v>0</v>
      </c>
      <c r="K28" s="17">
        <f t="shared" si="20"/>
        <v>3.6805555555555557E-2</v>
      </c>
      <c r="L28" s="17">
        <f t="shared" si="20"/>
        <v>0</v>
      </c>
      <c r="M28" s="17">
        <f t="shared" si="20"/>
        <v>9.7222222222222224E-3</v>
      </c>
      <c r="N28" s="17">
        <f t="shared" si="20"/>
        <v>0</v>
      </c>
      <c r="O28" s="17">
        <f t="shared" si="20"/>
        <v>0</v>
      </c>
      <c r="P28" s="17">
        <f t="shared" si="20"/>
        <v>0</v>
      </c>
      <c r="Q28" s="17">
        <f t="shared" si="20"/>
        <v>0</v>
      </c>
      <c r="R28" s="17">
        <f t="shared" si="20"/>
        <v>0</v>
      </c>
      <c r="S28" s="17">
        <f t="shared" si="20"/>
        <v>3.4722222222222224E-2</v>
      </c>
      <c r="T28" s="17">
        <f t="shared" si="20"/>
        <v>7.9861111111111105E-2</v>
      </c>
      <c r="U28" s="17">
        <f t="shared" si="20"/>
        <v>0</v>
      </c>
      <c r="V28" s="17">
        <f t="shared" si="20"/>
        <v>0.375</v>
      </c>
      <c r="W28" s="17">
        <f t="shared" si="20"/>
        <v>8.3333333333333329E-2</v>
      </c>
      <c r="X28" s="17">
        <f t="shared" si="20"/>
        <v>0</v>
      </c>
      <c r="Y28" s="17">
        <f t="shared" si="20"/>
        <v>0</v>
      </c>
      <c r="Z28" s="17">
        <f t="shared" si="20"/>
        <v>0</v>
      </c>
      <c r="AA28" s="17">
        <f t="shared" si="14"/>
        <v>0.61944444444444446</v>
      </c>
      <c r="AC28" s="87"/>
      <c r="AE28" s="90"/>
      <c r="AF28" s="90"/>
    </row>
  </sheetData>
  <mergeCells count="19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F15:AF21"/>
    <mergeCell ref="AK15:AK21"/>
    <mergeCell ref="AF8:AF14"/>
    <mergeCell ref="AK8:AK14"/>
    <mergeCell ref="AG7:AK7"/>
    <mergeCell ref="AB7:AF7"/>
  </mergeCells>
  <printOptions horizontalCentered="1"/>
  <pageMargins left="0.2" right="0.2" top="0.5" bottom="0.75" header="0.3" footer="0.3"/>
  <pageSetup paperSize="9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K13" sqref="K13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25" width="9.140625" style="1"/>
    <col min="26" max="26" width="7.85546875" style="1" customWidth="1"/>
    <col min="27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f>'03'!B5+1</f>
        <v>45630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54</v>
      </c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0.41666666666666669</v>
      </c>
      <c r="K8" s="20"/>
      <c r="L8" s="20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20"/>
      <c r="Y8" s="20"/>
      <c r="Z8" s="20"/>
      <c r="AA8" s="20">
        <f>SUM(J8:Z8)</f>
        <v>0.41666666666666669</v>
      </c>
      <c r="AB8" s="85">
        <f>+J8+O8+Q8+U8</f>
        <v>0.41666666666666669</v>
      </c>
      <c r="AC8" s="66">
        <f>2+(20/60)</f>
        <v>2.3333333333333335</v>
      </c>
      <c r="AD8" s="1">
        <v>400</v>
      </c>
      <c r="AE8" s="88">
        <f>+AC8*AD8</f>
        <v>933.33333333333337</v>
      </c>
      <c r="AF8" s="171">
        <f>SUM(AE8:AE14)</f>
        <v>7716.6666666666661</v>
      </c>
      <c r="AG8" s="85">
        <f>+K8+L8+M8+N8+R8+S8+T8+V8</f>
        <v>0</v>
      </c>
      <c r="AH8" s="66">
        <f>0+(9/60)</f>
        <v>0.15</v>
      </c>
      <c r="AI8" s="1">
        <v>400</v>
      </c>
      <c r="AJ8" s="88">
        <f>+AH8*AI8</f>
        <v>60</v>
      </c>
      <c r="AK8" s="171">
        <f>SUM(AJ8:AJ14)</f>
        <v>883.33333333333337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2.0833333333333333E-3</v>
      </c>
      <c r="K9" s="9">
        <v>9.7222222222222224E-3</v>
      </c>
      <c r="L9" s="9"/>
      <c r="M9" s="9"/>
      <c r="N9" s="9">
        <v>6.9444444444444441E-3</v>
      </c>
      <c r="O9" s="9">
        <v>1.8749999999999999E-2</v>
      </c>
      <c r="P9" s="9"/>
      <c r="Q9" s="9"/>
      <c r="R9" s="9">
        <v>1.1805555555555555E-2</v>
      </c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4.9305555555555554E-2</v>
      </c>
      <c r="AB9" s="85">
        <f t="shared" ref="AB9:AB14" si="1">+J9+O9+Q9+U9</f>
        <v>2.0833333333333332E-2</v>
      </c>
      <c r="AC9" s="66">
        <f>0+(0/60)</f>
        <v>0</v>
      </c>
      <c r="AD9" s="1">
        <v>400</v>
      </c>
      <c r="AE9" s="88">
        <f t="shared" ref="AE9:AE14" si="2">+AC9*AD9</f>
        <v>0</v>
      </c>
      <c r="AF9" s="171"/>
      <c r="AG9" s="85">
        <f t="shared" ref="AG9:AG14" si="3">+K9+L9+M9+N9+R9+S9+T9+V9</f>
        <v>2.8472222222222222E-2</v>
      </c>
      <c r="AH9" s="66">
        <f>0+(45/60)</f>
        <v>0.75</v>
      </c>
      <c r="AI9" s="1">
        <v>400</v>
      </c>
      <c r="AJ9" s="88">
        <f t="shared" ref="AJ9:AJ14" si="4">+AH9*AI9</f>
        <v>300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0.11388888888888889</v>
      </c>
      <c r="K11" s="9"/>
      <c r="L11" s="9"/>
      <c r="M11" s="9">
        <v>6.9444444444444441E-3</v>
      </c>
      <c r="N11" s="9">
        <v>6.9444444444444441E-3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0.12777777777777777</v>
      </c>
      <c r="AB11" s="85">
        <f t="shared" si="1"/>
        <v>0.11388888888888889</v>
      </c>
      <c r="AC11" s="66">
        <f>10+(0/60)</f>
        <v>10</v>
      </c>
      <c r="AD11" s="1">
        <v>400</v>
      </c>
      <c r="AE11" s="88">
        <f t="shared" si="2"/>
        <v>4000</v>
      </c>
      <c r="AF11" s="171"/>
      <c r="AG11" s="85">
        <f t="shared" si="3"/>
        <v>1.3888888888888888E-2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9.9999999999999992E-2</v>
      </c>
      <c r="K12" s="9">
        <v>1.1111111111111112E-2</v>
      </c>
      <c r="L12" s="9"/>
      <c r="M12" s="9">
        <v>5.5555555555555558E-3</v>
      </c>
      <c r="N12" s="9">
        <v>6.9444444444444441E-3</v>
      </c>
      <c r="O12" s="9">
        <v>1.1111111111111112E-2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0.13472222222222222</v>
      </c>
      <c r="AB12" s="85">
        <f t="shared" si="1"/>
        <v>0.1111111111111111</v>
      </c>
      <c r="AC12" s="66">
        <f>4+(20/60)</f>
        <v>4.333333333333333</v>
      </c>
      <c r="AD12" s="1">
        <v>400</v>
      </c>
      <c r="AE12" s="88">
        <f t="shared" si="2"/>
        <v>1733.3333333333333</v>
      </c>
      <c r="AF12" s="171"/>
      <c r="AG12" s="85">
        <f t="shared" si="3"/>
        <v>2.361111111111111E-2</v>
      </c>
      <c r="AH12" s="66">
        <f>0+(37/60)</f>
        <v>0.6166666666666667</v>
      </c>
      <c r="AI12" s="1">
        <v>400</v>
      </c>
      <c r="AJ12" s="88">
        <f t="shared" si="4"/>
        <v>246.66666666666669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2.7777777777777779E-3</v>
      </c>
      <c r="L13" s="9">
        <v>4.1666666666666666E-3</v>
      </c>
      <c r="M13" s="9">
        <v>6.9444444444444441E-3</v>
      </c>
      <c r="N13" s="9">
        <v>1.3888888888888889E-3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1.5277777777777777E-2</v>
      </c>
      <c r="AB13" s="85">
        <f t="shared" si="1"/>
        <v>0</v>
      </c>
      <c r="AC13" s="66">
        <f t="shared" ref="AC13" si="5">0+(0/60)</f>
        <v>0</v>
      </c>
      <c r="AD13" s="1">
        <v>450</v>
      </c>
      <c r="AE13" s="88">
        <f t="shared" si="2"/>
        <v>0</v>
      </c>
      <c r="AF13" s="171"/>
      <c r="AG13" s="85">
        <f t="shared" si="3"/>
        <v>1.5277777777777777E-2</v>
      </c>
      <c r="AH13" s="66">
        <f>0+(33/60)</f>
        <v>0.55000000000000004</v>
      </c>
      <c r="AI13" s="1">
        <v>450</v>
      </c>
      <c r="AJ13" s="88">
        <f t="shared" si="4"/>
        <v>247.50000000000003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1.3888888888888889E-3</v>
      </c>
      <c r="L14" s="23"/>
      <c r="M14" s="23">
        <v>6.9444444444444441E-3</v>
      </c>
      <c r="N14" s="23"/>
      <c r="O14" s="23"/>
      <c r="P14" s="23"/>
      <c r="Q14" s="23"/>
      <c r="R14" s="23"/>
      <c r="S14" s="23"/>
      <c r="T14" s="23"/>
      <c r="U14" s="23"/>
      <c r="V14" s="23"/>
      <c r="W14" s="23">
        <v>2.9861111111111113E-2</v>
      </c>
      <c r="X14" s="23"/>
      <c r="Y14" s="23"/>
      <c r="Z14" s="23"/>
      <c r="AA14" s="23">
        <f t="shared" si="0"/>
        <v>3.8194444444444448E-2</v>
      </c>
      <c r="AB14" s="85">
        <f t="shared" si="1"/>
        <v>0</v>
      </c>
      <c r="AC14" s="66">
        <f>3+(0/60)</f>
        <v>3</v>
      </c>
      <c r="AD14" s="1">
        <v>350</v>
      </c>
      <c r="AE14" s="88">
        <f t="shared" si="2"/>
        <v>1050</v>
      </c>
      <c r="AF14" s="171"/>
      <c r="AG14" s="85">
        <f t="shared" si="3"/>
        <v>8.3333333333333332E-3</v>
      </c>
      <c r="AH14" s="66">
        <f>0+(5/60)</f>
        <v>8.3333333333333329E-2</v>
      </c>
      <c r="AI14" s="1">
        <v>350</v>
      </c>
      <c r="AJ14" s="88">
        <f t="shared" si="4"/>
        <v>29.166666666666664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0.26041666666666669</v>
      </c>
      <c r="K15" s="30"/>
      <c r="L15" s="30"/>
      <c r="M15" s="30"/>
      <c r="N15" s="30"/>
      <c r="O15" s="30"/>
      <c r="P15" s="30"/>
      <c r="Q15" s="30"/>
      <c r="R15" s="30"/>
      <c r="S15" s="30">
        <v>0.15625</v>
      </c>
      <c r="T15" s="30"/>
      <c r="U15" s="30"/>
      <c r="V15" s="30"/>
      <c r="W15" s="30"/>
      <c r="X15" s="30"/>
      <c r="Y15" s="30"/>
      <c r="Z15" s="30"/>
      <c r="AA15" s="30">
        <f t="shared" si="0"/>
        <v>0.41666666666666669</v>
      </c>
      <c r="AB15" s="85">
        <f>+J15+O15+Q15+U15</f>
        <v>0.26041666666666669</v>
      </c>
      <c r="AC15" s="66">
        <f>0+(0/60)</f>
        <v>0</v>
      </c>
      <c r="AD15" s="1">
        <v>400</v>
      </c>
      <c r="AE15" s="88">
        <f>+AC15*AD15</f>
        <v>0</v>
      </c>
      <c r="AF15" s="171">
        <f>SUM(AE15:AE21)</f>
        <v>4046.6666666666665</v>
      </c>
      <c r="AG15" s="85">
        <f>+K15+L15+M15+N15+R15+S15+T15+V15</f>
        <v>0.15625</v>
      </c>
      <c r="AH15" s="66">
        <f>0+(19/60)</f>
        <v>0.31666666666666665</v>
      </c>
      <c r="AI15" s="1">
        <v>400</v>
      </c>
      <c r="AJ15" s="88">
        <f>+AH15*AI15</f>
        <v>126.66666666666666</v>
      </c>
      <c r="AK15" s="171">
        <f>SUM(AJ15:AJ21)</f>
        <v>1105.8333333333333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>
        <v>3.472222222222222E-3</v>
      </c>
      <c r="L16" s="9"/>
      <c r="M16" s="9">
        <v>6.9444444444444441E-3</v>
      </c>
      <c r="N16" s="9"/>
      <c r="O16" s="9"/>
      <c r="P16" s="9"/>
      <c r="Q16" s="9"/>
      <c r="R16" s="9"/>
      <c r="S16" s="9">
        <v>0.15625</v>
      </c>
      <c r="T16" s="9"/>
      <c r="U16" s="9"/>
      <c r="V16" s="9"/>
      <c r="W16" s="9"/>
      <c r="X16" s="9"/>
      <c r="Y16" s="9"/>
      <c r="Z16" s="9"/>
      <c r="AA16" s="9">
        <f t="shared" si="0"/>
        <v>0.16666666666666666</v>
      </c>
      <c r="AB16" s="85">
        <f t="shared" ref="AB16:AB21" si="6">+J16+O16+Q16+U16</f>
        <v>0</v>
      </c>
      <c r="AC16" s="66">
        <f>0+(0/60)</f>
        <v>0</v>
      </c>
      <c r="AD16" s="1">
        <v>400</v>
      </c>
      <c r="AE16" s="88">
        <f t="shared" ref="AE16:AE21" si="7">+AC16*AD16</f>
        <v>0</v>
      </c>
      <c r="AF16" s="171"/>
      <c r="AG16" s="85">
        <f t="shared" ref="AG16:AG21" si="8">+K16+L16+M16+N16+R16+S16+T16+V16</f>
        <v>0.16666666666666666</v>
      </c>
      <c r="AH16" s="66">
        <f>0+(34/60)</f>
        <v>0.56666666666666665</v>
      </c>
      <c r="AI16" s="1">
        <v>400</v>
      </c>
      <c r="AJ16" s="88">
        <f t="shared" ref="AJ16:AJ21" si="9">+AH16*AI16</f>
        <v>226.66666666666666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  <c r="AB17" s="85">
        <f t="shared" si="6"/>
        <v>0</v>
      </c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>
        <v>6.9444444444444441E-3</v>
      </c>
      <c r="N18" s="9"/>
      <c r="O18" s="9"/>
      <c r="P18" s="9"/>
      <c r="Q18" s="9"/>
      <c r="R18" s="9"/>
      <c r="S18" s="9">
        <v>0.15625</v>
      </c>
      <c r="T18" s="9"/>
      <c r="U18" s="9"/>
      <c r="V18" s="9"/>
      <c r="W18" s="9"/>
      <c r="X18" s="9"/>
      <c r="Y18" s="9"/>
      <c r="Z18" s="9"/>
      <c r="AA18" s="9">
        <f t="shared" si="0"/>
        <v>0.16319444444444445</v>
      </c>
      <c r="AB18" s="85">
        <f t="shared" si="6"/>
        <v>0</v>
      </c>
      <c r="AC18" s="66">
        <f>10+(0/60)</f>
        <v>10</v>
      </c>
      <c r="AD18" s="1">
        <v>400</v>
      </c>
      <c r="AE18" s="88">
        <f t="shared" si="7"/>
        <v>4000</v>
      </c>
      <c r="AF18" s="171"/>
      <c r="AG18" s="85">
        <f t="shared" si="8"/>
        <v>0.16319444444444445</v>
      </c>
      <c r="AH18" s="66">
        <f>0+(0/60)</f>
        <v>0</v>
      </c>
      <c r="AI18" s="1">
        <v>400</v>
      </c>
      <c r="AJ18" s="88">
        <f t="shared" si="9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>
        <v>4.1666666666666666E-3</v>
      </c>
      <c r="N19" s="9"/>
      <c r="O19" s="9"/>
      <c r="P19" s="9"/>
      <c r="Q19" s="9"/>
      <c r="R19" s="9"/>
      <c r="S19" s="9">
        <v>0.15625</v>
      </c>
      <c r="T19" s="9"/>
      <c r="U19" s="9"/>
      <c r="V19" s="9"/>
      <c r="W19" s="9"/>
      <c r="X19" s="9"/>
      <c r="Y19" s="9"/>
      <c r="Z19" s="9"/>
      <c r="AA19" s="9">
        <f t="shared" si="0"/>
        <v>0.16041666666666668</v>
      </c>
      <c r="AB19" s="85">
        <f t="shared" si="6"/>
        <v>0</v>
      </c>
      <c r="AC19" s="66">
        <f>0+(7/60)</f>
        <v>0.11666666666666667</v>
      </c>
      <c r="AD19" s="1">
        <v>400</v>
      </c>
      <c r="AE19" s="88">
        <f t="shared" si="7"/>
        <v>46.666666666666664</v>
      </c>
      <c r="AF19" s="171"/>
      <c r="AG19" s="85">
        <f t="shared" si="8"/>
        <v>0.16041666666666668</v>
      </c>
      <c r="AH19" s="66">
        <f>0+(41/60)</f>
        <v>0.68333333333333335</v>
      </c>
      <c r="AI19" s="1">
        <v>400</v>
      </c>
      <c r="AJ19" s="88">
        <f t="shared" si="9"/>
        <v>273.33333333333331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2.0833333333333333E-3</v>
      </c>
      <c r="L20" s="9"/>
      <c r="M20" s="9">
        <v>6.9444444444444441E-3</v>
      </c>
      <c r="N20" s="9"/>
      <c r="O20" s="9"/>
      <c r="P20" s="9"/>
      <c r="Q20" s="9"/>
      <c r="R20" s="9"/>
      <c r="S20" s="9">
        <v>0.15625</v>
      </c>
      <c r="T20" s="9"/>
      <c r="U20" s="9"/>
      <c r="V20" s="9"/>
      <c r="W20" s="9"/>
      <c r="X20" s="9"/>
      <c r="Y20" s="9"/>
      <c r="Z20" s="9"/>
      <c r="AA20" s="9">
        <f t="shared" si="0"/>
        <v>0.16527777777777777</v>
      </c>
      <c r="AB20" s="85">
        <f t="shared" si="6"/>
        <v>0</v>
      </c>
      <c r="AC20" s="66">
        <f t="shared" ref="AC20:AC21" si="10">0+(0/60)</f>
        <v>0</v>
      </c>
      <c r="AD20" s="1">
        <v>450</v>
      </c>
      <c r="AE20" s="88">
        <f t="shared" si="7"/>
        <v>0</v>
      </c>
      <c r="AF20" s="171"/>
      <c r="AG20" s="85">
        <f t="shared" si="8"/>
        <v>0.16527777777777777</v>
      </c>
      <c r="AH20" s="66">
        <f>0+(32/60)</f>
        <v>0.53333333333333333</v>
      </c>
      <c r="AI20" s="1">
        <v>450</v>
      </c>
      <c r="AJ20" s="88">
        <f t="shared" si="9"/>
        <v>240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  <c r="AB21" s="85">
        <f t="shared" si="6"/>
        <v>0</v>
      </c>
      <c r="AC21" s="66">
        <f t="shared" si="10"/>
        <v>0</v>
      </c>
      <c r="AD21" s="1">
        <v>350</v>
      </c>
      <c r="AE21" s="88">
        <f t="shared" si="7"/>
        <v>0</v>
      </c>
      <c r="AF21" s="171"/>
      <c r="AG21" s="85">
        <f t="shared" si="8"/>
        <v>0</v>
      </c>
      <c r="AH21" s="66">
        <f>0+(41/60)</f>
        <v>0.68333333333333335</v>
      </c>
      <c r="AI21" s="1">
        <v>350</v>
      </c>
      <c r="AJ21" s="88">
        <f t="shared" si="9"/>
        <v>239.16666666666669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1">E8+E15</f>
        <v>0</v>
      </c>
      <c r="F22" s="26">
        <f t="shared" si="11"/>
        <v>0</v>
      </c>
      <c r="G22" s="25"/>
      <c r="H22" s="25"/>
      <c r="I22" s="25"/>
      <c r="J22" s="27">
        <f t="shared" ref="J22:Z22" si="12">J8+J15</f>
        <v>0.67708333333333337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0.15625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si="12"/>
        <v>0</v>
      </c>
      <c r="Z22" s="27">
        <f t="shared" si="12"/>
        <v>0</v>
      </c>
      <c r="AA22" s="27">
        <f>SUM(J22:Z22)</f>
        <v>0.83333333333333337</v>
      </c>
      <c r="AB22" s="172" t="s">
        <v>52</v>
      </c>
      <c r="AC22" s="175"/>
      <c r="AD22" s="175"/>
      <c r="AE22" s="175"/>
      <c r="AF22" s="91">
        <f>+AF15+AF8</f>
        <v>11763.333333333332</v>
      </c>
      <c r="AG22" s="172" t="s">
        <v>53</v>
      </c>
      <c r="AH22" s="175"/>
      <c r="AI22" s="175"/>
      <c r="AJ22" s="175"/>
      <c r="AK22" s="91">
        <f>+AK15+AK8</f>
        <v>1989.1666666666665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1"/>
        <v>0</v>
      </c>
      <c r="F23" s="12">
        <f t="shared" si="11"/>
        <v>0</v>
      </c>
      <c r="G23" s="11"/>
      <c r="H23" s="11"/>
      <c r="I23" s="11"/>
      <c r="J23" s="13">
        <f t="shared" ref="J23:Z23" si="13">J9+J16</f>
        <v>2.0833333333333333E-3</v>
      </c>
      <c r="K23" s="13">
        <f t="shared" si="13"/>
        <v>1.3194444444444444E-2</v>
      </c>
      <c r="L23" s="13">
        <f t="shared" si="13"/>
        <v>0</v>
      </c>
      <c r="M23" s="13">
        <f t="shared" si="13"/>
        <v>6.9444444444444441E-3</v>
      </c>
      <c r="N23" s="13">
        <f t="shared" si="13"/>
        <v>6.9444444444444441E-3</v>
      </c>
      <c r="O23" s="13">
        <f t="shared" si="13"/>
        <v>1.8749999999999999E-2</v>
      </c>
      <c r="P23" s="13">
        <f t="shared" si="13"/>
        <v>0</v>
      </c>
      <c r="Q23" s="13">
        <f t="shared" si="13"/>
        <v>0</v>
      </c>
      <c r="R23" s="13">
        <f t="shared" si="13"/>
        <v>1.1805555555555555E-2</v>
      </c>
      <c r="S23" s="13">
        <f t="shared" si="13"/>
        <v>0.15625</v>
      </c>
      <c r="T23" s="13">
        <f t="shared" si="13"/>
        <v>0</v>
      </c>
      <c r="U23" s="13">
        <f t="shared" si="13"/>
        <v>0</v>
      </c>
      <c r="V23" s="13">
        <f t="shared" si="13"/>
        <v>0</v>
      </c>
      <c r="W23" s="13">
        <f t="shared" si="13"/>
        <v>0</v>
      </c>
      <c r="X23" s="13">
        <f t="shared" si="13"/>
        <v>0</v>
      </c>
      <c r="Y23" s="13">
        <f t="shared" si="13"/>
        <v>0</v>
      </c>
      <c r="Z23" s="13">
        <f t="shared" si="13"/>
        <v>0</v>
      </c>
      <c r="AA23" s="13">
        <f t="shared" ref="AA23:AA28" si="14">SUM(J23:Z23)</f>
        <v>0.21597222222222223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1"/>
        <v>0</v>
      </c>
      <c r="F24" s="12">
        <f t="shared" si="11"/>
        <v>0</v>
      </c>
      <c r="G24" s="11"/>
      <c r="H24" s="11"/>
      <c r="I24" s="11"/>
      <c r="J24" s="13">
        <f t="shared" ref="J24:Z24" si="15">J10+J17</f>
        <v>0</v>
      </c>
      <c r="K24" s="13">
        <f t="shared" si="15"/>
        <v>0</v>
      </c>
      <c r="L24" s="13">
        <f t="shared" si="15"/>
        <v>0</v>
      </c>
      <c r="M24" s="13">
        <f t="shared" si="15"/>
        <v>0</v>
      </c>
      <c r="N24" s="13">
        <f t="shared" si="15"/>
        <v>0</v>
      </c>
      <c r="O24" s="13">
        <f t="shared" si="15"/>
        <v>0</v>
      </c>
      <c r="P24" s="13">
        <f t="shared" si="15"/>
        <v>0</v>
      </c>
      <c r="Q24" s="13">
        <f t="shared" si="15"/>
        <v>0</v>
      </c>
      <c r="R24" s="13">
        <f t="shared" si="15"/>
        <v>0</v>
      </c>
      <c r="S24" s="13">
        <f t="shared" si="15"/>
        <v>0</v>
      </c>
      <c r="T24" s="13">
        <f t="shared" si="15"/>
        <v>0</v>
      </c>
      <c r="U24" s="13">
        <f t="shared" si="15"/>
        <v>0</v>
      </c>
      <c r="V24" s="13">
        <f t="shared" si="15"/>
        <v>0</v>
      </c>
      <c r="W24" s="13">
        <f t="shared" si="15"/>
        <v>0</v>
      </c>
      <c r="X24" s="13">
        <f t="shared" si="15"/>
        <v>0</v>
      </c>
      <c r="Y24" s="13">
        <f t="shared" si="15"/>
        <v>0</v>
      </c>
      <c r="Z24" s="13">
        <f t="shared" si="15"/>
        <v>0</v>
      </c>
      <c r="AA24" s="13">
        <f t="shared" ref="AA24:AA26" si="16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1"/>
        <v>0</v>
      </c>
      <c r="F25" s="12">
        <f t="shared" si="11"/>
        <v>0</v>
      </c>
      <c r="G25" s="11"/>
      <c r="H25" s="11"/>
      <c r="I25" s="11"/>
      <c r="J25" s="13">
        <f t="shared" ref="J25:Z25" si="17">J11+J18</f>
        <v>0.11388888888888889</v>
      </c>
      <c r="K25" s="13">
        <f t="shared" si="17"/>
        <v>0</v>
      </c>
      <c r="L25" s="13">
        <f t="shared" si="17"/>
        <v>0</v>
      </c>
      <c r="M25" s="13">
        <f t="shared" si="17"/>
        <v>1.3888888888888888E-2</v>
      </c>
      <c r="N25" s="13">
        <f t="shared" si="17"/>
        <v>6.9444444444444441E-3</v>
      </c>
      <c r="O25" s="13">
        <f t="shared" si="17"/>
        <v>0</v>
      </c>
      <c r="P25" s="13">
        <f t="shared" si="17"/>
        <v>0</v>
      </c>
      <c r="Q25" s="13">
        <f t="shared" si="17"/>
        <v>0</v>
      </c>
      <c r="R25" s="13">
        <f t="shared" si="17"/>
        <v>0</v>
      </c>
      <c r="S25" s="13">
        <f t="shared" si="17"/>
        <v>0.15625</v>
      </c>
      <c r="T25" s="13">
        <f t="shared" si="17"/>
        <v>0</v>
      </c>
      <c r="U25" s="13">
        <f t="shared" si="17"/>
        <v>0</v>
      </c>
      <c r="V25" s="13">
        <f t="shared" si="17"/>
        <v>0</v>
      </c>
      <c r="W25" s="13">
        <f t="shared" si="17"/>
        <v>0</v>
      </c>
      <c r="X25" s="13">
        <f t="shared" si="17"/>
        <v>0</v>
      </c>
      <c r="Y25" s="13">
        <f t="shared" si="17"/>
        <v>0</v>
      </c>
      <c r="Z25" s="13">
        <f t="shared" si="17"/>
        <v>0</v>
      </c>
      <c r="AA25" s="13">
        <f t="shared" si="16"/>
        <v>0.29097222222222219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1"/>
        <v>0</v>
      </c>
      <c r="F26" s="12">
        <f t="shared" si="11"/>
        <v>0</v>
      </c>
      <c r="G26" s="11"/>
      <c r="H26" s="11"/>
      <c r="I26" s="11"/>
      <c r="J26" s="13">
        <f t="shared" ref="J26:Z26" si="18">J12+J19</f>
        <v>9.9999999999999992E-2</v>
      </c>
      <c r="K26" s="13">
        <f t="shared" si="18"/>
        <v>1.1111111111111112E-2</v>
      </c>
      <c r="L26" s="13">
        <f t="shared" si="18"/>
        <v>0</v>
      </c>
      <c r="M26" s="13">
        <f t="shared" si="18"/>
        <v>9.7222222222222224E-3</v>
      </c>
      <c r="N26" s="13">
        <f t="shared" si="18"/>
        <v>6.9444444444444441E-3</v>
      </c>
      <c r="O26" s="13">
        <f t="shared" si="18"/>
        <v>1.1111111111111112E-2</v>
      </c>
      <c r="P26" s="13">
        <f t="shared" si="18"/>
        <v>0</v>
      </c>
      <c r="Q26" s="13">
        <f t="shared" si="18"/>
        <v>0</v>
      </c>
      <c r="R26" s="13">
        <f t="shared" si="18"/>
        <v>0</v>
      </c>
      <c r="S26" s="13">
        <f t="shared" si="18"/>
        <v>0.15625</v>
      </c>
      <c r="T26" s="13">
        <f t="shared" si="18"/>
        <v>0</v>
      </c>
      <c r="U26" s="13">
        <f t="shared" si="18"/>
        <v>0</v>
      </c>
      <c r="V26" s="13">
        <f t="shared" si="18"/>
        <v>0</v>
      </c>
      <c r="W26" s="13">
        <f t="shared" si="18"/>
        <v>0</v>
      </c>
      <c r="X26" s="13">
        <f t="shared" si="18"/>
        <v>0</v>
      </c>
      <c r="Y26" s="13">
        <f t="shared" si="18"/>
        <v>0</v>
      </c>
      <c r="Z26" s="13">
        <f t="shared" si="18"/>
        <v>0</v>
      </c>
      <c r="AA26" s="13">
        <f t="shared" si="16"/>
        <v>0.29513888888888884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1"/>
        <v>0</v>
      </c>
      <c r="F27" s="12">
        <f t="shared" si="11"/>
        <v>0</v>
      </c>
      <c r="G27" s="11"/>
      <c r="H27" s="11"/>
      <c r="I27" s="11"/>
      <c r="J27" s="13">
        <f t="shared" ref="J27:Z27" si="19">J13+J20</f>
        <v>0</v>
      </c>
      <c r="K27" s="13">
        <f t="shared" si="19"/>
        <v>4.8611111111111112E-3</v>
      </c>
      <c r="L27" s="13">
        <f t="shared" si="19"/>
        <v>4.1666666666666666E-3</v>
      </c>
      <c r="M27" s="13">
        <f t="shared" si="19"/>
        <v>1.3888888888888888E-2</v>
      </c>
      <c r="N27" s="13">
        <f t="shared" si="19"/>
        <v>1.3888888888888889E-3</v>
      </c>
      <c r="O27" s="13">
        <f t="shared" si="19"/>
        <v>0</v>
      </c>
      <c r="P27" s="13">
        <f t="shared" si="19"/>
        <v>0</v>
      </c>
      <c r="Q27" s="13">
        <f t="shared" si="19"/>
        <v>0</v>
      </c>
      <c r="R27" s="13">
        <f t="shared" si="19"/>
        <v>0</v>
      </c>
      <c r="S27" s="13">
        <f t="shared" si="19"/>
        <v>0.15625</v>
      </c>
      <c r="T27" s="13">
        <f t="shared" si="19"/>
        <v>0</v>
      </c>
      <c r="U27" s="13">
        <f t="shared" si="19"/>
        <v>0</v>
      </c>
      <c r="V27" s="13">
        <f t="shared" si="19"/>
        <v>0</v>
      </c>
      <c r="W27" s="13">
        <f t="shared" si="19"/>
        <v>0</v>
      </c>
      <c r="X27" s="13">
        <f t="shared" si="19"/>
        <v>0</v>
      </c>
      <c r="Y27" s="13">
        <f t="shared" si="19"/>
        <v>0</v>
      </c>
      <c r="Z27" s="13">
        <f t="shared" si="19"/>
        <v>0</v>
      </c>
      <c r="AA27" s="13">
        <f t="shared" si="14"/>
        <v>0.18055555555555555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1"/>
        <v>0</v>
      </c>
      <c r="F28" s="16">
        <f t="shared" si="11"/>
        <v>0</v>
      </c>
      <c r="G28" s="15"/>
      <c r="H28" s="15"/>
      <c r="I28" s="15"/>
      <c r="J28" s="17">
        <f t="shared" ref="J28:Z28" si="20">J14+J21</f>
        <v>0</v>
      </c>
      <c r="K28" s="17">
        <f t="shared" si="20"/>
        <v>1.3888888888888889E-3</v>
      </c>
      <c r="L28" s="17">
        <f t="shared" si="20"/>
        <v>0</v>
      </c>
      <c r="M28" s="17">
        <f t="shared" si="20"/>
        <v>6.9444444444444441E-3</v>
      </c>
      <c r="N28" s="17">
        <f t="shared" si="20"/>
        <v>0</v>
      </c>
      <c r="O28" s="17">
        <f t="shared" si="20"/>
        <v>0</v>
      </c>
      <c r="P28" s="17">
        <f t="shared" si="20"/>
        <v>0</v>
      </c>
      <c r="Q28" s="17">
        <f t="shared" si="20"/>
        <v>0</v>
      </c>
      <c r="R28" s="17">
        <f t="shared" si="20"/>
        <v>0</v>
      </c>
      <c r="S28" s="17">
        <f t="shared" si="20"/>
        <v>0</v>
      </c>
      <c r="T28" s="17">
        <f t="shared" si="20"/>
        <v>0</v>
      </c>
      <c r="U28" s="17">
        <f t="shared" si="20"/>
        <v>0</v>
      </c>
      <c r="V28" s="17">
        <f t="shared" si="20"/>
        <v>0</v>
      </c>
      <c r="W28" s="17">
        <f t="shared" si="20"/>
        <v>2.9861111111111113E-2</v>
      </c>
      <c r="X28" s="17">
        <f t="shared" si="20"/>
        <v>0</v>
      </c>
      <c r="Y28" s="17">
        <f t="shared" si="20"/>
        <v>0</v>
      </c>
      <c r="Z28" s="17">
        <f t="shared" si="20"/>
        <v>0</v>
      </c>
      <c r="AA28" s="17">
        <f t="shared" si="14"/>
        <v>3.8194444444444448E-2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rintOptions horizontalCentered="1"/>
  <pageMargins left="0.2" right="0.2" top="0.75" bottom="0.75" header="0.3" footer="0.3"/>
  <pageSetup paperSize="9" scale="51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3:AK28"/>
  <sheetViews>
    <sheetView topLeftCell="A4" zoomScale="115" zoomScaleNormal="115" workbookViewId="0">
      <pane xSplit="2" ySplit="4" topLeftCell="N8" activePane="bottomRight" state="frozen"/>
      <selection activeCell="A5" sqref="A5:A6"/>
      <selection pane="topRight" activeCell="A5" sqref="A5:A6"/>
      <selection pane="bottomLeft" activeCell="A5" sqref="A5:A6"/>
      <selection pane="bottomRight" activeCell="V8" sqref="V8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f>'04'!B5+1</f>
        <v>45631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0.30555555555555552</v>
      </c>
      <c r="K8" s="20"/>
      <c r="L8" s="20"/>
      <c r="M8" s="20"/>
      <c r="N8" s="20"/>
      <c r="O8" s="20"/>
      <c r="P8" s="20"/>
      <c r="Q8" s="20"/>
      <c r="R8" s="20"/>
      <c r="S8" s="20">
        <v>0.1111111111111111</v>
      </c>
      <c r="T8" s="20"/>
      <c r="U8" s="20"/>
      <c r="V8" s="20"/>
      <c r="W8" s="20"/>
      <c r="X8" s="20"/>
      <c r="Y8" s="20"/>
      <c r="Z8" s="20"/>
      <c r="AA8" s="20">
        <f>SUM(J8:Z8)</f>
        <v>0.41666666666666663</v>
      </c>
      <c r="AB8" s="85">
        <f>+J8+O8+Q8+U8</f>
        <v>0.30555555555555552</v>
      </c>
      <c r="AC8" s="66">
        <f>0+(24/60)</f>
        <v>0.4</v>
      </c>
      <c r="AD8" s="1">
        <v>400</v>
      </c>
      <c r="AE8" s="88">
        <f>+AC8*AD8</f>
        <v>160</v>
      </c>
      <c r="AF8" s="171">
        <f>SUM(AE8:AE14)</f>
        <v>2486.666666666667</v>
      </c>
      <c r="AG8" s="85">
        <f>+K8+L8+M8+N8+R8+S8+T8+V8+W8+X8+Y8+Z8</f>
        <v>0.1111111111111111</v>
      </c>
      <c r="AH8" s="66">
        <f>0+(5/60)</f>
        <v>8.3333333333333329E-2</v>
      </c>
      <c r="AI8" s="1">
        <v>400</v>
      </c>
      <c r="AJ8" s="88">
        <f>+AH8*AI8</f>
        <v>33.333333333333329</v>
      </c>
      <c r="AK8" s="171">
        <f>SUM(AJ8:AJ14)</f>
        <v>1760.8333333333333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0.16111111111111112</v>
      </c>
      <c r="K9" s="9"/>
      <c r="L9" s="9"/>
      <c r="M9" s="9">
        <v>6.9444444444444447E-4</v>
      </c>
      <c r="N9" s="9">
        <v>6.9444444444444441E-3</v>
      </c>
      <c r="O9" s="9"/>
      <c r="P9" s="9"/>
      <c r="Q9" s="9"/>
      <c r="R9" s="9">
        <v>2.4305555555555556E-2</v>
      </c>
      <c r="S9" s="9">
        <v>0.1111111111111111</v>
      </c>
      <c r="T9" s="9">
        <v>2.361111111111111E-2</v>
      </c>
      <c r="U9" s="9"/>
      <c r="V9" s="9"/>
      <c r="W9" s="9"/>
      <c r="X9" s="9"/>
      <c r="Y9" s="9"/>
      <c r="Z9" s="9"/>
      <c r="AA9" s="9">
        <f t="shared" ref="AA9:AA21" si="0">SUM(J9:Z9)</f>
        <v>0.32777777777777783</v>
      </c>
      <c r="AB9" s="85">
        <f t="shared" ref="AB9:AB14" si="1">+J9+O9+Q9+U9</f>
        <v>0.16111111111111112</v>
      </c>
      <c r="AC9" s="66">
        <f>1+(45/60)</f>
        <v>1.75</v>
      </c>
      <c r="AD9" s="1">
        <v>400</v>
      </c>
      <c r="AE9" s="88">
        <f t="shared" ref="AE9:AE14" si="2">+AC9*AD9</f>
        <v>700</v>
      </c>
      <c r="AF9" s="171"/>
      <c r="AG9" s="85">
        <f t="shared" ref="AG9:AG21" si="3">+K9+L9+M9+N9+R9+S9+T9+V9+W9+X9+Y9+Z9</f>
        <v>0.16666666666666666</v>
      </c>
      <c r="AH9" s="66">
        <f>0+(12/60)</f>
        <v>0.2</v>
      </c>
      <c r="AI9" s="1">
        <v>400</v>
      </c>
      <c r="AJ9" s="88">
        <f t="shared" ref="AJ9:AJ14" si="4">+AH9*AI9</f>
        <v>80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2.7777777777777779E-3</v>
      </c>
      <c r="N11" s="9">
        <v>5.5555555555555558E-3</v>
      </c>
      <c r="O11" s="9"/>
      <c r="P11" s="9"/>
      <c r="Q11" s="9"/>
      <c r="R11" s="9">
        <v>3.125E-2</v>
      </c>
      <c r="S11" s="9"/>
      <c r="T11" s="9"/>
      <c r="U11" s="9"/>
      <c r="V11" s="9">
        <v>0.13263888888888889</v>
      </c>
      <c r="W11" s="9"/>
      <c r="X11" s="9"/>
      <c r="Y11" s="9"/>
      <c r="Z11" s="9"/>
      <c r="AA11" s="9">
        <f t="shared" si="0"/>
        <v>0.17222222222222222</v>
      </c>
      <c r="AB11" s="85">
        <f t="shared" si="1"/>
        <v>0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0.17222222222222222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7.2916666666666671E-2</v>
      </c>
      <c r="K12" s="9"/>
      <c r="L12" s="9"/>
      <c r="M12" s="9">
        <v>4.1666666666666666E-3</v>
      </c>
      <c r="N12" s="9">
        <v>3.472222222222222E-3</v>
      </c>
      <c r="O12" s="9"/>
      <c r="P12" s="9"/>
      <c r="Q12" s="9"/>
      <c r="R12" s="9">
        <v>4.027777777777778E-2</v>
      </c>
      <c r="S12" s="9">
        <v>4.1666666666666664E-2</v>
      </c>
      <c r="T12" s="9">
        <v>4.1666666666666664E-2</v>
      </c>
      <c r="U12" s="9"/>
      <c r="V12" s="9">
        <v>6.25E-2</v>
      </c>
      <c r="W12" s="9"/>
      <c r="X12" s="9"/>
      <c r="Y12" s="9"/>
      <c r="Z12" s="9"/>
      <c r="AA12" s="9">
        <f t="shared" si="0"/>
        <v>0.26666666666666666</v>
      </c>
      <c r="AB12" s="85">
        <f t="shared" si="1"/>
        <v>7.2916666666666671E-2</v>
      </c>
      <c r="AC12" s="66">
        <f>1+(44/60)</f>
        <v>1.7333333333333334</v>
      </c>
      <c r="AD12" s="1">
        <v>400</v>
      </c>
      <c r="AE12" s="88">
        <f t="shared" si="2"/>
        <v>693.33333333333337</v>
      </c>
      <c r="AF12" s="171"/>
      <c r="AG12" s="85">
        <f t="shared" si="3"/>
        <v>0.19375000000000001</v>
      </c>
      <c r="AH12" s="66">
        <f>0+(6/60)</f>
        <v>0.1</v>
      </c>
      <c r="AI12" s="1">
        <v>400</v>
      </c>
      <c r="AJ12" s="88">
        <f t="shared" si="4"/>
        <v>40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4.1666666666666666E-3</v>
      </c>
      <c r="N13" s="9">
        <v>5.5555555555555558E-3</v>
      </c>
      <c r="O13" s="9"/>
      <c r="P13" s="9"/>
      <c r="Q13" s="9"/>
      <c r="R13" s="9">
        <v>1.7361111111111112E-2</v>
      </c>
      <c r="S13" s="9"/>
      <c r="T13" s="9"/>
      <c r="U13" s="9"/>
      <c r="V13" s="9">
        <v>0.10277777777777779</v>
      </c>
      <c r="W13" s="9"/>
      <c r="X13" s="9"/>
      <c r="Y13" s="9"/>
      <c r="Z13" s="9"/>
      <c r="AA13" s="9">
        <f t="shared" si="0"/>
        <v>0.12986111111111112</v>
      </c>
      <c r="AB13" s="85">
        <f t="shared" si="1"/>
        <v>0</v>
      </c>
      <c r="AC13" s="66">
        <f t="shared" ref="AC13" si="5">0+(0/60)</f>
        <v>0</v>
      </c>
      <c r="AD13" s="1">
        <v>450</v>
      </c>
      <c r="AE13" s="88">
        <f t="shared" si="2"/>
        <v>0</v>
      </c>
      <c r="AF13" s="171"/>
      <c r="AG13" s="85">
        <f t="shared" si="3"/>
        <v>0.12986111111111112</v>
      </c>
      <c r="AH13" s="66">
        <f>0+(30/60)</f>
        <v>0.5</v>
      </c>
      <c r="AI13" s="1">
        <v>450</v>
      </c>
      <c r="AJ13" s="88">
        <f t="shared" si="4"/>
        <v>225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6.9444444444444441E-3</v>
      </c>
      <c r="L14" s="23"/>
      <c r="M14" s="23">
        <v>3.472222222222222E-3</v>
      </c>
      <c r="N14" s="23">
        <v>1.3888888888888888E-2</v>
      </c>
      <c r="O14" s="23"/>
      <c r="P14" s="23"/>
      <c r="Q14" s="23"/>
      <c r="R14" s="23">
        <v>2.8472222222222222E-2</v>
      </c>
      <c r="S14" s="23"/>
      <c r="T14" s="23"/>
      <c r="U14" s="23"/>
      <c r="V14" s="23">
        <v>0.13958333333333334</v>
      </c>
      <c r="W14" s="23"/>
      <c r="X14" s="23"/>
      <c r="Y14" s="23"/>
      <c r="Z14" s="23"/>
      <c r="AA14" s="23">
        <f t="shared" si="0"/>
        <v>0.19236111111111109</v>
      </c>
      <c r="AB14" s="85">
        <f t="shared" si="1"/>
        <v>0</v>
      </c>
      <c r="AC14" s="66">
        <f>2+(40/60)</f>
        <v>2.6666666666666665</v>
      </c>
      <c r="AD14" s="1">
        <v>350</v>
      </c>
      <c r="AE14" s="88">
        <f t="shared" si="2"/>
        <v>933.33333333333326</v>
      </c>
      <c r="AF14" s="171"/>
      <c r="AG14" s="85">
        <f t="shared" si="3"/>
        <v>0.19236111111111109</v>
      </c>
      <c r="AH14" s="66">
        <f>3+(57/60)</f>
        <v>3.95</v>
      </c>
      <c r="AI14" s="1">
        <v>350</v>
      </c>
      <c r="AJ14" s="88">
        <f t="shared" si="4"/>
        <v>1382.5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0.41666666666666669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0.41666666666666669</v>
      </c>
      <c r="AB15" s="85">
        <f>+J15+O15+Q15+U15</f>
        <v>0.41666666666666669</v>
      </c>
      <c r="AC15" s="66">
        <f>0+(0/60)</f>
        <v>0</v>
      </c>
      <c r="AD15" s="1">
        <v>400</v>
      </c>
      <c r="AE15" s="88">
        <f>+AC15*AD15</f>
        <v>0</v>
      </c>
      <c r="AF15" s="171">
        <f>SUM(AE15:AE21)</f>
        <v>2626.6666666666665</v>
      </c>
      <c r="AG15" s="85">
        <f t="shared" si="3"/>
        <v>0</v>
      </c>
      <c r="AH15" s="66">
        <f>0+(0/60)</f>
        <v>0</v>
      </c>
      <c r="AI15" s="1">
        <v>400</v>
      </c>
      <c r="AJ15" s="88">
        <f>+AH15*AI15</f>
        <v>0</v>
      </c>
      <c r="AK15" s="171">
        <f>SUM(AJ15:AJ21)</f>
        <v>5913.333333333333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9.5138888888888884E-2</v>
      </c>
      <c r="K16" s="9"/>
      <c r="L16" s="9"/>
      <c r="M16" s="9">
        <v>6.2499999999999995E-3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0.10138888888888889</v>
      </c>
      <c r="AB16" s="85">
        <f t="shared" ref="AB16:AB21" si="6">+J16+O16+Q16+U16</f>
        <v>9.5138888888888884E-2</v>
      </c>
      <c r="AC16" s="66">
        <f>3+(0/60)</f>
        <v>3</v>
      </c>
      <c r="AD16" s="1">
        <v>400</v>
      </c>
      <c r="AE16" s="88">
        <f t="shared" ref="AE16:AE21" si="7">+AC16*AD16</f>
        <v>1200</v>
      </c>
      <c r="AF16" s="171"/>
      <c r="AG16" s="85">
        <f t="shared" si="3"/>
        <v>6.2499999999999995E-3</v>
      </c>
      <c r="AH16" s="66">
        <f>7+(9/60)</f>
        <v>7.15</v>
      </c>
      <c r="AI16" s="1">
        <v>400</v>
      </c>
      <c r="AJ16" s="88">
        <f t="shared" ref="AJ16:AJ21" si="8">+AH16*AI16</f>
        <v>2860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  <c r="AB17" s="85"/>
      <c r="AC17" s="66"/>
      <c r="AE17" s="88"/>
      <c r="AF17" s="171"/>
      <c r="AG17" s="85">
        <f t="shared" si="3"/>
        <v>0</v>
      </c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>
        <v>4.8611111111111112E-3</v>
      </c>
      <c r="N18" s="9">
        <v>3.472222222222222E-3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8.3333333333333332E-3</v>
      </c>
      <c r="AB18" s="85">
        <f t="shared" si="6"/>
        <v>0</v>
      </c>
      <c r="AC18" s="66">
        <f>0+(0/60)</f>
        <v>0</v>
      </c>
      <c r="AD18" s="1">
        <v>400</v>
      </c>
      <c r="AE18" s="88">
        <f t="shared" si="7"/>
        <v>0</v>
      </c>
      <c r="AF18" s="171"/>
      <c r="AG18" s="85">
        <f t="shared" si="3"/>
        <v>8.3333333333333332E-3</v>
      </c>
      <c r="AH18" s="66">
        <f>0+(0/60)</f>
        <v>0</v>
      </c>
      <c r="AI18" s="1">
        <v>400</v>
      </c>
      <c r="AJ18" s="88">
        <f t="shared" si="8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1.2499999999999999E-2</v>
      </c>
      <c r="L19" s="9"/>
      <c r="M19" s="9">
        <v>6.9444444444444447E-4</v>
      </c>
      <c r="N19" s="9">
        <v>1.5277777777777777E-2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2.8472222222222218E-2</v>
      </c>
      <c r="AB19" s="85">
        <f t="shared" si="6"/>
        <v>0</v>
      </c>
      <c r="AC19" s="66">
        <f>3+(34/60)</f>
        <v>3.5666666666666664</v>
      </c>
      <c r="AD19" s="1">
        <v>400</v>
      </c>
      <c r="AE19" s="88">
        <f t="shared" si="7"/>
        <v>1426.6666666666665</v>
      </c>
      <c r="AF19" s="171"/>
      <c r="AG19" s="85">
        <f t="shared" si="3"/>
        <v>2.8472222222222218E-2</v>
      </c>
      <c r="AH19" s="66">
        <f>7+(38/60)</f>
        <v>7.6333333333333329</v>
      </c>
      <c r="AI19" s="1">
        <v>400</v>
      </c>
      <c r="AJ19" s="88">
        <f t="shared" si="8"/>
        <v>3053.333333333333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6.9444444444444441E-3</v>
      </c>
      <c r="L20" s="9"/>
      <c r="M20" s="9">
        <v>6.9444444444444441E-3</v>
      </c>
      <c r="N20" s="9">
        <v>3.472222222222222E-3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1.7361111111111112E-2</v>
      </c>
      <c r="AB20" s="85">
        <f t="shared" si="6"/>
        <v>0</v>
      </c>
      <c r="AC20" s="66">
        <f t="shared" ref="AC20:AC21" si="9">0+(0/60)</f>
        <v>0</v>
      </c>
      <c r="AD20" s="1">
        <v>450</v>
      </c>
      <c r="AE20" s="88">
        <f t="shared" si="7"/>
        <v>0</v>
      </c>
      <c r="AF20" s="171"/>
      <c r="AG20" s="85">
        <f t="shared" si="3"/>
        <v>1.7361111111111112E-2</v>
      </c>
      <c r="AH20" s="66">
        <f t="shared" ref="AH20:AH21" si="10">0+(0/60)</f>
        <v>0</v>
      </c>
      <c r="AI20" s="1">
        <v>450</v>
      </c>
      <c r="AJ20" s="88">
        <f t="shared" si="8"/>
        <v>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  <c r="AB21" s="85">
        <f t="shared" si="6"/>
        <v>0</v>
      </c>
      <c r="AC21" s="66">
        <f t="shared" si="9"/>
        <v>0</v>
      </c>
      <c r="AD21" s="1">
        <v>350</v>
      </c>
      <c r="AE21" s="88">
        <f t="shared" si="7"/>
        <v>0</v>
      </c>
      <c r="AF21" s="171"/>
      <c r="AG21" s="85">
        <f t="shared" si="3"/>
        <v>0</v>
      </c>
      <c r="AH21" s="66">
        <f t="shared" si="10"/>
        <v>0</v>
      </c>
      <c r="AI21" s="1">
        <v>350</v>
      </c>
      <c r="AJ21" s="88">
        <f t="shared" si="8"/>
        <v>0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1">E8+E15</f>
        <v>0</v>
      </c>
      <c r="F22" s="26">
        <f t="shared" si="11"/>
        <v>0</v>
      </c>
      <c r="G22" s="25"/>
      <c r="H22" s="25"/>
      <c r="I22" s="25"/>
      <c r="J22" s="27">
        <f t="shared" ref="J22:Z22" si="12">J8+J15</f>
        <v>0.72222222222222221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0.1111111111111111</v>
      </c>
      <c r="T22" s="27">
        <f t="shared" si="12"/>
        <v>0</v>
      </c>
      <c r="U22" s="27">
        <f t="shared" si="12"/>
        <v>0</v>
      </c>
      <c r="V22" s="27">
        <f>V8+V15</f>
        <v>0</v>
      </c>
      <c r="W22" s="27">
        <f>W8+W15</f>
        <v>0</v>
      </c>
      <c r="X22" s="27">
        <f t="shared" si="12"/>
        <v>0</v>
      </c>
      <c r="Y22" s="27">
        <f t="shared" si="12"/>
        <v>0</v>
      </c>
      <c r="Z22" s="27">
        <f t="shared" si="12"/>
        <v>0</v>
      </c>
      <c r="AA22" s="27">
        <f>SUM(J22:Z22)</f>
        <v>0.83333333333333326</v>
      </c>
      <c r="AB22" s="172" t="s">
        <v>52</v>
      </c>
      <c r="AC22" s="175"/>
      <c r="AD22" s="175"/>
      <c r="AE22" s="175"/>
      <c r="AF22" s="91">
        <f>+AF15+AF8</f>
        <v>5113.3333333333339</v>
      </c>
      <c r="AG22" s="172" t="s">
        <v>53</v>
      </c>
      <c r="AH22" s="175"/>
      <c r="AI22" s="175"/>
      <c r="AJ22" s="175"/>
      <c r="AK22" s="91">
        <f>+AK15+AK8</f>
        <v>7674.1666666666661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1"/>
        <v>0</v>
      </c>
      <c r="F23" s="12">
        <f t="shared" si="11"/>
        <v>0</v>
      </c>
      <c r="G23" s="11"/>
      <c r="H23" s="11"/>
      <c r="I23" s="11"/>
      <c r="J23" s="13">
        <f t="shared" ref="J23:Z23" si="13">J9+J16</f>
        <v>0.25624999999999998</v>
      </c>
      <c r="K23" s="13">
        <f t="shared" si="13"/>
        <v>0</v>
      </c>
      <c r="L23" s="13">
        <f t="shared" si="13"/>
        <v>0</v>
      </c>
      <c r="M23" s="13">
        <f t="shared" si="13"/>
        <v>6.9444444444444441E-3</v>
      </c>
      <c r="N23" s="13">
        <f t="shared" si="13"/>
        <v>6.9444444444444441E-3</v>
      </c>
      <c r="O23" s="13">
        <f t="shared" si="13"/>
        <v>0</v>
      </c>
      <c r="P23" s="13">
        <f t="shared" si="13"/>
        <v>0</v>
      </c>
      <c r="Q23" s="13">
        <f t="shared" si="13"/>
        <v>0</v>
      </c>
      <c r="R23" s="13">
        <f t="shared" si="13"/>
        <v>2.4305555555555556E-2</v>
      </c>
      <c r="S23" s="13">
        <f t="shared" si="13"/>
        <v>0.1111111111111111</v>
      </c>
      <c r="T23" s="13">
        <f t="shared" si="13"/>
        <v>2.361111111111111E-2</v>
      </c>
      <c r="U23" s="13">
        <f t="shared" si="13"/>
        <v>0</v>
      </c>
      <c r="V23" s="13">
        <f t="shared" si="13"/>
        <v>0</v>
      </c>
      <c r="W23" s="13">
        <f t="shared" si="13"/>
        <v>0</v>
      </c>
      <c r="X23" s="13">
        <f t="shared" si="13"/>
        <v>0</v>
      </c>
      <c r="Y23" s="13">
        <f t="shared" si="13"/>
        <v>0</v>
      </c>
      <c r="Z23" s="13">
        <f t="shared" si="13"/>
        <v>0</v>
      </c>
      <c r="AA23" s="13">
        <f t="shared" ref="AA23:AA28" si="14">SUM(J23:Z23)</f>
        <v>0.42916666666666659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1"/>
        <v>0</v>
      </c>
      <c r="F24" s="12">
        <f t="shared" si="11"/>
        <v>0</v>
      </c>
      <c r="G24" s="11"/>
      <c r="H24" s="11"/>
      <c r="I24" s="11"/>
      <c r="J24" s="13">
        <f t="shared" ref="J24:Z24" si="15">J10+J17</f>
        <v>0</v>
      </c>
      <c r="K24" s="13">
        <f t="shared" si="15"/>
        <v>0</v>
      </c>
      <c r="L24" s="13">
        <f t="shared" si="15"/>
        <v>0</v>
      </c>
      <c r="M24" s="13">
        <f t="shared" si="15"/>
        <v>0</v>
      </c>
      <c r="N24" s="13">
        <f t="shared" si="15"/>
        <v>0</v>
      </c>
      <c r="O24" s="13">
        <f t="shared" si="15"/>
        <v>0</v>
      </c>
      <c r="P24" s="13">
        <f t="shared" si="15"/>
        <v>0</v>
      </c>
      <c r="Q24" s="13">
        <f t="shared" si="15"/>
        <v>0</v>
      </c>
      <c r="R24" s="13">
        <f t="shared" si="15"/>
        <v>0</v>
      </c>
      <c r="S24" s="13">
        <f t="shared" si="15"/>
        <v>0</v>
      </c>
      <c r="T24" s="13">
        <f t="shared" si="15"/>
        <v>0</v>
      </c>
      <c r="U24" s="13">
        <f t="shared" si="15"/>
        <v>0</v>
      </c>
      <c r="V24" s="13">
        <f t="shared" si="15"/>
        <v>0</v>
      </c>
      <c r="W24" s="13">
        <f t="shared" si="15"/>
        <v>0</v>
      </c>
      <c r="X24" s="13">
        <f t="shared" si="15"/>
        <v>0</v>
      </c>
      <c r="Y24" s="13">
        <f t="shared" si="15"/>
        <v>0</v>
      </c>
      <c r="Z24" s="13">
        <f t="shared" si="15"/>
        <v>0</v>
      </c>
      <c r="AA24" s="13">
        <f t="shared" ref="AA24:AA26" si="16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1"/>
        <v>0</v>
      </c>
      <c r="F25" s="12">
        <f t="shared" si="11"/>
        <v>0</v>
      </c>
      <c r="G25" s="11"/>
      <c r="H25" s="11"/>
      <c r="I25" s="11"/>
      <c r="J25" s="13">
        <f t="shared" ref="J25:Z25" si="17">J11+J18</f>
        <v>0</v>
      </c>
      <c r="K25" s="13">
        <f t="shared" si="17"/>
        <v>0</v>
      </c>
      <c r="L25" s="13">
        <f t="shared" si="17"/>
        <v>0</v>
      </c>
      <c r="M25" s="13">
        <f t="shared" si="17"/>
        <v>7.6388888888888895E-3</v>
      </c>
      <c r="N25" s="13">
        <f t="shared" si="17"/>
        <v>9.0277777777777769E-3</v>
      </c>
      <c r="O25" s="13">
        <f t="shared" si="17"/>
        <v>0</v>
      </c>
      <c r="P25" s="13">
        <f t="shared" si="17"/>
        <v>0</v>
      </c>
      <c r="Q25" s="13">
        <f t="shared" si="17"/>
        <v>0</v>
      </c>
      <c r="R25" s="13">
        <f t="shared" si="17"/>
        <v>3.125E-2</v>
      </c>
      <c r="S25" s="13">
        <f t="shared" si="17"/>
        <v>0</v>
      </c>
      <c r="T25" s="13">
        <f t="shared" si="17"/>
        <v>0</v>
      </c>
      <c r="U25" s="13">
        <f t="shared" si="17"/>
        <v>0</v>
      </c>
      <c r="V25" s="13">
        <f t="shared" si="17"/>
        <v>0.13263888888888889</v>
      </c>
      <c r="W25" s="13">
        <f t="shared" si="17"/>
        <v>0</v>
      </c>
      <c r="X25" s="13">
        <f t="shared" si="17"/>
        <v>0</v>
      </c>
      <c r="Y25" s="13">
        <f t="shared" si="17"/>
        <v>0</v>
      </c>
      <c r="Z25" s="13">
        <f t="shared" si="17"/>
        <v>0</v>
      </c>
      <c r="AA25" s="13">
        <f t="shared" si="16"/>
        <v>0.18055555555555555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1"/>
        <v>0</v>
      </c>
      <c r="F26" s="12">
        <f t="shared" si="11"/>
        <v>0</v>
      </c>
      <c r="G26" s="11"/>
      <c r="H26" s="11"/>
      <c r="I26" s="11"/>
      <c r="J26" s="13">
        <f t="shared" ref="J26:Z26" si="18">J12+J19</f>
        <v>7.2916666666666671E-2</v>
      </c>
      <c r="K26" s="13">
        <f t="shared" si="18"/>
        <v>1.2499999999999999E-2</v>
      </c>
      <c r="L26" s="13">
        <f t="shared" si="18"/>
        <v>0</v>
      </c>
      <c r="M26" s="13">
        <f t="shared" si="18"/>
        <v>4.8611111111111112E-3</v>
      </c>
      <c r="N26" s="13">
        <f t="shared" si="18"/>
        <v>1.8749999999999999E-2</v>
      </c>
      <c r="O26" s="13">
        <f t="shared" si="18"/>
        <v>0</v>
      </c>
      <c r="P26" s="13">
        <f t="shared" si="18"/>
        <v>0</v>
      </c>
      <c r="Q26" s="13">
        <f t="shared" si="18"/>
        <v>0</v>
      </c>
      <c r="R26" s="13">
        <f t="shared" si="18"/>
        <v>4.027777777777778E-2</v>
      </c>
      <c r="S26" s="13">
        <f t="shared" si="18"/>
        <v>4.1666666666666664E-2</v>
      </c>
      <c r="T26" s="13">
        <f t="shared" si="18"/>
        <v>4.1666666666666664E-2</v>
      </c>
      <c r="U26" s="13">
        <f t="shared" si="18"/>
        <v>0</v>
      </c>
      <c r="V26" s="13">
        <f t="shared" si="18"/>
        <v>6.25E-2</v>
      </c>
      <c r="W26" s="13">
        <f t="shared" si="18"/>
        <v>0</v>
      </c>
      <c r="X26" s="13">
        <f t="shared" si="18"/>
        <v>0</v>
      </c>
      <c r="Y26" s="13">
        <f t="shared" si="18"/>
        <v>0</v>
      </c>
      <c r="Z26" s="13">
        <f t="shared" si="18"/>
        <v>0</v>
      </c>
      <c r="AA26" s="13">
        <f t="shared" si="16"/>
        <v>0.29513888888888884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1"/>
        <v>0</v>
      </c>
      <c r="F27" s="12">
        <f t="shared" si="11"/>
        <v>0</v>
      </c>
      <c r="G27" s="11"/>
      <c r="H27" s="11"/>
      <c r="I27" s="11"/>
      <c r="J27" s="13">
        <f t="shared" ref="J27:Z27" si="19">J13+J20</f>
        <v>0</v>
      </c>
      <c r="K27" s="13">
        <f t="shared" si="19"/>
        <v>6.9444444444444441E-3</v>
      </c>
      <c r="L27" s="13">
        <f t="shared" si="19"/>
        <v>0</v>
      </c>
      <c r="M27" s="13">
        <f t="shared" si="19"/>
        <v>1.111111111111111E-2</v>
      </c>
      <c r="N27" s="13">
        <f t="shared" si="19"/>
        <v>9.0277777777777769E-3</v>
      </c>
      <c r="O27" s="13">
        <f t="shared" si="19"/>
        <v>0</v>
      </c>
      <c r="P27" s="13">
        <f t="shared" si="19"/>
        <v>0</v>
      </c>
      <c r="Q27" s="13">
        <f t="shared" si="19"/>
        <v>0</v>
      </c>
      <c r="R27" s="13">
        <f t="shared" si="19"/>
        <v>1.7361111111111112E-2</v>
      </c>
      <c r="S27" s="13">
        <f t="shared" si="19"/>
        <v>0</v>
      </c>
      <c r="T27" s="13">
        <f t="shared" si="19"/>
        <v>0</v>
      </c>
      <c r="U27" s="13">
        <f t="shared" si="19"/>
        <v>0</v>
      </c>
      <c r="V27" s="13">
        <f t="shared" si="19"/>
        <v>0.10277777777777779</v>
      </c>
      <c r="W27" s="13">
        <f t="shared" si="19"/>
        <v>0</v>
      </c>
      <c r="X27" s="13">
        <f t="shared" si="19"/>
        <v>0</v>
      </c>
      <c r="Y27" s="13">
        <f t="shared" si="19"/>
        <v>0</v>
      </c>
      <c r="Z27" s="13">
        <f t="shared" si="19"/>
        <v>0</v>
      </c>
      <c r="AA27" s="13">
        <f t="shared" si="14"/>
        <v>0.14722222222222223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1"/>
        <v>0</v>
      </c>
      <c r="F28" s="16">
        <f t="shared" si="11"/>
        <v>0</v>
      </c>
      <c r="G28" s="15"/>
      <c r="H28" s="15"/>
      <c r="I28" s="15"/>
      <c r="J28" s="17">
        <f t="shared" ref="J28:Z28" si="20">J14+J21</f>
        <v>0</v>
      </c>
      <c r="K28" s="17">
        <f t="shared" si="20"/>
        <v>6.9444444444444441E-3</v>
      </c>
      <c r="L28" s="17">
        <f t="shared" si="20"/>
        <v>0</v>
      </c>
      <c r="M28" s="17">
        <f t="shared" si="20"/>
        <v>3.472222222222222E-3</v>
      </c>
      <c r="N28" s="17">
        <f t="shared" si="20"/>
        <v>1.3888888888888888E-2</v>
      </c>
      <c r="O28" s="17">
        <f t="shared" si="20"/>
        <v>0</v>
      </c>
      <c r="P28" s="17">
        <f t="shared" si="20"/>
        <v>0</v>
      </c>
      <c r="Q28" s="17">
        <f t="shared" si="20"/>
        <v>0</v>
      </c>
      <c r="R28" s="17">
        <f t="shared" si="20"/>
        <v>2.8472222222222222E-2</v>
      </c>
      <c r="S28" s="17">
        <f t="shared" si="20"/>
        <v>0</v>
      </c>
      <c r="T28" s="17">
        <f t="shared" si="20"/>
        <v>0</v>
      </c>
      <c r="U28" s="17">
        <f t="shared" si="20"/>
        <v>0</v>
      </c>
      <c r="V28" s="17">
        <f t="shared" si="20"/>
        <v>0.13958333333333334</v>
      </c>
      <c r="W28" s="17">
        <f t="shared" si="20"/>
        <v>0</v>
      </c>
      <c r="X28" s="17">
        <f t="shared" si="20"/>
        <v>0</v>
      </c>
      <c r="Y28" s="17">
        <f t="shared" si="20"/>
        <v>0</v>
      </c>
      <c r="Z28" s="17">
        <f t="shared" si="20"/>
        <v>0</v>
      </c>
      <c r="AA28" s="17">
        <f t="shared" si="14"/>
        <v>0.19236111111111109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F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L10" sqref="L10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f>'05'!B5+1</f>
        <v>45632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62</v>
      </c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0.29305555555555557</v>
      </c>
      <c r="K8" s="20"/>
      <c r="L8" s="20"/>
      <c r="M8" s="20"/>
      <c r="N8" s="20"/>
      <c r="O8" s="20"/>
      <c r="P8" s="20"/>
      <c r="Q8" s="20"/>
      <c r="R8" s="20"/>
      <c r="S8" s="9">
        <v>0.12361111111111112</v>
      </c>
      <c r="T8" s="20"/>
      <c r="U8" s="20"/>
      <c r="V8" s="20"/>
      <c r="W8" s="20"/>
      <c r="X8" s="20"/>
      <c r="Y8" s="20"/>
      <c r="Z8" s="20"/>
      <c r="AA8" s="20">
        <f>SUM(J8:Z8)</f>
        <v>0.41666666666666669</v>
      </c>
      <c r="AB8" s="85">
        <f>+J8+O8+Q8+U8</f>
        <v>0.29305555555555557</v>
      </c>
      <c r="AC8" s="66">
        <f>0+(0/60)</f>
        <v>0</v>
      </c>
      <c r="AD8" s="1">
        <v>400</v>
      </c>
      <c r="AE8" s="88">
        <f>+AC8*AD8</f>
        <v>0</v>
      </c>
      <c r="AF8" s="171">
        <f>SUM(AE8:AE14)</f>
        <v>0</v>
      </c>
      <c r="AG8" s="85">
        <f>+K8+L8+M8+N8+R8+S8+T8+V8+W8+X8+Y8+Z8</f>
        <v>0.12361111111111112</v>
      </c>
      <c r="AH8" s="66">
        <f>0+(0/60)</f>
        <v>0</v>
      </c>
      <c r="AI8" s="1">
        <v>400</v>
      </c>
      <c r="AJ8" s="88">
        <f>+AH8*AI8</f>
        <v>0</v>
      </c>
      <c r="AK8" s="171">
        <f>SUM(AJ8:AJ14)</f>
        <v>390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0.125</v>
      </c>
      <c r="K9" s="9">
        <v>2.0833333333333332E-2</v>
      </c>
      <c r="L9" s="9">
        <v>4.1666666666666664E-2</v>
      </c>
      <c r="M9" s="9">
        <v>2.0833333333333332E-2</v>
      </c>
      <c r="N9" s="9"/>
      <c r="O9" s="9"/>
      <c r="P9" s="9"/>
      <c r="Q9" s="9"/>
      <c r="R9" s="9"/>
      <c r="S9" s="9">
        <v>0.10486111111111111</v>
      </c>
      <c r="T9" s="9">
        <v>8.3333333333333332E-3</v>
      </c>
      <c r="U9" s="9"/>
      <c r="V9" s="9"/>
      <c r="W9" s="9"/>
      <c r="X9" s="9"/>
      <c r="Y9" s="9"/>
      <c r="Z9" s="9"/>
      <c r="AA9" s="9">
        <f t="shared" ref="AA9:AA21" si="0">SUM(J9:Z9)</f>
        <v>0.3215277777777778</v>
      </c>
      <c r="AB9" s="85">
        <f t="shared" ref="AB9:AB14" si="1">+J9+O9+Q9+U9</f>
        <v>0.125</v>
      </c>
      <c r="AC9" s="66">
        <f>0+(0/60)</f>
        <v>0</v>
      </c>
      <c r="AD9" s="1">
        <v>400</v>
      </c>
      <c r="AE9" s="88">
        <f t="shared" ref="AE9:AE14" si="2">+AC9*AD9</f>
        <v>0</v>
      </c>
      <c r="AF9" s="171"/>
      <c r="AG9" s="85">
        <f t="shared" ref="AG9:AG21" si="3">+K9+L9+M9+N9+R9+S9+T9+V9+W9+X9+Y9+Z9</f>
        <v>0.19652777777777777</v>
      </c>
      <c r="AH9" s="66">
        <f>0+(0/60)</f>
        <v>0</v>
      </c>
      <c r="AI9" s="1">
        <v>400</v>
      </c>
      <c r="AJ9" s="88">
        <f t="shared" ref="AJ9:AJ14" si="4">+AH9*AI9</f>
        <v>0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3.0555555555555555E-2</v>
      </c>
      <c r="K11" s="9">
        <v>8.3333333333333332E-3</v>
      </c>
      <c r="L11" s="9"/>
      <c r="M11" s="9">
        <v>2.013888888888889E-2</v>
      </c>
      <c r="N11" s="9"/>
      <c r="O11" s="9">
        <v>5.5555555555555558E-3</v>
      </c>
      <c r="P11" s="9"/>
      <c r="Q11" s="9"/>
      <c r="R11" s="9"/>
      <c r="S11" s="9">
        <v>0.12361111111111112</v>
      </c>
      <c r="T11" s="9">
        <v>8.4027777777777771E-2</v>
      </c>
      <c r="U11" s="9"/>
      <c r="V11" s="9"/>
      <c r="W11" s="9"/>
      <c r="X11" s="9"/>
      <c r="Y11" s="9"/>
      <c r="Z11" s="9">
        <v>2.1527777777777781E-2</v>
      </c>
      <c r="AA11" s="9">
        <f t="shared" si="0"/>
        <v>0.29374999999999996</v>
      </c>
      <c r="AB11" s="85">
        <f t="shared" si="1"/>
        <v>3.6111111111111108E-2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0.25763888888888886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4.8611111111111112E-3</v>
      </c>
      <c r="L12" s="9"/>
      <c r="M12" s="9">
        <v>2.0833333333333332E-2</v>
      </c>
      <c r="N12" s="9"/>
      <c r="O12" s="9"/>
      <c r="P12" s="9"/>
      <c r="Q12" s="9"/>
      <c r="R12" s="9"/>
      <c r="S12" s="9">
        <v>0.10486111111111111</v>
      </c>
      <c r="T12" s="9"/>
      <c r="U12" s="9"/>
      <c r="V12" s="23"/>
      <c r="W12" s="9"/>
      <c r="X12" s="9"/>
      <c r="Y12" s="9"/>
      <c r="Z12" s="9">
        <v>1.8055555555555557E-2</v>
      </c>
      <c r="AA12" s="9">
        <f t="shared" si="0"/>
        <v>0.14861111111111111</v>
      </c>
      <c r="AB12" s="85">
        <f t="shared" si="1"/>
        <v>0</v>
      </c>
      <c r="AC12" s="66">
        <f>0+(0/60)</f>
        <v>0</v>
      </c>
      <c r="AD12" s="1">
        <v>400</v>
      </c>
      <c r="AE12" s="88">
        <f t="shared" si="2"/>
        <v>0</v>
      </c>
      <c r="AF12" s="171"/>
      <c r="AG12" s="85">
        <f t="shared" si="3"/>
        <v>0.14861111111111111</v>
      </c>
      <c r="AH12" s="66">
        <f>0+(0/60)</f>
        <v>0</v>
      </c>
      <c r="AI12" s="1">
        <v>400</v>
      </c>
      <c r="AJ12" s="88">
        <f t="shared" si="4"/>
        <v>0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4.8611111111111112E-3</v>
      </c>
      <c r="L13" s="9"/>
      <c r="M13" s="9">
        <v>9.0277777777777787E-3</v>
      </c>
      <c r="N13" s="9"/>
      <c r="O13" s="9"/>
      <c r="P13" s="9"/>
      <c r="Q13" s="9"/>
      <c r="R13" s="9"/>
      <c r="S13" s="9">
        <v>0.12361111111111112</v>
      </c>
      <c r="T13" s="9">
        <v>8.4027777777777771E-2</v>
      </c>
      <c r="U13" s="9"/>
      <c r="V13" s="9"/>
      <c r="W13" s="9"/>
      <c r="X13" s="9"/>
      <c r="Y13" s="9"/>
      <c r="Z13" s="9">
        <v>6.9444444444444441E-3</v>
      </c>
      <c r="AA13" s="9">
        <f t="shared" si="0"/>
        <v>0.22847222222222222</v>
      </c>
      <c r="AB13" s="85">
        <f t="shared" si="1"/>
        <v>0</v>
      </c>
      <c r="AC13" s="66">
        <f t="shared" ref="AC13:AC14" si="5">0+(0/60)</f>
        <v>0</v>
      </c>
      <c r="AD13" s="1">
        <v>450</v>
      </c>
      <c r="AE13" s="88">
        <f t="shared" si="2"/>
        <v>0</v>
      </c>
      <c r="AF13" s="171"/>
      <c r="AG13" s="85">
        <f t="shared" si="3"/>
        <v>0.22847222222222222</v>
      </c>
      <c r="AH13" s="66">
        <f>0+(52/60)</f>
        <v>0.8666666666666667</v>
      </c>
      <c r="AI13" s="1">
        <v>450</v>
      </c>
      <c r="AJ13" s="88">
        <f t="shared" si="4"/>
        <v>390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1.8055555555555557E-2</v>
      </c>
      <c r="N14" s="23"/>
      <c r="O14" s="23"/>
      <c r="P14" s="23"/>
      <c r="Q14" s="23"/>
      <c r="R14" s="23"/>
      <c r="S14" s="23">
        <v>3.6111111111111115E-2</v>
      </c>
      <c r="T14" s="23"/>
      <c r="U14" s="23"/>
      <c r="V14" s="23">
        <v>0.19930555555555554</v>
      </c>
      <c r="W14" s="23"/>
      <c r="X14" s="23"/>
      <c r="Y14" s="23"/>
      <c r="Z14" s="23"/>
      <c r="AA14" s="159">
        <f t="shared" si="0"/>
        <v>0.25347222222222221</v>
      </c>
      <c r="AB14" s="85">
        <f t="shared" si="1"/>
        <v>0</v>
      </c>
      <c r="AC14" s="66">
        <f t="shared" si="5"/>
        <v>0</v>
      </c>
      <c r="AD14" s="1">
        <v>350</v>
      </c>
      <c r="AE14" s="88">
        <f t="shared" si="2"/>
        <v>0</v>
      </c>
      <c r="AF14" s="171"/>
      <c r="AG14" s="85">
        <f t="shared" si="3"/>
        <v>0.25347222222222221</v>
      </c>
      <c r="AH14" s="66">
        <f>0+(0/60)</f>
        <v>0</v>
      </c>
      <c r="AI14" s="1">
        <v>350</v>
      </c>
      <c r="AJ14" s="88">
        <f t="shared" si="4"/>
        <v>0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  <c r="AB15" s="85">
        <f>+J15+O15+Q15+U15</f>
        <v>0</v>
      </c>
      <c r="AC15" s="66">
        <f>0+(0/60)</f>
        <v>0</v>
      </c>
      <c r="AD15" s="1">
        <v>400</v>
      </c>
      <c r="AE15" s="88">
        <f>+AC15*AD15</f>
        <v>0</v>
      </c>
      <c r="AF15" s="171">
        <f>SUM(AE15:AE21)</f>
        <v>700</v>
      </c>
      <c r="AG15" s="85">
        <f t="shared" si="3"/>
        <v>0</v>
      </c>
      <c r="AH15" s="66">
        <f>0+(0/60)</f>
        <v>0</v>
      </c>
      <c r="AI15" s="1">
        <v>400</v>
      </c>
      <c r="AJ15" s="88">
        <f>+AH15*AI15</f>
        <v>0</v>
      </c>
      <c r="AK15" s="171">
        <f>SUM(AJ15:AJ21)</f>
        <v>1970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0.10416666666666667</v>
      </c>
      <c r="K16" s="9"/>
      <c r="L16" s="9"/>
      <c r="M16" s="9"/>
      <c r="N16" s="9"/>
      <c r="O16" s="9"/>
      <c r="P16" s="9"/>
      <c r="Q16" s="9"/>
      <c r="R16" s="9"/>
      <c r="S16" s="9">
        <v>0.14375000000000002</v>
      </c>
      <c r="T16" s="9">
        <v>0.1013888888888889</v>
      </c>
      <c r="U16" s="9"/>
      <c r="V16" s="9"/>
      <c r="W16" s="9"/>
      <c r="X16" s="9"/>
      <c r="Y16" s="9"/>
      <c r="Z16" s="9"/>
      <c r="AA16" s="9">
        <f t="shared" si="0"/>
        <v>0.34930555555555559</v>
      </c>
      <c r="AB16" s="85">
        <f t="shared" ref="AB16:AB21" si="6">+J16+O16+Q16+U16</f>
        <v>0.10416666666666667</v>
      </c>
      <c r="AC16" s="66">
        <f>0+(0/60)</f>
        <v>0</v>
      </c>
      <c r="AD16" s="1">
        <v>400</v>
      </c>
      <c r="AE16" s="88">
        <f t="shared" ref="AE16:AE21" si="7">+AC16*AD16</f>
        <v>0</v>
      </c>
      <c r="AF16" s="171"/>
      <c r="AG16" s="85">
        <f t="shared" si="3"/>
        <v>0.24513888888888891</v>
      </c>
      <c r="AH16" s="66">
        <f>0+(0/60)</f>
        <v>0</v>
      </c>
      <c r="AI16" s="1">
        <v>400</v>
      </c>
      <c r="AJ16" s="88">
        <f t="shared" ref="AJ16:AJ21" si="8">+AH16*AI16</f>
        <v>0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  <c r="AB17" s="85">
        <f t="shared" si="6"/>
        <v>0</v>
      </c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1.0416666666666666E-2</v>
      </c>
      <c r="K18" s="9"/>
      <c r="L18" s="9">
        <v>1.2499999999999999E-2</v>
      </c>
      <c r="M18" s="9">
        <v>5.5555555555555558E-3</v>
      </c>
      <c r="N18" s="9"/>
      <c r="O18" s="9"/>
      <c r="P18" s="9"/>
      <c r="Q18" s="9"/>
      <c r="R18" s="9"/>
      <c r="S18" s="9">
        <v>0.15069444444444444</v>
      </c>
      <c r="T18" s="9">
        <v>0.19305555555555554</v>
      </c>
      <c r="U18" s="9">
        <v>1.0416666666666666E-2</v>
      </c>
      <c r="V18" s="9"/>
      <c r="W18" s="9"/>
      <c r="X18" s="9"/>
      <c r="Y18" s="9"/>
      <c r="Z18" s="9"/>
      <c r="AA18" s="9">
        <f t="shared" si="0"/>
        <v>0.38263888888888892</v>
      </c>
      <c r="AB18" s="85">
        <f t="shared" si="6"/>
        <v>2.0833333333333332E-2</v>
      </c>
      <c r="AC18" s="66">
        <f>0+(0/60)</f>
        <v>0</v>
      </c>
      <c r="AD18" s="1">
        <v>400</v>
      </c>
      <c r="AE18" s="88">
        <f t="shared" si="7"/>
        <v>0</v>
      </c>
      <c r="AF18" s="171"/>
      <c r="AG18" s="85">
        <f t="shared" si="3"/>
        <v>0.36180555555555549</v>
      </c>
      <c r="AH18" s="66">
        <f>0+(0/60)</f>
        <v>0</v>
      </c>
      <c r="AI18" s="1">
        <v>400</v>
      </c>
      <c r="AJ18" s="88">
        <f t="shared" si="8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>
        <v>3.472222222222222E-3</v>
      </c>
      <c r="N19" s="9"/>
      <c r="O19" s="9"/>
      <c r="P19" s="9"/>
      <c r="Q19" s="9"/>
      <c r="R19" s="9"/>
      <c r="S19" s="9">
        <v>0.14375000000000002</v>
      </c>
      <c r="T19" s="9">
        <v>0.10416666666666667</v>
      </c>
      <c r="U19" s="9"/>
      <c r="V19" s="9">
        <v>1.8055555555555557E-2</v>
      </c>
      <c r="W19" s="9"/>
      <c r="X19" s="9"/>
      <c r="Y19" s="9"/>
      <c r="Z19" s="9"/>
      <c r="AA19" s="9">
        <f t="shared" si="0"/>
        <v>0.26944444444444443</v>
      </c>
      <c r="AB19" s="85">
        <f t="shared" si="6"/>
        <v>0</v>
      </c>
      <c r="AC19" s="66">
        <f t="shared" ref="AC19:AC20" si="9">0+(0/60)</f>
        <v>0</v>
      </c>
      <c r="AD19" s="1">
        <v>400</v>
      </c>
      <c r="AE19" s="88">
        <f t="shared" si="7"/>
        <v>0</v>
      </c>
      <c r="AF19" s="171"/>
      <c r="AG19" s="85">
        <f t="shared" si="3"/>
        <v>0.26944444444444443</v>
      </c>
      <c r="AH19" s="66">
        <f>2+(41/60)</f>
        <v>2.6833333333333336</v>
      </c>
      <c r="AI19" s="1">
        <v>400</v>
      </c>
      <c r="AJ19" s="88">
        <f t="shared" si="8"/>
        <v>1073.3333333333335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1.3888888888888889E-3</v>
      </c>
      <c r="L20" s="9"/>
      <c r="M20" s="9">
        <v>4.8611111111111112E-3</v>
      </c>
      <c r="N20" s="9"/>
      <c r="O20" s="9">
        <v>1.3194444444444444E-2</v>
      </c>
      <c r="P20" s="9"/>
      <c r="Q20" s="9"/>
      <c r="R20" s="9"/>
      <c r="S20" s="9">
        <v>0.15069444444444444</v>
      </c>
      <c r="T20" s="9">
        <v>0.15138888888888888</v>
      </c>
      <c r="U20" s="9">
        <v>1.0416666666666666E-2</v>
      </c>
      <c r="V20" s="9"/>
      <c r="W20" s="9"/>
      <c r="X20" s="9"/>
      <c r="Y20" s="9"/>
      <c r="Z20" s="9"/>
      <c r="AA20" s="9">
        <f t="shared" si="0"/>
        <v>0.33194444444444443</v>
      </c>
      <c r="AB20" s="85">
        <f t="shared" si="6"/>
        <v>2.361111111111111E-2</v>
      </c>
      <c r="AC20" s="66">
        <f t="shared" si="9"/>
        <v>0</v>
      </c>
      <c r="AD20" s="1">
        <v>450</v>
      </c>
      <c r="AE20" s="88">
        <f t="shared" si="7"/>
        <v>0</v>
      </c>
      <c r="AF20" s="171"/>
      <c r="AG20" s="85">
        <f t="shared" si="3"/>
        <v>0.30833333333333335</v>
      </c>
      <c r="AH20" s="66">
        <f>0+(20/60)</f>
        <v>0.33333333333333331</v>
      </c>
      <c r="AI20" s="1">
        <v>450</v>
      </c>
      <c r="AJ20" s="88">
        <f t="shared" si="8"/>
        <v>150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5.5555555555555558E-3</v>
      </c>
      <c r="L21" s="23"/>
      <c r="M21" s="23">
        <v>6.9444444444444447E-4</v>
      </c>
      <c r="N21" s="23"/>
      <c r="O21" s="23"/>
      <c r="P21" s="23"/>
      <c r="Q21" s="23"/>
      <c r="R21" s="23"/>
      <c r="S21" s="23"/>
      <c r="T21" s="23">
        <v>9.9999999999999992E-2</v>
      </c>
      <c r="U21" s="23"/>
      <c r="V21" s="23"/>
      <c r="W21" s="23">
        <v>0.21875</v>
      </c>
      <c r="X21" s="23"/>
      <c r="Y21" s="23"/>
      <c r="Z21" s="23"/>
      <c r="AA21" s="23">
        <f t="shared" si="0"/>
        <v>0.32500000000000001</v>
      </c>
      <c r="AB21" s="85">
        <f t="shared" si="6"/>
        <v>0</v>
      </c>
      <c r="AC21" s="66">
        <f>2+(0/60)</f>
        <v>2</v>
      </c>
      <c r="AD21" s="1">
        <v>350</v>
      </c>
      <c r="AE21" s="88">
        <f t="shared" si="7"/>
        <v>700</v>
      </c>
      <c r="AF21" s="171"/>
      <c r="AG21" s="85">
        <f t="shared" si="3"/>
        <v>0.32500000000000001</v>
      </c>
      <c r="AH21" s="66">
        <f>2+(8/60)</f>
        <v>2.1333333333333333</v>
      </c>
      <c r="AI21" s="1">
        <v>350</v>
      </c>
      <c r="AJ21" s="88">
        <f t="shared" si="8"/>
        <v>746.66666666666663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0.29305555555555557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0.12361111111111112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>SUM(J22:Z22)</f>
        <v>0.41666666666666669</v>
      </c>
      <c r="AB22" s="172" t="s">
        <v>52</v>
      </c>
      <c r="AC22" s="175"/>
      <c r="AD22" s="175"/>
      <c r="AE22" s="175"/>
      <c r="AF22" s="91">
        <f>+AF15+AF8</f>
        <v>700</v>
      </c>
      <c r="AG22" s="172" t="s">
        <v>53</v>
      </c>
      <c r="AH22" s="175"/>
      <c r="AI22" s="175"/>
      <c r="AJ22" s="175"/>
      <c r="AK22" s="91">
        <f>+AK15+AK8</f>
        <v>2360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0.22916666666666669</v>
      </c>
      <c r="K23" s="13">
        <f t="shared" si="12"/>
        <v>2.0833333333333332E-2</v>
      </c>
      <c r="L23" s="13">
        <f t="shared" si="12"/>
        <v>4.1666666666666664E-2</v>
      </c>
      <c r="M23" s="13">
        <f t="shared" si="12"/>
        <v>2.0833333333333332E-2</v>
      </c>
      <c r="N23" s="13">
        <f t="shared" si="12"/>
        <v>0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0</v>
      </c>
      <c r="S23" s="13">
        <f t="shared" si="12"/>
        <v>0.24861111111111112</v>
      </c>
      <c r="T23" s="13">
        <f t="shared" si="12"/>
        <v>0.10972222222222223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ref="AA23:AA28" si="13">SUM(J23:Z23)</f>
        <v>0.67083333333333339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6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0"/>
        <v>0</v>
      </c>
      <c r="F25" s="12">
        <f t="shared" si="10"/>
        <v>0</v>
      </c>
      <c r="G25" s="11"/>
      <c r="H25" s="11"/>
      <c r="I25" s="11"/>
      <c r="J25" s="13">
        <f t="shared" ref="J25:Z25" si="16">J11+J18</f>
        <v>4.0972222222222222E-2</v>
      </c>
      <c r="K25" s="13">
        <f t="shared" si="16"/>
        <v>8.3333333333333332E-3</v>
      </c>
      <c r="L25" s="13">
        <f t="shared" si="16"/>
        <v>1.2499999999999999E-2</v>
      </c>
      <c r="M25" s="13">
        <f t="shared" si="16"/>
        <v>2.5694444444444447E-2</v>
      </c>
      <c r="N25" s="13">
        <f t="shared" si="16"/>
        <v>0</v>
      </c>
      <c r="O25" s="13">
        <f t="shared" si="16"/>
        <v>5.5555555555555558E-3</v>
      </c>
      <c r="P25" s="13">
        <f t="shared" si="16"/>
        <v>0</v>
      </c>
      <c r="Q25" s="13">
        <f t="shared" si="16"/>
        <v>0</v>
      </c>
      <c r="R25" s="13">
        <f t="shared" si="16"/>
        <v>0</v>
      </c>
      <c r="S25" s="13">
        <f t="shared" si="16"/>
        <v>0.27430555555555558</v>
      </c>
      <c r="T25" s="13">
        <f t="shared" si="16"/>
        <v>0.27708333333333329</v>
      </c>
      <c r="U25" s="13">
        <f t="shared" si="16"/>
        <v>1.0416666666666666E-2</v>
      </c>
      <c r="V25" s="13">
        <f t="shared" si="16"/>
        <v>0</v>
      </c>
      <c r="W25" s="13">
        <f t="shared" si="16"/>
        <v>0</v>
      </c>
      <c r="X25" s="13">
        <f t="shared" si="16"/>
        <v>0</v>
      </c>
      <c r="Y25" s="13">
        <f t="shared" si="16"/>
        <v>0</v>
      </c>
      <c r="Z25" s="13">
        <f t="shared" si="16"/>
        <v>2.1527777777777781E-2</v>
      </c>
      <c r="AA25" s="13">
        <f t="shared" si="15"/>
        <v>0.67638888888888882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0"/>
        <v>0</v>
      </c>
      <c r="F26" s="12">
        <f t="shared" si="10"/>
        <v>0</v>
      </c>
      <c r="G26" s="11"/>
      <c r="H26" s="11"/>
      <c r="I26" s="11"/>
      <c r="J26" s="13">
        <f t="shared" ref="J26:Z26" si="17">J12+J19</f>
        <v>0</v>
      </c>
      <c r="K26" s="13">
        <f t="shared" si="17"/>
        <v>4.8611111111111112E-3</v>
      </c>
      <c r="L26" s="13">
        <f t="shared" si="17"/>
        <v>0</v>
      </c>
      <c r="M26" s="13">
        <f t="shared" si="17"/>
        <v>2.4305555555555552E-2</v>
      </c>
      <c r="N26" s="13">
        <f t="shared" si="17"/>
        <v>0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0</v>
      </c>
      <c r="S26" s="13">
        <f t="shared" si="17"/>
        <v>0.24861111111111112</v>
      </c>
      <c r="T26" s="13">
        <f t="shared" si="17"/>
        <v>0.10416666666666667</v>
      </c>
      <c r="U26" s="13">
        <f t="shared" si="17"/>
        <v>0</v>
      </c>
      <c r="V26" s="13">
        <f t="shared" si="17"/>
        <v>1.8055555555555557E-2</v>
      </c>
      <c r="W26" s="13">
        <f t="shared" si="17"/>
        <v>0</v>
      </c>
      <c r="X26" s="13">
        <f t="shared" si="17"/>
        <v>0</v>
      </c>
      <c r="Y26" s="13">
        <f t="shared" si="17"/>
        <v>0</v>
      </c>
      <c r="Z26" s="13">
        <f t="shared" si="17"/>
        <v>1.8055555555555557E-2</v>
      </c>
      <c r="AA26" s="13">
        <f t="shared" si="15"/>
        <v>0.41805555555555557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0"/>
        <v>0</v>
      </c>
      <c r="F27" s="12">
        <f t="shared" si="10"/>
        <v>0</v>
      </c>
      <c r="G27" s="11"/>
      <c r="H27" s="11"/>
      <c r="I27" s="11"/>
      <c r="J27" s="13">
        <f t="shared" ref="J27:Z27" si="18">J13+J20</f>
        <v>0</v>
      </c>
      <c r="K27" s="13">
        <f t="shared" si="18"/>
        <v>6.2500000000000003E-3</v>
      </c>
      <c r="L27" s="13">
        <f t="shared" si="18"/>
        <v>0</v>
      </c>
      <c r="M27" s="13">
        <f t="shared" si="18"/>
        <v>1.388888888888889E-2</v>
      </c>
      <c r="N27" s="13">
        <f t="shared" si="18"/>
        <v>0</v>
      </c>
      <c r="O27" s="13">
        <f t="shared" si="18"/>
        <v>1.3194444444444444E-2</v>
      </c>
      <c r="P27" s="13">
        <f t="shared" si="18"/>
        <v>0</v>
      </c>
      <c r="Q27" s="13">
        <f t="shared" si="18"/>
        <v>0</v>
      </c>
      <c r="R27" s="13">
        <f t="shared" si="18"/>
        <v>0</v>
      </c>
      <c r="S27" s="13">
        <f t="shared" si="18"/>
        <v>0.27430555555555558</v>
      </c>
      <c r="T27" s="13">
        <f t="shared" si="18"/>
        <v>0.23541666666666666</v>
      </c>
      <c r="U27" s="13">
        <f t="shared" si="18"/>
        <v>1.0416666666666666E-2</v>
      </c>
      <c r="V27" s="13">
        <f t="shared" si="18"/>
        <v>0</v>
      </c>
      <c r="W27" s="13">
        <f t="shared" si="18"/>
        <v>0</v>
      </c>
      <c r="X27" s="13">
        <f t="shared" si="18"/>
        <v>0</v>
      </c>
      <c r="Y27" s="13">
        <f t="shared" si="18"/>
        <v>0</v>
      </c>
      <c r="Z27" s="13">
        <f t="shared" si="18"/>
        <v>6.9444444444444441E-3</v>
      </c>
      <c r="AA27" s="13">
        <f t="shared" si="13"/>
        <v>0.56041666666666667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0"/>
        <v>0</v>
      </c>
      <c r="F28" s="16">
        <f t="shared" si="10"/>
        <v>0</v>
      </c>
      <c r="G28" s="15"/>
      <c r="H28" s="15"/>
      <c r="I28" s="15"/>
      <c r="J28" s="17">
        <f t="shared" ref="J28:Z28" si="19">J14+J21</f>
        <v>0</v>
      </c>
      <c r="K28" s="17">
        <f t="shared" si="19"/>
        <v>5.5555555555555558E-3</v>
      </c>
      <c r="L28" s="17">
        <f t="shared" si="19"/>
        <v>0</v>
      </c>
      <c r="M28" s="17">
        <f t="shared" si="19"/>
        <v>1.8750000000000003E-2</v>
      </c>
      <c r="N28" s="17">
        <f t="shared" si="19"/>
        <v>0</v>
      </c>
      <c r="O28" s="17">
        <f t="shared" si="19"/>
        <v>0</v>
      </c>
      <c r="P28" s="17">
        <f t="shared" si="19"/>
        <v>0</v>
      </c>
      <c r="Q28" s="17">
        <f t="shared" si="19"/>
        <v>0</v>
      </c>
      <c r="R28" s="17">
        <f t="shared" si="19"/>
        <v>0</v>
      </c>
      <c r="S28" s="17">
        <f t="shared" si="19"/>
        <v>3.6111111111111115E-2</v>
      </c>
      <c r="T28" s="17">
        <f t="shared" si="19"/>
        <v>9.9999999999999992E-2</v>
      </c>
      <c r="U28" s="17">
        <f t="shared" si="19"/>
        <v>0</v>
      </c>
      <c r="V28" s="17">
        <f t="shared" si="19"/>
        <v>0.19930555555555554</v>
      </c>
      <c r="W28" s="17">
        <f t="shared" si="19"/>
        <v>0.21875</v>
      </c>
      <c r="X28" s="17">
        <f t="shared" si="19"/>
        <v>0</v>
      </c>
      <c r="Y28" s="17">
        <f t="shared" si="19"/>
        <v>0</v>
      </c>
      <c r="Z28" s="17">
        <f t="shared" si="19"/>
        <v>0</v>
      </c>
      <c r="AA28" s="17">
        <f t="shared" si="13"/>
        <v>0.57847222222222217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Z20" sqref="Z20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f>'06'!B5+1</f>
        <v>45633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0.36805555555555558</v>
      </c>
      <c r="K8" s="20"/>
      <c r="L8" s="20"/>
      <c r="M8" s="20"/>
      <c r="N8" s="20"/>
      <c r="O8" s="20"/>
      <c r="P8" s="20"/>
      <c r="Q8" s="20"/>
      <c r="R8" s="20"/>
      <c r="S8" s="20">
        <v>4.8611111111111112E-2</v>
      </c>
      <c r="T8" s="20"/>
      <c r="U8" s="20"/>
      <c r="V8" s="20"/>
      <c r="W8" s="20"/>
      <c r="X8" s="20"/>
      <c r="Y8" s="20"/>
      <c r="Z8" s="20"/>
      <c r="AA8" s="20">
        <f>SUM(J8:Z8)</f>
        <v>0.41666666666666669</v>
      </c>
      <c r="AB8" s="85">
        <f>+J8+O8+Q8+U8</f>
        <v>0.36805555555555558</v>
      </c>
      <c r="AC8" s="66">
        <f>3+(43/60)</f>
        <v>3.7166666666666668</v>
      </c>
      <c r="AD8" s="1">
        <v>400</v>
      </c>
      <c r="AE8" s="88">
        <f>+AC8*AD8</f>
        <v>1486.6666666666667</v>
      </c>
      <c r="AF8" s="171">
        <f>SUM(AE8:AE14)</f>
        <v>1886.6666666666667</v>
      </c>
      <c r="AG8" s="85">
        <f>+K8+L8+M8+N8+R8+S8+T8+V8+W8+X8+Y8+Z8</f>
        <v>4.8611111111111112E-2</v>
      </c>
      <c r="AH8" s="66">
        <f>0+(12/60)</f>
        <v>0.2</v>
      </c>
      <c r="AI8" s="1">
        <v>400</v>
      </c>
      <c r="AJ8" s="88">
        <f>+AH8*AI8</f>
        <v>80</v>
      </c>
      <c r="AK8" s="171">
        <f>SUM(AJ8:AJ14)</f>
        <v>3529.166666666667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0.13402777777777777</v>
      </c>
      <c r="K9" s="9"/>
      <c r="L9" s="9"/>
      <c r="M9" s="9">
        <v>2.7777777777777779E-3</v>
      </c>
      <c r="N9" s="9">
        <v>6.9444444444444441E-3</v>
      </c>
      <c r="O9" s="9"/>
      <c r="P9" s="9"/>
      <c r="Q9" s="9"/>
      <c r="R9" s="9">
        <v>2.7083333333333334E-2</v>
      </c>
      <c r="S9" s="9">
        <v>4.8611111111111112E-2</v>
      </c>
      <c r="T9" s="9"/>
      <c r="U9" s="9"/>
      <c r="V9" s="9"/>
      <c r="W9" s="9"/>
      <c r="X9" s="9"/>
      <c r="Y9" s="9"/>
      <c r="Z9" s="9"/>
      <c r="AA9" s="160">
        <f t="shared" ref="AA9:AA21" si="0">SUM(J9:Z9)</f>
        <v>0.21944444444444444</v>
      </c>
      <c r="AB9" s="85">
        <f t="shared" ref="AB9:AB14" si="1">+J9+O9+Q9+U9</f>
        <v>0.13402777777777777</v>
      </c>
      <c r="AC9" s="66">
        <f>1+(0/60)</f>
        <v>1</v>
      </c>
      <c r="AD9" s="1">
        <v>400</v>
      </c>
      <c r="AE9" s="88">
        <f t="shared" ref="AE9:AE14" si="2">+AC9*AD9</f>
        <v>400</v>
      </c>
      <c r="AF9" s="171"/>
      <c r="AG9" s="85">
        <f t="shared" ref="AG9:AG21" si="3">+K9+L9+M9+N9+R9+S9+T9+V9+W9+X9+Y9+Z9</f>
        <v>8.5416666666666669E-2</v>
      </c>
      <c r="AH9" s="66">
        <f>0+(28/60)</f>
        <v>0.46666666666666667</v>
      </c>
      <c r="AI9" s="1">
        <v>400</v>
      </c>
      <c r="AJ9" s="88">
        <f t="shared" ref="AJ9:AJ14" si="4">+AH9*AI9</f>
        <v>186.66666666666666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1.1111111111111112E-2</v>
      </c>
      <c r="K11" s="9"/>
      <c r="L11" s="9"/>
      <c r="M11" s="9">
        <v>1.0416666666666666E-2</v>
      </c>
      <c r="N11" s="9">
        <v>6.9444444444444441E-3</v>
      </c>
      <c r="O11" s="9"/>
      <c r="P11" s="9"/>
      <c r="Q11" s="9"/>
      <c r="R11" s="9">
        <v>1.8749999999999999E-2</v>
      </c>
      <c r="S11" s="9">
        <v>4.8611111111111112E-2</v>
      </c>
      <c r="T11" s="9">
        <v>1.3888888888888888E-2</v>
      </c>
      <c r="U11" s="9"/>
      <c r="V11" s="9"/>
      <c r="W11" s="9"/>
      <c r="X11" s="9"/>
      <c r="Y11" s="9"/>
      <c r="Z11" s="9"/>
      <c r="AA11" s="9">
        <f t="shared" si="0"/>
        <v>0.10972222222222222</v>
      </c>
      <c r="AB11" s="85">
        <f t="shared" si="1"/>
        <v>1.1111111111111112E-2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9.8611111111111122E-2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2.7777777777777779E-3</v>
      </c>
      <c r="L12" s="9"/>
      <c r="M12" s="9">
        <v>5.5555555555555558E-3</v>
      </c>
      <c r="N12" s="9">
        <v>1.0416666666666666E-2</v>
      </c>
      <c r="O12" s="9"/>
      <c r="P12" s="9"/>
      <c r="Q12" s="9"/>
      <c r="R12" s="9">
        <v>1.6666666666666666E-2</v>
      </c>
      <c r="S12" s="9">
        <v>4.8611111111111112E-2</v>
      </c>
      <c r="T12" s="9">
        <v>3.888888888888889E-2</v>
      </c>
      <c r="U12" s="9"/>
      <c r="V12" s="9"/>
      <c r="W12" s="9"/>
      <c r="X12" s="9"/>
      <c r="Y12" s="9"/>
      <c r="Z12" s="9"/>
      <c r="AA12" s="9">
        <f t="shared" si="0"/>
        <v>0.12291666666666667</v>
      </c>
      <c r="AB12" s="85">
        <f t="shared" si="1"/>
        <v>0</v>
      </c>
      <c r="AC12" s="66">
        <f>0+(0/60)</f>
        <v>0</v>
      </c>
      <c r="AD12" s="1">
        <v>400</v>
      </c>
      <c r="AE12" s="88">
        <f t="shared" si="2"/>
        <v>0</v>
      </c>
      <c r="AF12" s="171"/>
      <c r="AG12" s="85">
        <f t="shared" si="3"/>
        <v>0.12291666666666667</v>
      </c>
      <c r="AH12" s="66">
        <f>0+(52/60)</f>
        <v>0.8666666666666667</v>
      </c>
      <c r="AI12" s="1">
        <v>400</v>
      </c>
      <c r="AJ12" s="88">
        <f t="shared" si="4"/>
        <v>346.66666666666669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6.2499999999999995E-3</v>
      </c>
      <c r="L13" s="9">
        <v>1.1111111111111112E-2</v>
      </c>
      <c r="M13" s="9">
        <v>2.0833333333333333E-3</v>
      </c>
      <c r="N13" s="9">
        <v>6.9444444444444441E-3</v>
      </c>
      <c r="O13" s="9"/>
      <c r="P13" s="9"/>
      <c r="Q13" s="9"/>
      <c r="R13" s="9">
        <v>1.8749999999999999E-2</v>
      </c>
      <c r="S13" s="9">
        <v>4.8611111111111112E-2</v>
      </c>
      <c r="T13" s="9">
        <v>3.888888888888889E-2</v>
      </c>
      <c r="U13" s="9"/>
      <c r="V13" s="9">
        <v>8.3333333333333329E-2</v>
      </c>
      <c r="W13" s="9"/>
      <c r="X13" s="9"/>
      <c r="Y13" s="9"/>
      <c r="Z13" s="9"/>
      <c r="AA13" s="160">
        <f t="shared" si="0"/>
        <v>0.21597222222222223</v>
      </c>
      <c r="AB13" s="85">
        <f t="shared" si="1"/>
        <v>0</v>
      </c>
      <c r="AC13" s="66">
        <f t="shared" ref="AC13:AC14" si="5">0+(0/60)</f>
        <v>0</v>
      </c>
      <c r="AD13" s="1">
        <v>450</v>
      </c>
      <c r="AE13" s="88">
        <f t="shared" si="2"/>
        <v>0</v>
      </c>
      <c r="AF13" s="171"/>
      <c r="AG13" s="85">
        <f t="shared" si="3"/>
        <v>0.21597222222222223</v>
      </c>
      <c r="AH13" s="66">
        <f>0+(52/60)</f>
        <v>0.8666666666666667</v>
      </c>
      <c r="AI13" s="1">
        <v>450</v>
      </c>
      <c r="AJ13" s="88">
        <f t="shared" si="4"/>
        <v>390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6.8749999999999992E-2</v>
      </c>
      <c r="K14" s="23"/>
      <c r="L14" s="23"/>
      <c r="M14" s="23"/>
      <c r="N14" s="23">
        <v>9.7222222222222224E-3</v>
      </c>
      <c r="O14" s="23"/>
      <c r="P14" s="23"/>
      <c r="Q14" s="23"/>
      <c r="R14" s="23"/>
      <c r="S14" s="23"/>
      <c r="T14" s="23"/>
      <c r="U14" s="23"/>
      <c r="V14" s="23">
        <v>0.24722222222222223</v>
      </c>
      <c r="W14" s="23"/>
      <c r="X14" s="23"/>
      <c r="Y14" s="23"/>
      <c r="Z14" s="23"/>
      <c r="AA14" s="23">
        <f t="shared" si="0"/>
        <v>0.32569444444444445</v>
      </c>
      <c r="AB14" s="85">
        <f t="shared" si="1"/>
        <v>6.8749999999999992E-2</v>
      </c>
      <c r="AC14" s="66">
        <f t="shared" si="5"/>
        <v>0</v>
      </c>
      <c r="AD14" s="1">
        <v>350</v>
      </c>
      <c r="AE14" s="88">
        <f t="shared" si="2"/>
        <v>0</v>
      </c>
      <c r="AF14" s="171"/>
      <c r="AG14" s="85">
        <f t="shared" si="3"/>
        <v>0.25694444444444448</v>
      </c>
      <c r="AH14" s="66">
        <f>7+(13/60)</f>
        <v>7.2166666666666668</v>
      </c>
      <c r="AI14" s="1">
        <v>350</v>
      </c>
      <c r="AJ14" s="88">
        <f t="shared" si="4"/>
        <v>2525.8333333333335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0.41666666666666669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0.41666666666666669</v>
      </c>
      <c r="AB15" s="85">
        <f>+J15+O15+Q15+U15</f>
        <v>0.41666666666666669</v>
      </c>
      <c r="AC15" s="66">
        <f>0+(0/60)</f>
        <v>0</v>
      </c>
      <c r="AD15" s="1">
        <v>400</v>
      </c>
      <c r="AE15" s="88">
        <f>+AC15*AD15</f>
        <v>0</v>
      </c>
      <c r="AF15" s="171">
        <f>SUM(AE15:AE21)</f>
        <v>3225</v>
      </c>
      <c r="AG15" s="85">
        <f t="shared" si="3"/>
        <v>0</v>
      </c>
      <c r="AH15" s="66">
        <f>0+(21/60)</f>
        <v>0.35</v>
      </c>
      <c r="AI15" s="1">
        <v>400</v>
      </c>
      <c r="AJ15" s="88">
        <f>+AH15*AI15</f>
        <v>140</v>
      </c>
      <c r="AK15" s="171">
        <f>SUM(AJ15:AJ21)</f>
        <v>900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>
        <v>1.3888888888888889E-3</v>
      </c>
      <c r="N16" s="9">
        <v>6.9444444444444441E-3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8.3333333333333332E-3</v>
      </c>
      <c r="AB16" s="85">
        <f t="shared" ref="AB16:AB21" si="6">+J16+O16+Q16+U16</f>
        <v>0</v>
      </c>
      <c r="AC16" s="66">
        <f>0+(0/60)</f>
        <v>0</v>
      </c>
      <c r="AD16" s="1">
        <v>400</v>
      </c>
      <c r="AE16" s="88">
        <f t="shared" ref="AE16:AE21" si="7">+AC16*AD16</f>
        <v>0</v>
      </c>
      <c r="AF16" s="171"/>
      <c r="AG16" s="85">
        <f t="shared" si="3"/>
        <v>8.3333333333333332E-3</v>
      </c>
      <c r="AH16" s="66">
        <f>0+(33/60)</f>
        <v>0.55000000000000004</v>
      </c>
      <c r="AI16" s="1">
        <v>400</v>
      </c>
      <c r="AJ16" s="88">
        <f t="shared" ref="AJ16:AJ21" si="8">+AH16*AI16</f>
        <v>220.00000000000003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5"/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3.888888888888889E-2</v>
      </c>
      <c r="K18" s="9"/>
      <c r="L18" s="9"/>
      <c r="M18" s="9">
        <v>6.9444444444444441E-3</v>
      </c>
      <c r="N18" s="9">
        <v>6.9444444444444441E-3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5.2777777777777785E-2</v>
      </c>
      <c r="AB18" s="85">
        <f t="shared" si="6"/>
        <v>3.888888888888889E-2</v>
      </c>
      <c r="AC18" s="66">
        <f>0+(0/60)</f>
        <v>0</v>
      </c>
      <c r="AD18" s="1">
        <v>400</v>
      </c>
      <c r="AE18" s="88">
        <f t="shared" si="7"/>
        <v>0</v>
      </c>
      <c r="AF18" s="171"/>
      <c r="AG18" s="85">
        <f t="shared" si="3"/>
        <v>1.3888888888888888E-2</v>
      </c>
      <c r="AH18" s="66">
        <f>0+(0/60)</f>
        <v>0</v>
      </c>
      <c r="AI18" s="1">
        <v>400</v>
      </c>
      <c r="AJ18" s="88">
        <f t="shared" si="8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1.2499999999999999E-2</v>
      </c>
      <c r="L19" s="9">
        <v>6.9444444444444441E-3</v>
      </c>
      <c r="M19" s="9">
        <v>6.9444444444444441E-3</v>
      </c>
      <c r="N19" s="9">
        <v>6.9444444444444441E-3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3.3333333333333333E-2</v>
      </c>
      <c r="AB19" s="85">
        <f t="shared" si="6"/>
        <v>0</v>
      </c>
      <c r="AC19" s="66">
        <f t="shared" ref="AC19:AC21" si="9">0+(0/60)</f>
        <v>0</v>
      </c>
      <c r="AD19" s="1">
        <v>400</v>
      </c>
      <c r="AE19" s="88">
        <f t="shared" si="7"/>
        <v>0</v>
      </c>
      <c r="AF19" s="171"/>
      <c r="AG19" s="85">
        <f t="shared" si="3"/>
        <v>3.3333333333333333E-2</v>
      </c>
      <c r="AH19" s="66">
        <f>0+(48/60)</f>
        <v>0.8</v>
      </c>
      <c r="AI19" s="1">
        <v>400</v>
      </c>
      <c r="AJ19" s="88">
        <f t="shared" si="8"/>
        <v>320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>
        <v>5.5555555555555558E-3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1.2500000000000001E-2</v>
      </c>
      <c r="AB20" s="85">
        <f t="shared" si="6"/>
        <v>0</v>
      </c>
      <c r="AC20" s="66">
        <f>7+(10/60)</f>
        <v>7.166666666666667</v>
      </c>
      <c r="AD20" s="1">
        <v>450</v>
      </c>
      <c r="AE20" s="88">
        <f t="shared" si="7"/>
        <v>3225</v>
      </c>
      <c r="AF20" s="171"/>
      <c r="AG20" s="85">
        <f t="shared" si="3"/>
        <v>1.2500000000000001E-2</v>
      </c>
      <c r="AH20" s="66">
        <f>0+(20/60)</f>
        <v>0.33333333333333331</v>
      </c>
      <c r="AI20" s="1">
        <v>450</v>
      </c>
      <c r="AJ20" s="88">
        <f t="shared" si="8"/>
        <v>150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  <c r="AB21" s="85">
        <f t="shared" si="6"/>
        <v>0</v>
      </c>
      <c r="AC21" s="66">
        <f t="shared" si="9"/>
        <v>0</v>
      </c>
      <c r="AD21" s="1">
        <v>350</v>
      </c>
      <c r="AE21" s="88">
        <f t="shared" si="7"/>
        <v>0</v>
      </c>
      <c r="AF21" s="171"/>
      <c r="AG21" s="85">
        <f t="shared" si="3"/>
        <v>0</v>
      </c>
      <c r="AH21" s="66">
        <f>0+(12/60)</f>
        <v>0.2</v>
      </c>
      <c r="AI21" s="1">
        <v>350</v>
      </c>
      <c r="AJ21" s="88">
        <f t="shared" si="8"/>
        <v>70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0.78472222222222232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4.8611111111111112E-2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>SUM(J22:Z22)</f>
        <v>0.83333333333333348</v>
      </c>
      <c r="AB22" s="172" t="s">
        <v>52</v>
      </c>
      <c r="AC22" s="175"/>
      <c r="AD22" s="175"/>
      <c r="AE22" s="175"/>
      <c r="AF22" s="91">
        <f>+AF15+AF8</f>
        <v>5111.666666666667</v>
      </c>
      <c r="AG22" s="172" t="s">
        <v>53</v>
      </c>
      <c r="AH22" s="175"/>
      <c r="AI22" s="175"/>
      <c r="AJ22" s="175"/>
      <c r="AK22" s="91">
        <f>+AK15+AK8</f>
        <v>4429.166666666667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0.13402777777777777</v>
      </c>
      <c r="K23" s="13">
        <f t="shared" si="12"/>
        <v>0</v>
      </c>
      <c r="L23" s="13">
        <f t="shared" si="12"/>
        <v>0</v>
      </c>
      <c r="M23" s="13">
        <f t="shared" si="12"/>
        <v>4.1666666666666666E-3</v>
      </c>
      <c r="N23" s="13">
        <f t="shared" si="12"/>
        <v>1.3888888888888888E-2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2.7083333333333334E-2</v>
      </c>
      <c r="S23" s="13">
        <f t="shared" si="12"/>
        <v>4.8611111111111112E-2</v>
      </c>
      <c r="T23" s="13">
        <f t="shared" si="12"/>
        <v>0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ref="AA23:AA28" si="13">SUM(J23:Z23)</f>
        <v>0.2277777777777778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6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0"/>
        <v>0</v>
      </c>
      <c r="F25" s="12">
        <f t="shared" si="10"/>
        <v>0</v>
      </c>
      <c r="G25" s="11"/>
      <c r="H25" s="11"/>
      <c r="I25" s="11"/>
      <c r="J25" s="13">
        <f t="shared" ref="J25:Z25" si="16">J11+J18</f>
        <v>0.05</v>
      </c>
      <c r="K25" s="13">
        <f t="shared" si="16"/>
        <v>0</v>
      </c>
      <c r="L25" s="13">
        <f t="shared" si="16"/>
        <v>0</v>
      </c>
      <c r="M25" s="13">
        <f t="shared" si="16"/>
        <v>1.7361111111111112E-2</v>
      </c>
      <c r="N25" s="13">
        <f t="shared" si="16"/>
        <v>1.3888888888888888E-2</v>
      </c>
      <c r="O25" s="13">
        <f t="shared" si="16"/>
        <v>0</v>
      </c>
      <c r="P25" s="13">
        <f t="shared" si="16"/>
        <v>0</v>
      </c>
      <c r="Q25" s="13">
        <f t="shared" si="16"/>
        <v>0</v>
      </c>
      <c r="R25" s="13">
        <f t="shared" si="16"/>
        <v>1.8749999999999999E-2</v>
      </c>
      <c r="S25" s="13">
        <f t="shared" si="16"/>
        <v>4.8611111111111112E-2</v>
      </c>
      <c r="T25" s="13">
        <f t="shared" si="16"/>
        <v>1.3888888888888888E-2</v>
      </c>
      <c r="U25" s="13">
        <f t="shared" si="16"/>
        <v>0</v>
      </c>
      <c r="V25" s="13">
        <f t="shared" si="16"/>
        <v>0</v>
      </c>
      <c r="W25" s="13">
        <f t="shared" si="16"/>
        <v>0</v>
      </c>
      <c r="X25" s="13">
        <f t="shared" si="16"/>
        <v>0</v>
      </c>
      <c r="Y25" s="13">
        <f t="shared" si="16"/>
        <v>0</v>
      </c>
      <c r="Z25" s="13">
        <f t="shared" si="16"/>
        <v>0</v>
      </c>
      <c r="AA25" s="13">
        <f t="shared" si="15"/>
        <v>0.16250000000000003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0"/>
        <v>0</v>
      </c>
      <c r="F26" s="12">
        <f t="shared" si="10"/>
        <v>0</v>
      </c>
      <c r="G26" s="11"/>
      <c r="H26" s="11"/>
      <c r="I26" s="11"/>
      <c r="J26" s="13">
        <f t="shared" ref="J26:Z26" si="17">J12+J19</f>
        <v>0</v>
      </c>
      <c r="K26" s="13">
        <f t="shared" si="17"/>
        <v>1.5277777777777777E-2</v>
      </c>
      <c r="L26" s="13">
        <f t="shared" si="17"/>
        <v>6.9444444444444441E-3</v>
      </c>
      <c r="M26" s="13">
        <f t="shared" si="17"/>
        <v>1.2500000000000001E-2</v>
      </c>
      <c r="N26" s="13">
        <f t="shared" si="17"/>
        <v>1.7361111111111112E-2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1.6666666666666666E-2</v>
      </c>
      <c r="S26" s="13">
        <f t="shared" si="17"/>
        <v>4.8611111111111112E-2</v>
      </c>
      <c r="T26" s="13">
        <f t="shared" si="17"/>
        <v>3.888888888888889E-2</v>
      </c>
      <c r="U26" s="13">
        <f t="shared" si="17"/>
        <v>0</v>
      </c>
      <c r="V26" s="13">
        <f t="shared" si="17"/>
        <v>0</v>
      </c>
      <c r="W26" s="13">
        <f t="shared" si="17"/>
        <v>0</v>
      </c>
      <c r="X26" s="13">
        <f t="shared" si="17"/>
        <v>0</v>
      </c>
      <c r="Y26" s="13">
        <f t="shared" si="17"/>
        <v>0</v>
      </c>
      <c r="Z26" s="13">
        <f t="shared" si="17"/>
        <v>0</v>
      </c>
      <c r="AA26" s="13">
        <f t="shared" si="15"/>
        <v>0.15625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0"/>
        <v>0</v>
      </c>
      <c r="F27" s="12">
        <f t="shared" si="10"/>
        <v>0</v>
      </c>
      <c r="G27" s="11"/>
      <c r="H27" s="11"/>
      <c r="I27" s="11"/>
      <c r="J27" s="13">
        <f t="shared" ref="J27:Z27" si="18">J13+J20</f>
        <v>0</v>
      </c>
      <c r="K27" s="13">
        <f t="shared" si="18"/>
        <v>6.2499999999999995E-3</v>
      </c>
      <c r="L27" s="13">
        <f t="shared" si="18"/>
        <v>1.1111111111111112E-2</v>
      </c>
      <c r="M27" s="13">
        <f t="shared" si="18"/>
        <v>7.6388888888888895E-3</v>
      </c>
      <c r="N27" s="13">
        <f t="shared" si="18"/>
        <v>1.3888888888888888E-2</v>
      </c>
      <c r="O27" s="13">
        <f t="shared" si="18"/>
        <v>0</v>
      </c>
      <c r="P27" s="13">
        <f t="shared" si="18"/>
        <v>0</v>
      </c>
      <c r="Q27" s="13">
        <f t="shared" si="18"/>
        <v>0</v>
      </c>
      <c r="R27" s="13">
        <f t="shared" si="18"/>
        <v>1.8749999999999999E-2</v>
      </c>
      <c r="S27" s="13">
        <f t="shared" si="18"/>
        <v>4.8611111111111112E-2</v>
      </c>
      <c r="T27" s="13">
        <f t="shared" si="18"/>
        <v>3.888888888888889E-2</v>
      </c>
      <c r="U27" s="13">
        <f t="shared" si="18"/>
        <v>0</v>
      </c>
      <c r="V27" s="13">
        <f t="shared" si="18"/>
        <v>8.3333333333333329E-2</v>
      </c>
      <c r="W27" s="13">
        <f t="shared" si="18"/>
        <v>0</v>
      </c>
      <c r="X27" s="13">
        <f t="shared" si="18"/>
        <v>0</v>
      </c>
      <c r="Y27" s="13">
        <f t="shared" si="18"/>
        <v>0</v>
      </c>
      <c r="Z27" s="13">
        <f t="shared" si="18"/>
        <v>0</v>
      </c>
      <c r="AA27" s="13">
        <f t="shared" si="13"/>
        <v>0.22847222222222224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0"/>
        <v>0</v>
      </c>
      <c r="F28" s="16">
        <f t="shared" si="10"/>
        <v>0</v>
      </c>
      <c r="G28" s="15"/>
      <c r="H28" s="15"/>
      <c r="I28" s="15"/>
      <c r="J28" s="17">
        <f t="shared" ref="J28:Z28" si="19">J14+J21</f>
        <v>6.8749999999999992E-2</v>
      </c>
      <c r="K28" s="17">
        <f t="shared" si="19"/>
        <v>0</v>
      </c>
      <c r="L28" s="17">
        <f t="shared" si="19"/>
        <v>0</v>
      </c>
      <c r="M28" s="17">
        <f t="shared" si="19"/>
        <v>0</v>
      </c>
      <c r="N28" s="17">
        <f t="shared" si="19"/>
        <v>9.7222222222222224E-3</v>
      </c>
      <c r="O28" s="17">
        <f t="shared" si="19"/>
        <v>0</v>
      </c>
      <c r="P28" s="17">
        <f t="shared" si="19"/>
        <v>0</v>
      </c>
      <c r="Q28" s="17">
        <f t="shared" si="19"/>
        <v>0</v>
      </c>
      <c r="R28" s="17">
        <f t="shared" si="19"/>
        <v>0</v>
      </c>
      <c r="S28" s="17">
        <f t="shared" si="19"/>
        <v>0</v>
      </c>
      <c r="T28" s="17">
        <f t="shared" si="19"/>
        <v>0</v>
      </c>
      <c r="U28" s="17">
        <f t="shared" si="19"/>
        <v>0</v>
      </c>
      <c r="V28" s="17">
        <f t="shared" si="19"/>
        <v>0.24722222222222223</v>
      </c>
      <c r="W28" s="17">
        <f t="shared" si="19"/>
        <v>0</v>
      </c>
      <c r="X28" s="17">
        <f t="shared" si="19"/>
        <v>0</v>
      </c>
      <c r="Y28" s="17">
        <f t="shared" si="19"/>
        <v>0</v>
      </c>
      <c r="Z28" s="17">
        <f t="shared" si="19"/>
        <v>0</v>
      </c>
      <c r="AA28" s="17">
        <f t="shared" si="13"/>
        <v>0.32569444444444445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rintOptions horizontalCentered="1"/>
  <pageMargins left="0.2" right="0.2" top="0.75" bottom="0.75" header="0.3" footer="0.3"/>
  <pageSetup paperSize="9" orientation="landscape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P18" sqref="P18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45604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54</v>
      </c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0.41666666666666669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0.41666666666666669</v>
      </c>
      <c r="AB8" s="85">
        <f>+J8+O8+Q8+U8</f>
        <v>0.41666666666666669</v>
      </c>
      <c r="AC8" s="66">
        <f>1+(14/60)</f>
        <v>1.2333333333333334</v>
      </c>
      <c r="AD8" s="1">
        <v>400</v>
      </c>
      <c r="AE8" s="88">
        <f>+AC8*AD8</f>
        <v>493.33333333333337</v>
      </c>
      <c r="AF8" s="171">
        <f>SUM(AE8:AE14)</f>
        <v>2981.6666666666665</v>
      </c>
      <c r="AG8" s="85">
        <f>+K8+L8+M8+N8+R8+S8+T8+V8+W8+X8+Y8+Z8</f>
        <v>0</v>
      </c>
      <c r="AH8" s="66">
        <f>1+(26/60)</f>
        <v>1.4333333333333333</v>
      </c>
      <c r="AI8" s="1">
        <v>400</v>
      </c>
      <c r="AJ8" s="88">
        <f>+AH8*AI8</f>
        <v>573.33333333333337</v>
      </c>
      <c r="AK8" s="171">
        <f>SUM(AJ8:AJ14)</f>
        <v>4980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>
        <v>0.41666666666666669</v>
      </c>
      <c r="X9" s="9"/>
      <c r="Y9" s="9"/>
      <c r="Z9" s="9"/>
      <c r="AA9" s="9">
        <f t="shared" ref="AA9:AA21" si="0">SUM(J9:Z9)</f>
        <v>0.41666666666666669</v>
      </c>
      <c r="AB9" s="85">
        <f t="shared" ref="AB9:AB14" si="1">+J9+O9+Q9+U9</f>
        <v>0</v>
      </c>
      <c r="AC9" s="66">
        <f>0+(0/60)</f>
        <v>0</v>
      </c>
      <c r="AD9" s="1">
        <v>400</v>
      </c>
      <c r="AE9" s="88">
        <f t="shared" ref="AE9:AE14" si="2">+AC9*AD9</f>
        <v>0</v>
      </c>
      <c r="AF9" s="171"/>
      <c r="AG9" s="85">
        <f t="shared" ref="AG9:AG21" si="3">+K9+L9+M9+N9+R9+S9+T9+V9+W9+X9+Y9+Z9</f>
        <v>0.41666666666666669</v>
      </c>
      <c r="AH9" s="66">
        <f>2+(32/60)</f>
        <v>2.5333333333333332</v>
      </c>
      <c r="AI9" s="1">
        <v>400</v>
      </c>
      <c r="AJ9" s="88">
        <f t="shared" ref="AJ9:AJ14" si="4">+AH9*AI9</f>
        <v>1013.3333333333333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0.375</v>
      </c>
      <c r="X11" s="9"/>
      <c r="Y11" s="9"/>
      <c r="Z11" s="9"/>
      <c r="AA11" s="9">
        <f t="shared" si="0"/>
        <v>0.375</v>
      </c>
      <c r="AB11" s="85">
        <f t="shared" si="1"/>
        <v>0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0.375</v>
      </c>
      <c r="AH11" s="66">
        <f>1+(0/60)</f>
        <v>1</v>
      </c>
      <c r="AI11" s="1">
        <v>400</v>
      </c>
      <c r="AJ11" s="88">
        <f t="shared" si="4"/>
        <v>400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v>4.1666666666666664E-2</v>
      </c>
      <c r="X12" s="9"/>
      <c r="Y12" s="9"/>
      <c r="Z12" s="9"/>
      <c r="AA12" s="9">
        <f t="shared" si="0"/>
        <v>4.1666666666666664E-2</v>
      </c>
      <c r="AB12" s="85">
        <f t="shared" si="1"/>
        <v>0</v>
      </c>
      <c r="AC12" s="66">
        <f>4+(59/60)</f>
        <v>4.9833333333333334</v>
      </c>
      <c r="AD12" s="1">
        <v>400</v>
      </c>
      <c r="AE12" s="88">
        <f t="shared" si="2"/>
        <v>1993.3333333333333</v>
      </c>
      <c r="AF12" s="171"/>
      <c r="AG12" s="85">
        <f t="shared" si="3"/>
        <v>4.1666666666666664E-2</v>
      </c>
      <c r="AH12" s="66">
        <f>1+(10/60)</f>
        <v>1.1666666666666667</v>
      </c>
      <c r="AI12" s="1">
        <v>400</v>
      </c>
      <c r="AJ12" s="88">
        <f t="shared" si="4"/>
        <v>466.66666666666669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2.013888888888889E-2</v>
      </c>
      <c r="L13" s="9"/>
      <c r="M13" s="9"/>
      <c r="N13" s="9">
        <v>6.9444444444444441E-3</v>
      </c>
      <c r="O13" s="9"/>
      <c r="P13" s="9"/>
      <c r="Q13" s="9"/>
      <c r="R13" s="9"/>
      <c r="S13" s="9"/>
      <c r="T13" s="9"/>
      <c r="U13" s="9"/>
      <c r="V13" s="9"/>
      <c r="W13" s="9">
        <v>0.18124999999999999</v>
      </c>
      <c r="X13" s="9"/>
      <c r="Y13" s="9"/>
      <c r="Z13" s="9"/>
      <c r="AA13" s="9">
        <f t="shared" si="0"/>
        <v>0.20833333333333331</v>
      </c>
      <c r="AB13" s="85">
        <f t="shared" si="1"/>
        <v>0</v>
      </c>
      <c r="AC13" s="66">
        <f>1+(6/60)</f>
        <v>1.1000000000000001</v>
      </c>
      <c r="AD13" s="1">
        <v>450</v>
      </c>
      <c r="AE13" s="88">
        <f t="shared" si="2"/>
        <v>495.00000000000006</v>
      </c>
      <c r="AF13" s="171"/>
      <c r="AG13" s="85">
        <f t="shared" si="3"/>
        <v>0.20833333333333331</v>
      </c>
      <c r="AH13" s="66">
        <f>3+(6/60)</f>
        <v>3.1</v>
      </c>
      <c r="AI13" s="1">
        <v>450</v>
      </c>
      <c r="AJ13" s="88">
        <f t="shared" si="4"/>
        <v>1395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>
        <v>0.41666666666666669</v>
      </c>
      <c r="X14" s="23"/>
      <c r="Y14" s="23"/>
      <c r="Z14" s="23"/>
      <c r="AA14" s="23">
        <f t="shared" si="0"/>
        <v>0.41666666666666669</v>
      </c>
      <c r="AB14" s="85">
        <f t="shared" si="1"/>
        <v>0</v>
      </c>
      <c r="AC14" s="66">
        <f t="shared" ref="AC14" si="5">0+(0/60)</f>
        <v>0</v>
      </c>
      <c r="AD14" s="1">
        <v>350</v>
      </c>
      <c r="AE14" s="88">
        <f t="shared" si="2"/>
        <v>0</v>
      </c>
      <c r="AF14" s="171"/>
      <c r="AG14" s="85">
        <f t="shared" si="3"/>
        <v>0.41666666666666669</v>
      </c>
      <c r="AH14" s="66">
        <f>3+(14/60)</f>
        <v>3.2333333333333334</v>
      </c>
      <c r="AI14" s="1">
        <v>350</v>
      </c>
      <c r="AJ14" s="88">
        <f t="shared" si="4"/>
        <v>1131.6666666666667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0.41666666666666669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0.41666666666666669</v>
      </c>
      <c r="AB15" s="85">
        <f>+J15+O15+Q15+U15</f>
        <v>0.41666666666666669</v>
      </c>
      <c r="AC15" s="66">
        <f>4+(17/60)</f>
        <v>4.2833333333333332</v>
      </c>
      <c r="AD15" s="1">
        <v>400</v>
      </c>
      <c r="AE15" s="88">
        <f>+AC15*AD15</f>
        <v>1713.3333333333333</v>
      </c>
      <c r="AF15" s="171">
        <f>SUM(AE15:AE21)</f>
        <v>4220.833333333333</v>
      </c>
      <c r="AG15" s="85">
        <f t="shared" si="3"/>
        <v>0</v>
      </c>
      <c r="AH15" s="66">
        <f>0+(17/60)</f>
        <v>0.28333333333333333</v>
      </c>
      <c r="AI15" s="1">
        <v>400</v>
      </c>
      <c r="AJ15" s="88">
        <f>+AH15*AI15</f>
        <v>113.33333333333333</v>
      </c>
      <c r="AK15" s="171">
        <f>SUM(AJ15:AJ21)</f>
        <v>3565.833333333333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>
        <v>3.472222222222222E-3</v>
      </c>
      <c r="L16" s="9"/>
      <c r="M16" s="9">
        <v>6.9444444444444447E-4</v>
      </c>
      <c r="N16" s="9">
        <v>6.9444444444444441E-3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1.111111111111111E-2</v>
      </c>
      <c r="AB16" s="85">
        <f t="shared" ref="AB16:AB21" si="6">+J16+O16+Q16+U16</f>
        <v>0</v>
      </c>
      <c r="AC16" s="66">
        <f>1+(36/60)</f>
        <v>1.6</v>
      </c>
      <c r="AD16" s="1">
        <v>400</v>
      </c>
      <c r="AE16" s="88">
        <f t="shared" ref="AE16:AE21" si="7">+AC16*AD16</f>
        <v>640</v>
      </c>
      <c r="AF16" s="171"/>
      <c r="AG16" s="85">
        <f t="shared" si="3"/>
        <v>1.111111111111111E-2</v>
      </c>
      <c r="AH16" s="66">
        <f>1+(5/60)</f>
        <v>1.0833333333333333</v>
      </c>
      <c r="AI16" s="1">
        <v>400</v>
      </c>
      <c r="AJ16" s="88">
        <f t="shared" ref="AJ16:AJ21" si="8">+AH16*AI16</f>
        <v>433.33333333333331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  <c r="AB17" s="85">
        <f t="shared" si="6"/>
        <v>0</v>
      </c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4.5138888888888888E-2</v>
      </c>
      <c r="K18" s="9">
        <v>1.3888888888888889E-3</v>
      </c>
      <c r="L18" s="9"/>
      <c r="M18" s="9">
        <v>4.8611111111111112E-3</v>
      </c>
      <c r="N18" s="9">
        <v>9.7222222222222224E-3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6.1111111111111109E-2</v>
      </c>
      <c r="AB18" s="85">
        <f t="shared" si="6"/>
        <v>4.5138888888888888E-2</v>
      </c>
      <c r="AC18" s="66">
        <f>0+(0/60)</f>
        <v>0</v>
      </c>
      <c r="AD18" s="1">
        <v>400</v>
      </c>
      <c r="AE18" s="88">
        <f t="shared" si="7"/>
        <v>0</v>
      </c>
      <c r="AF18" s="171"/>
      <c r="AG18" s="85">
        <f t="shared" si="3"/>
        <v>1.5972222222222221E-2</v>
      </c>
      <c r="AH18" s="66">
        <f>0+(0/60)</f>
        <v>0</v>
      </c>
      <c r="AI18" s="1">
        <v>400</v>
      </c>
      <c r="AJ18" s="88">
        <f t="shared" si="8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9.930555555555555E-2</v>
      </c>
      <c r="K19" s="9">
        <v>1.3888888888888888E-2</v>
      </c>
      <c r="L19" s="9"/>
      <c r="M19" s="9">
        <v>6.9444444444444441E-3</v>
      </c>
      <c r="N19" s="9">
        <v>3.472222222222222E-3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0.1236111111111111</v>
      </c>
      <c r="AB19" s="85">
        <f t="shared" si="6"/>
        <v>9.930555555555555E-2</v>
      </c>
      <c r="AC19" s="66">
        <f t="shared" ref="AC19:AC21" si="9">0+(0/60)</f>
        <v>0</v>
      </c>
      <c r="AD19" s="1">
        <v>400</v>
      </c>
      <c r="AE19" s="88">
        <f t="shared" si="7"/>
        <v>0</v>
      </c>
      <c r="AF19" s="171"/>
      <c r="AG19" s="85">
        <f t="shared" si="3"/>
        <v>2.4305555555555552E-2</v>
      </c>
      <c r="AH19" s="66">
        <f>5+(12/60)</f>
        <v>5.2</v>
      </c>
      <c r="AI19" s="1">
        <v>400</v>
      </c>
      <c r="AJ19" s="88">
        <f t="shared" si="8"/>
        <v>2080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2.7777777777777779E-3</v>
      </c>
      <c r="L20" s="9"/>
      <c r="M20" s="9">
        <v>6.9444444444444441E-3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1.6666666666666666E-2</v>
      </c>
      <c r="AB20" s="85">
        <f t="shared" si="6"/>
        <v>0</v>
      </c>
      <c r="AC20" s="66">
        <f>4+(9/60)</f>
        <v>4.1500000000000004</v>
      </c>
      <c r="AD20" s="1">
        <v>450</v>
      </c>
      <c r="AE20" s="88">
        <f t="shared" si="7"/>
        <v>1867.5000000000002</v>
      </c>
      <c r="AF20" s="171"/>
      <c r="AG20" s="85">
        <f t="shared" si="3"/>
        <v>1.6666666666666666E-2</v>
      </c>
      <c r="AH20" s="66">
        <f>0+(0/60)</f>
        <v>0</v>
      </c>
      <c r="AI20" s="1">
        <v>450</v>
      </c>
      <c r="AJ20" s="88">
        <f t="shared" si="8"/>
        <v>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1.5972222222222224E-2</v>
      </c>
      <c r="L21" s="23"/>
      <c r="M21" s="23"/>
      <c r="N21" s="23">
        <v>6.9444444444444441E-3</v>
      </c>
      <c r="O21" s="23"/>
      <c r="P21" s="23"/>
      <c r="Q21" s="23"/>
      <c r="R21" s="23"/>
      <c r="S21" s="23"/>
      <c r="T21" s="23"/>
      <c r="U21" s="23"/>
      <c r="V21" s="23">
        <v>0.20416666666666669</v>
      </c>
      <c r="W21" s="23"/>
      <c r="X21" s="23"/>
      <c r="Y21" s="23"/>
      <c r="Z21" s="23"/>
      <c r="AA21" s="23">
        <f t="shared" si="0"/>
        <v>0.22708333333333336</v>
      </c>
      <c r="AB21" s="85">
        <f t="shared" si="6"/>
        <v>0</v>
      </c>
      <c r="AC21" s="66">
        <f t="shared" si="9"/>
        <v>0</v>
      </c>
      <c r="AD21" s="1">
        <v>350</v>
      </c>
      <c r="AE21" s="88">
        <f t="shared" si="7"/>
        <v>0</v>
      </c>
      <c r="AF21" s="171"/>
      <c r="AG21" s="85">
        <f t="shared" si="3"/>
        <v>0.22708333333333336</v>
      </c>
      <c r="AH21" s="66">
        <f>2+(41/60)</f>
        <v>2.6833333333333336</v>
      </c>
      <c r="AI21" s="1">
        <v>350</v>
      </c>
      <c r="AJ21" s="88">
        <f t="shared" si="8"/>
        <v>939.16666666666674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0.83333333333333337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>SUM(J22:Z22)</f>
        <v>0.83333333333333337</v>
      </c>
      <c r="AB22" s="172" t="s">
        <v>52</v>
      </c>
      <c r="AC22" s="175"/>
      <c r="AD22" s="175"/>
      <c r="AE22" s="175"/>
      <c r="AF22" s="91">
        <f>+AF15+AF8</f>
        <v>7202.5</v>
      </c>
      <c r="AG22" s="172" t="s">
        <v>53</v>
      </c>
      <c r="AH22" s="175"/>
      <c r="AI22" s="175"/>
      <c r="AJ22" s="175"/>
      <c r="AK22" s="91">
        <f>+AK15+AK8</f>
        <v>8545.8333333333321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</v>
      </c>
      <c r="K23" s="13">
        <f t="shared" si="12"/>
        <v>3.472222222222222E-3</v>
      </c>
      <c r="L23" s="13">
        <f t="shared" si="12"/>
        <v>0</v>
      </c>
      <c r="M23" s="13">
        <f t="shared" si="12"/>
        <v>6.9444444444444447E-4</v>
      </c>
      <c r="N23" s="13">
        <f t="shared" si="12"/>
        <v>6.9444444444444441E-3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0</v>
      </c>
      <c r="S23" s="13">
        <f t="shared" si="12"/>
        <v>0</v>
      </c>
      <c r="T23" s="13">
        <f t="shared" si="12"/>
        <v>0</v>
      </c>
      <c r="U23" s="13">
        <f t="shared" si="12"/>
        <v>0</v>
      </c>
      <c r="V23" s="13">
        <f t="shared" si="12"/>
        <v>0</v>
      </c>
      <c r="W23" s="13">
        <f t="shared" si="12"/>
        <v>0.41666666666666669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ref="AA23:AA28" si="13">SUM(J23:Z23)</f>
        <v>0.42777777777777781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6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0"/>
        <v>0</v>
      </c>
      <c r="F25" s="12">
        <f t="shared" si="10"/>
        <v>0</v>
      </c>
      <c r="G25" s="11"/>
      <c r="H25" s="11"/>
      <c r="I25" s="11"/>
      <c r="J25" s="13">
        <f t="shared" ref="J25:Z25" si="16">J11+J18</f>
        <v>4.5138888888888888E-2</v>
      </c>
      <c r="K25" s="13">
        <f t="shared" si="16"/>
        <v>1.3888888888888889E-3</v>
      </c>
      <c r="L25" s="13">
        <f t="shared" si="16"/>
        <v>0</v>
      </c>
      <c r="M25" s="13">
        <f t="shared" si="16"/>
        <v>4.8611111111111112E-3</v>
      </c>
      <c r="N25" s="13">
        <f t="shared" si="16"/>
        <v>9.7222222222222224E-3</v>
      </c>
      <c r="O25" s="13">
        <f t="shared" si="16"/>
        <v>0</v>
      </c>
      <c r="P25" s="13">
        <f t="shared" si="16"/>
        <v>0</v>
      </c>
      <c r="Q25" s="13">
        <f t="shared" si="16"/>
        <v>0</v>
      </c>
      <c r="R25" s="13">
        <f t="shared" si="16"/>
        <v>0</v>
      </c>
      <c r="S25" s="13">
        <f t="shared" si="16"/>
        <v>0</v>
      </c>
      <c r="T25" s="13">
        <f t="shared" si="16"/>
        <v>0</v>
      </c>
      <c r="U25" s="13">
        <f t="shared" si="16"/>
        <v>0</v>
      </c>
      <c r="V25" s="13">
        <f t="shared" si="16"/>
        <v>0</v>
      </c>
      <c r="W25" s="13">
        <f t="shared" si="16"/>
        <v>0.375</v>
      </c>
      <c r="X25" s="13">
        <f t="shared" si="16"/>
        <v>0</v>
      </c>
      <c r="Y25" s="13">
        <f t="shared" si="16"/>
        <v>0</v>
      </c>
      <c r="Z25" s="13">
        <f t="shared" si="16"/>
        <v>0</v>
      </c>
      <c r="AA25" s="13">
        <f t="shared" si="15"/>
        <v>0.43611111111111112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0"/>
        <v>0</v>
      </c>
      <c r="F26" s="12">
        <f t="shared" si="10"/>
        <v>0</v>
      </c>
      <c r="G26" s="11"/>
      <c r="H26" s="11"/>
      <c r="I26" s="11"/>
      <c r="J26" s="13">
        <f t="shared" ref="J26:Z26" si="17">J12+J19</f>
        <v>9.930555555555555E-2</v>
      </c>
      <c r="K26" s="13">
        <f t="shared" si="17"/>
        <v>1.3888888888888888E-2</v>
      </c>
      <c r="L26" s="13">
        <f t="shared" si="17"/>
        <v>0</v>
      </c>
      <c r="M26" s="13">
        <f t="shared" si="17"/>
        <v>6.9444444444444441E-3</v>
      </c>
      <c r="N26" s="13">
        <f t="shared" si="17"/>
        <v>3.472222222222222E-3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0</v>
      </c>
      <c r="S26" s="13">
        <f t="shared" si="17"/>
        <v>0</v>
      </c>
      <c r="T26" s="13">
        <f t="shared" si="17"/>
        <v>0</v>
      </c>
      <c r="U26" s="13">
        <f t="shared" si="17"/>
        <v>0</v>
      </c>
      <c r="V26" s="13">
        <f t="shared" si="17"/>
        <v>0</v>
      </c>
      <c r="W26" s="13">
        <f t="shared" si="17"/>
        <v>4.1666666666666664E-2</v>
      </c>
      <c r="X26" s="13">
        <f t="shared" si="17"/>
        <v>0</v>
      </c>
      <c r="Y26" s="13">
        <f t="shared" si="17"/>
        <v>0</v>
      </c>
      <c r="Z26" s="13">
        <f t="shared" si="17"/>
        <v>0</v>
      </c>
      <c r="AA26" s="13">
        <f t="shared" si="15"/>
        <v>0.16527777777777777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0"/>
        <v>0</v>
      </c>
      <c r="F27" s="12">
        <f t="shared" si="10"/>
        <v>0</v>
      </c>
      <c r="G27" s="11"/>
      <c r="H27" s="11"/>
      <c r="I27" s="11"/>
      <c r="J27" s="13">
        <f t="shared" ref="J27:Z27" si="18">J13+J20</f>
        <v>0</v>
      </c>
      <c r="K27" s="13">
        <f t="shared" si="18"/>
        <v>2.2916666666666669E-2</v>
      </c>
      <c r="L27" s="13">
        <f t="shared" si="18"/>
        <v>0</v>
      </c>
      <c r="M27" s="13">
        <f t="shared" si="18"/>
        <v>6.9444444444444441E-3</v>
      </c>
      <c r="N27" s="13">
        <f t="shared" si="18"/>
        <v>1.3888888888888888E-2</v>
      </c>
      <c r="O27" s="13">
        <f t="shared" si="18"/>
        <v>0</v>
      </c>
      <c r="P27" s="13">
        <f t="shared" si="18"/>
        <v>0</v>
      </c>
      <c r="Q27" s="13">
        <f t="shared" si="18"/>
        <v>0</v>
      </c>
      <c r="R27" s="13">
        <f t="shared" si="18"/>
        <v>0</v>
      </c>
      <c r="S27" s="13">
        <f t="shared" si="18"/>
        <v>0</v>
      </c>
      <c r="T27" s="13">
        <f t="shared" si="18"/>
        <v>0</v>
      </c>
      <c r="U27" s="13">
        <f t="shared" si="18"/>
        <v>0</v>
      </c>
      <c r="V27" s="13">
        <f t="shared" si="18"/>
        <v>0</v>
      </c>
      <c r="W27" s="13">
        <f t="shared" si="18"/>
        <v>0.18124999999999999</v>
      </c>
      <c r="X27" s="13">
        <f t="shared" si="18"/>
        <v>0</v>
      </c>
      <c r="Y27" s="13">
        <f t="shared" si="18"/>
        <v>0</v>
      </c>
      <c r="Z27" s="13">
        <f t="shared" si="18"/>
        <v>0</v>
      </c>
      <c r="AA27" s="13">
        <f t="shared" si="13"/>
        <v>0.22499999999999998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0"/>
        <v>0</v>
      </c>
      <c r="F28" s="16">
        <f t="shared" si="10"/>
        <v>0</v>
      </c>
      <c r="G28" s="15"/>
      <c r="H28" s="15"/>
      <c r="I28" s="15"/>
      <c r="J28" s="17">
        <f t="shared" ref="J28:Z28" si="19">J14+J21</f>
        <v>0</v>
      </c>
      <c r="K28" s="17">
        <f t="shared" si="19"/>
        <v>1.5972222222222224E-2</v>
      </c>
      <c r="L28" s="17">
        <f t="shared" si="19"/>
        <v>0</v>
      </c>
      <c r="M28" s="17">
        <f t="shared" si="19"/>
        <v>0</v>
      </c>
      <c r="N28" s="17">
        <f t="shared" si="19"/>
        <v>6.9444444444444441E-3</v>
      </c>
      <c r="O28" s="17">
        <f t="shared" si="19"/>
        <v>0</v>
      </c>
      <c r="P28" s="17">
        <f t="shared" si="19"/>
        <v>0</v>
      </c>
      <c r="Q28" s="17">
        <f t="shared" si="19"/>
        <v>0</v>
      </c>
      <c r="R28" s="17">
        <f t="shared" si="19"/>
        <v>0</v>
      </c>
      <c r="S28" s="17">
        <f t="shared" si="19"/>
        <v>0</v>
      </c>
      <c r="T28" s="17">
        <f t="shared" si="19"/>
        <v>0</v>
      </c>
      <c r="U28" s="17">
        <f t="shared" si="19"/>
        <v>0</v>
      </c>
      <c r="V28" s="17">
        <f t="shared" si="19"/>
        <v>0.20416666666666669</v>
      </c>
      <c r="W28" s="17">
        <f t="shared" si="19"/>
        <v>0.41666666666666669</v>
      </c>
      <c r="X28" s="17">
        <f t="shared" si="19"/>
        <v>0</v>
      </c>
      <c r="Y28" s="17">
        <f t="shared" si="19"/>
        <v>0</v>
      </c>
      <c r="Z28" s="17">
        <f t="shared" si="19"/>
        <v>0</v>
      </c>
      <c r="AA28" s="17">
        <f t="shared" si="13"/>
        <v>0.64375000000000004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A3:AK28"/>
  <sheetViews>
    <sheetView topLeftCell="A4" zoomScale="115" zoomScaleNormal="115" workbookViewId="0">
      <pane xSplit="2" ySplit="4" topLeftCell="K8" activePane="bottomRight" state="frozen"/>
      <selection activeCell="A5" sqref="A5:A6"/>
      <selection pane="topRight" activeCell="A5" sqref="A5:A6"/>
      <selection pane="bottomLeft" activeCell="A5" sqref="A5:A6"/>
      <selection pane="bottomRight" activeCell="U16" sqref="U1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45635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  <c r="AB8" s="85">
        <f>+J8+O8+Q8+U8</f>
        <v>0</v>
      </c>
      <c r="AC8" s="66">
        <f>0+(14/60)</f>
        <v>0.23333333333333334</v>
      </c>
      <c r="AD8" s="1">
        <v>400</v>
      </c>
      <c r="AE8" s="88">
        <f>+AC8*AD8</f>
        <v>93.333333333333329</v>
      </c>
      <c r="AF8" s="171">
        <f>SUM(AE8:AE14)</f>
        <v>453.33333333333331</v>
      </c>
      <c r="AG8" s="85">
        <f>+K8+L8+M8+N8+R8+S8+T8+V8+W8+X8+Y8+Z8</f>
        <v>0</v>
      </c>
      <c r="AH8" s="66">
        <f>0+(12/60)</f>
        <v>0.2</v>
      </c>
      <c r="AI8" s="1">
        <v>400</v>
      </c>
      <c r="AJ8" s="88">
        <f>+AH8*AI8</f>
        <v>80</v>
      </c>
      <c r="AK8" s="171">
        <f>SUM(AJ8:AJ14)</f>
        <v>5498.333333333333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9.375E-2</v>
      </c>
      <c r="K9" s="9">
        <v>1.3888888888888888E-2</v>
      </c>
      <c r="L9" s="9"/>
      <c r="M9" s="9">
        <v>3.472222222222222E-3</v>
      </c>
      <c r="N9" s="9">
        <v>9.0277777777777787E-3</v>
      </c>
      <c r="O9" s="9"/>
      <c r="P9" s="9"/>
      <c r="Q9" s="9"/>
      <c r="R9" s="9">
        <v>2.013888888888889E-2</v>
      </c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0.14027777777777778</v>
      </c>
      <c r="AB9" s="85">
        <f t="shared" ref="AB9:AB14" si="1">+J9+O9+Q9+U9</f>
        <v>9.375E-2</v>
      </c>
      <c r="AC9" s="66">
        <f>0+(39/60)</f>
        <v>0.65</v>
      </c>
      <c r="AD9" s="1">
        <v>400</v>
      </c>
      <c r="AE9" s="88">
        <f t="shared" ref="AE9:AE14" si="2">+AC9*AD9</f>
        <v>260</v>
      </c>
      <c r="AF9" s="171"/>
      <c r="AG9" s="85">
        <f t="shared" ref="AG9:AG21" si="3">+K9+L9+M9+N9+R9+S9+T9+V9+W9+X9+Y9+Z9</f>
        <v>4.6527777777777779E-2</v>
      </c>
      <c r="AH9" s="66">
        <f>3+(17/60)</f>
        <v>3.2833333333333332</v>
      </c>
      <c r="AI9" s="1">
        <v>400</v>
      </c>
      <c r="AJ9" s="88">
        <f t="shared" ref="AJ9:AJ14" si="4">+AH9*AI9</f>
        <v>1313.3333333333333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7.6388888888888886E-3</v>
      </c>
      <c r="N11" s="9">
        <v>8.3333333333333332E-3</v>
      </c>
      <c r="O11" s="9"/>
      <c r="P11" s="9"/>
      <c r="Q11" s="9"/>
      <c r="R11" s="9">
        <v>1.5277777777777777E-2</v>
      </c>
      <c r="S11" s="9"/>
      <c r="T11" s="9"/>
      <c r="U11" s="9"/>
      <c r="V11" s="9"/>
      <c r="W11" s="9"/>
      <c r="X11" s="9"/>
      <c r="Y11" s="9"/>
      <c r="Z11" s="9"/>
      <c r="AA11" s="9">
        <f t="shared" si="0"/>
        <v>3.125E-2</v>
      </c>
      <c r="AB11" s="85">
        <f t="shared" si="1"/>
        <v>0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3.125E-2</v>
      </c>
      <c r="AH11" s="66">
        <f>1+(24/60)</f>
        <v>1.4</v>
      </c>
      <c r="AI11" s="1">
        <v>400</v>
      </c>
      <c r="AJ11" s="88">
        <f t="shared" si="4"/>
        <v>560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7.6388888888888886E-3</v>
      </c>
      <c r="L12" s="9"/>
      <c r="M12" s="9">
        <v>6.9444444444444447E-4</v>
      </c>
      <c r="N12" s="9">
        <v>9.7222222222222224E-3</v>
      </c>
      <c r="O12" s="9"/>
      <c r="P12" s="9"/>
      <c r="Q12" s="9"/>
      <c r="R12" s="9">
        <v>2.013888888888889E-2</v>
      </c>
      <c r="S12" s="9"/>
      <c r="T12" s="9"/>
      <c r="U12" s="9"/>
      <c r="V12" s="9"/>
      <c r="W12" s="9"/>
      <c r="X12" s="9"/>
      <c r="Y12" s="9"/>
      <c r="Z12" s="9"/>
      <c r="AA12" s="9">
        <f t="shared" si="0"/>
        <v>3.8194444444444448E-2</v>
      </c>
      <c r="AB12" s="85">
        <f t="shared" si="1"/>
        <v>0</v>
      </c>
      <c r="AC12" s="66">
        <f>0+(15/60)</f>
        <v>0.25</v>
      </c>
      <c r="AD12" s="1">
        <v>400</v>
      </c>
      <c r="AE12" s="88">
        <f t="shared" si="2"/>
        <v>100</v>
      </c>
      <c r="AF12" s="171"/>
      <c r="AG12" s="85">
        <f t="shared" si="3"/>
        <v>3.8194444444444448E-2</v>
      </c>
      <c r="AH12" s="66">
        <f>3+(17/60)</f>
        <v>3.2833333333333332</v>
      </c>
      <c r="AI12" s="1">
        <v>400</v>
      </c>
      <c r="AJ12" s="88">
        <f t="shared" si="4"/>
        <v>1313.3333333333333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1.3888888888888889E-3</v>
      </c>
      <c r="L13" s="9"/>
      <c r="M13" s="9">
        <v>6.9444444444444441E-3</v>
      </c>
      <c r="N13" s="9">
        <v>4.8611111111111112E-3</v>
      </c>
      <c r="O13" s="9"/>
      <c r="P13" s="9"/>
      <c r="Q13" s="9"/>
      <c r="R13" s="9">
        <v>1.0416666666666666E-2</v>
      </c>
      <c r="S13" s="9"/>
      <c r="T13" s="9"/>
      <c r="U13" s="9"/>
      <c r="V13" s="9"/>
      <c r="W13" s="9"/>
      <c r="X13" s="9"/>
      <c r="Y13" s="9"/>
      <c r="Z13" s="9"/>
      <c r="AA13" s="9">
        <f>SUM(J13:Z13)</f>
        <v>2.361111111111111E-2</v>
      </c>
      <c r="AB13" s="85">
        <f t="shared" si="1"/>
        <v>0</v>
      </c>
      <c r="AC13" s="66">
        <f>0+(0/60)</f>
        <v>0</v>
      </c>
      <c r="AD13" s="1">
        <v>450</v>
      </c>
      <c r="AE13" s="88">
        <f t="shared" si="2"/>
        <v>0</v>
      </c>
      <c r="AF13" s="171"/>
      <c r="AG13" s="85">
        <f t="shared" si="3"/>
        <v>2.361111111111111E-2</v>
      </c>
      <c r="AH13" s="66">
        <f>3+(18/60)</f>
        <v>3.3</v>
      </c>
      <c r="AI13" s="1">
        <v>450</v>
      </c>
      <c r="AJ13" s="88">
        <f t="shared" si="4"/>
        <v>1485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8.2638888888888887E-2</v>
      </c>
      <c r="K14" s="23">
        <v>3.472222222222222E-3</v>
      </c>
      <c r="L14" s="23"/>
      <c r="M14" s="23">
        <v>1.0416666666666666E-2</v>
      </c>
      <c r="N14" s="23">
        <v>1.4583333333333332E-2</v>
      </c>
      <c r="O14" s="23"/>
      <c r="P14" s="23"/>
      <c r="Q14" s="23"/>
      <c r="R14" s="23">
        <v>2.0833333333333332E-2</v>
      </c>
      <c r="S14" s="23"/>
      <c r="T14" s="23"/>
      <c r="U14" s="23"/>
      <c r="V14" s="23"/>
      <c r="W14" s="23"/>
      <c r="X14" s="23"/>
      <c r="Y14" s="23"/>
      <c r="Z14" s="23"/>
      <c r="AA14" s="23">
        <f t="shared" si="0"/>
        <v>0.13194444444444445</v>
      </c>
      <c r="AB14" s="85">
        <f t="shared" si="1"/>
        <v>8.2638888888888887E-2</v>
      </c>
      <c r="AC14" s="66">
        <f t="shared" ref="AC14:AC15" si="5">0+(0/60)</f>
        <v>0</v>
      </c>
      <c r="AD14" s="1">
        <v>350</v>
      </c>
      <c r="AE14" s="88">
        <f t="shared" si="2"/>
        <v>0</v>
      </c>
      <c r="AF14" s="171"/>
      <c r="AG14" s="85">
        <f t="shared" si="3"/>
        <v>4.9305555555555547E-2</v>
      </c>
      <c r="AH14" s="66">
        <f>2+(8/60)</f>
        <v>2.1333333333333333</v>
      </c>
      <c r="AI14" s="1">
        <v>350</v>
      </c>
      <c r="AJ14" s="88">
        <f t="shared" si="4"/>
        <v>746.66666666666663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0.24652777777777779</v>
      </c>
      <c r="K15" s="30">
        <v>2.7777777777777779E-3</v>
      </c>
      <c r="L15" s="30"/>
      <c r="M15" s="30"/>
      <c r="N15" s="30"/>
      <c r="O15" s="30"/>
      <c r="P15" s="30">
        <v>6.0416666666666667E-2</v>
      </c>
      <c r="Q15" s="30"/>
      <c r="R15" s="30"/>
      <c r="S15" s="30">
        <v>1.7361111111111112E-2</v>
      </c>
      <c r="T15" s="30"/>
      <c r="U15" s="30"/>
      <c r="V15" s="30"/>
      <c r="W15" s="30"/>
      <c r="X15" s="30"/>
      <c r="Y15" s="30"/>
      <c r="Z15" s="30"/>
      <c r="AA15" s="30">
        <f t="shared" si="0"/>
        <v>0.32708333333333334</v>
      </c>
      <c r="AB15" s="85">
        <f>+J15+O15+Q15+U15</f>
        <v>0.24652777777777779</v>
      </c>
      <c r="AC15" s="66">
        <f t="shared" si="5"/>
        <v>0</v>
      </c>
      <c r="AD15" s="1">
        <v>400</v>
      </c>
      <c r="AE15" s="88">
        <f>+AC15*AD15</f>
        <v>0</v>
      </c>
      <c r="AF15" s="171">
        <f>SUM(AE15:AE21)</f>
        <v>476.66666666666663</v>
      </c>
      <c r="AG15" s="85">
        <f t="shared" si="3"/>
        <v>2.013888888888889E-2</v>
      </c>
      <c r="AH15" s="66">
        <f>1+(42/60)</f>
        <v>1.7</v>
      </c>
      <c r="AI15" s="1">
        <v>400</v>
      </c>
      <c r="AJ15" s="88">
        <f>+AH15*AI15</f>
        <v>680</v>
      </c>
      <c r="AK15" s="171">
        <f>SUM(AJ15:AJ21)</f>
        <v>3400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0.37847222222222227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0.37847222222222227</v>
      </c>
      <c r="AB16" s="85">
        <f t="shared" ref="AB16:AB21" si="6">+J16+O16+Q16+U16</f>
        <v>0.37847222222222227</v>
      </c>
      <c r="AC16" s="66">
        <f>1+(1/60)</f>
        <v>1.0166666666666666</v>
      </c>
      <c r="AD16" s="1">
        <v>400</v>
      </c>
      <c r="AE16" s="88">
        <f t="shared" ref="AE16:AE21" si="7">+AC16*AD16</f>
        <v>406.66666666666663</v>
      </c>
      <c r="AF16" s="171"/>
      <c r="AG16" s="85">
        <f t="shared" si="3"/>
        <v>0</v>
      </c>
      <c r="AH16" s="66">
        <f>1+(55/60)</f>
        <v>1.9166666666666665</v>
      </c>
      <c r="AI16" s="1">
        <v>400</v>
      </c>
      <c r="AJ16" s="88">
        <f t="shared" ref="AJ16:AJ21" si="8">+AH16*AI16</f>
        <v>766.66666666666663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5"/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1.4583333333333332E-2</v>
      </c>
      <c r="L18" s="9"/>
      <c r="M18" s="9"/>
      <c r="N18" s="9">
        <v>6.9444444444444441E-3</v>
      </c>
      <c r="O18" s="9"/>
      <c r="P18" s="9"/>
      <c r="Q18" s="9"/>
      <c r="R18" s="9"/>
      <c r="S18" s="9">
        <v>1.7361111111111112E-2</v>
      </c>
      <c r="T18" s="9"/>
      <c r="U18" s="9"/>
      <c r="V18" s="9"/>
      <c r="W18" s="9"/>
      <c r="X18" s="9"/>
      <c r="Y18" s="9"/>
      <c r="Z18" s="9"/>
      <c r="AA18" s="9">
        <f t="shared" si="0"/>
        <v>3.888888888888889E-2</v>
      </c>
      <c r="AB18" s="85">
        <f t="shared" si="6"/>
        <v>0</v>
      </c>
      <c r="AC18" s="66">
        <f>0+(0/60)</f>
        <v>0</v>
      </c>
      <c r="AD18" s="1">
        <v>400</v>
      </c>
      <c r="AE18" s="88">
        <f t="shared" si="7"/>
        <v>0</v>
      </c>
      <c r="AF18" s="171"/>
      <c r="AG18" s="85">
        <f t="shared" si="3"/>
        <v>3.888888888888889E-2</v>
      </c>
      <c r="AH18" s="66">
        <f>0+(0/60)</f>
        <v>0</v>
      </c>
      <c r="AI18" s="1">
        <v>400</v>
      </c>
      <c r="AJ18" s="88">
        <f t="shared" si="8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7.6388888888888886E-3</v>
      </c>
      <c r="L19" s="9"/>
      <c r="M19" s="9"/>
      <c r="N19" s="9">
        <v>7.6388888888888886E-3</v>
      </c>
      <c r="O19" s="9"/>
      <c r="P19" s="9"/>
      <c r="Q19" s="9"/>
      <c r="R19" s="9"/>
      <c r="S19" s="9">
        <v>1.7361111111111112E-2</v>
      </c>
      <c r="T19" s="9"/>
      <c r="U19" s="9"/>
      <c r="V19" s="9"/>
      <c r="W19" s="9"/>
      <c r="X19" s="9"/>
      <c r="Y19" s="9"/>
      <c r="Z19" s="9"/>
      <c r="AA19" s="9">
        <f t="shared" si="0"/>
        <v>3.2638888888888891E-2</v>
      </c>
      <c r="AB19" s="85">
        <f t="shared" si="6"/>
        <v>0</v>
      </c>
      <c r="AC19" s="66">
        <f t="shared" ref="AC19:AC20" si="9">0+(0/60)</f>
        <v>0</v>
      </c>
      <c r="AD19" s="1">
        <v>400</v>
      </c>
      <c r="AE19" s="88">
        <f t="shared" si="7"/>
        <v>0</v>
      </c>
      <c r="AF19" s="171"/>
      <c r="AG19" s="85">
        <f t="shared" si="3"/>
        <v>3.2638888888888891E-2</v>
      </c>
      <c r="AH19" s="66">
        <f>1+(47/60)</f>
        <v>1.7833333333333332</v>
      </c>
      <c r="AI19" s="1">
        <v>400</v>
      </c>
      <c r="AJ19" s="88">
        <f t="shared" si="8"/>
        <v>713.33333333333326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1.8749999999999999E-2</v>
      </c>
      <c r="L20" s="9"/>
      <c r="M20" s="9"/>
      <c r="N20" s="9">
        <v>2.0833333333333333E-3</v>
      </c>
      <c r="O20" s="9">
        <v>8.3333333333333332E-3</v>
      </c>
      <c r="P20" s="9"/>
      <c r="Q20" s="9"/>
      <c r="R20" s="9"/>
      <c r="S20" s="9">
        <v>1.7361111111111112E-2</v>
      </c>
      <c r="T20" s="9"/>
      <c r="U20" s="9"/>
      <c r="V20" s="9"/>
      <c r="W20" s="9"/>
      <c r="X20" s="9"/>
      <c r="Y20" s="9"/>
      <c r="Z20" s="9"/>
      <c r="AA20" s="9">
        <f t="shared" si="0"/>
        <v>4.6527777777777779E-2</v>
      </c>
      <c r="AB20" s="85">
        <f t="shared" si="6"/>
        <v>8.3333333333333332E-3</v>
      </c>
      <c r="AC20" s="66">
        <f t="shared" si="9"/>
        <v>0</v>
      </c>
      <c r="AD20" s="1">
        <v>450</v>
      </c>
      <c r="AE20" s="88">
        <f t="shared" si="7"/>
        <v>0</v>
      </c>
      <c r="AF20" s="171"/>
      <c r="AG20" s="85">
        <f t="shared" si="3"/>
        <v>3.8194444444444448E-2</v>
      </c>
      <c r="AH20" s="66">
        <f>2+(22/60)</f>
        <v>2.3666666666666667</v>
      </c>
      <c r="AI20" s="1">
        <v>450</v>
      </c>
      <c r="AJ20" s="88">
        <f t="shared" si="8"/>
        <v>1065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2.4305555555555556E-2</v>
      </c>
      <c r="L21" s="23"/>
      <c r="M21" s="23"/>
      <c r="N21" s="23">
        <v>6.9444444444444441E-3</v>
      </c>
      <c r="O21" s="23"/>
      <c r="P21" s="23"/>
      <c r="Q21" s="23"/>
      <c r="R21" s="23"/>
      <c r="S21" s="23">
        <v>1.7361111111111112E-2</v>
      </c>
      <c r="T21" s="23"/>
      <c r="U21" s="23"/>
      <c r="V21" s="23"/>
      <c r="W21" s="23"/>
      <c r="X21" s="23"/>
      <c r="Y21" s="23"/>
      <c r="Z21" s="23"/>
      <c r="AA21" s="23">
        <f t="shared" si="0"/>
        <v>4.8611111111111112E-2</v>
      </c>
      <c r="AB21" s="85">
        <f t="shared" si="6"/>
        <v>0</v>
      </c>
      <c r="AC21" s="66">
        <f>0+(12/60)</f>
        <v>0.2</v>
      </c>
      <c r="AD21" s="1">
        <v>350</v>
      </c>
      <c r="AE21" s="88">
        <f t="shared" si="7"/>
        <v>70</v>
      </c>
      <c r="AF21" s="171"/>
      <c r="AG21" s="85">
        <f t="shared" si="3"/>
        <v>4.8611111111111112E-2</v>
      </c>
      <c r="AH21" s="66">
        <f>0+(30/60)</f>
        <v>0.5</v>
      </c>
      <c r="AI21" s="1">
        <v>350</v>
      </c>
      <c r="AJ21" s="88">
        <f t="shared" si="8"/>
        <v>175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0.24652777777777779</v>
      </c>
      <c r="K22" s="27">
        <f t="shared" si="11"/>
        <v>2.7777777777777779E-3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6.0416666666666667E-2</v>
      </c>
      <c r="Q22" s="27">
        <f t="shared" si="11"/>
        <v>0</v>
      </c>
      <c r="R22" s="27">
        <f t="shared" si="11"/>
        <v>0</v>
      </c>
      <c r="S22" s="27">
        <f t="shared" si="11"/>
        <v>1.7361111111111112E-2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>SUM(J22:Z22)</f>
        <v>0.32708333333333334</v>
      </c>
      <c r="AB22" s="172" t="s">
        <v>52</v>
      </c>
      <c r="AC22" s="175"/>
      <c r="AD22" s="175"/>
      <c r="AE22" s="175"/>
      <c r="AF22" s="91">
        <f>+AF15+AF8</f>
        <v>930</v>
      </c>
      <c r="AG22" s="172" t="s">
        <v>53</v>
      </c>
      <c r="AH22" s="175"/>
      <c r="AI22" s="175"/>
      <c r="AJ22" s="175"/>
      <c r="AK22" s="91">
        <f>+AK15+AK8</f>
        <v>8898.3333333333321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0.47222222222222227</v>
      </c>
      <c r="K23" s="13">
        <f t="shared" si="12"/>
        <v>1.3888888888888888E-2</v>
      </c>
      <c r="L23" s="13">
        <f t="shared" si="12"/>
        <v>0</v>
      </c>
      <c r="M23" s="13">
        <f t="shared" si="12"/>
        <v>3.472222222222222E-3</v>
      </c>
      <c r="N23" s="13">
        <f t="shared" si="12"/>
        <v>9.0277777777777787E-3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2.013888888888889E-2</v>
      </c>
      <c r="S23" s="13">
        <f t="shared" si="12"/>
        <v>0</v>
      </c>
      <c r="T23" s="13">
        <f t="shared" si="12"/>
        <v>0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ref="AA23:AA28" si="13">SUM(J23:Z23)</f>
        <v>0.51875000000000004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6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0"/>
        <v>0</v>
      </c>
      <c r="F25" s="12">
        <f t="shared" si="10"/>
        <v>0</v>
      </c>
      <c r="G25" s="11"/>
      <c r="H25" s="11"/>
      <c r="I25" s="11"/>
      <c r="J25" s="13">
        <f t="shared" ref="J25:Z25" si="16">J11+J18</f>
        <v>0</v>
      </c>
      <c r="K25" s="13">
        <f t="shared" si="16"/>
        <v>1.4583333333333332E-2</v>
      </c>
      <c r="L25" s="13">
        <f t="shared" si="16"/>
        <v>0</v>
      </c>
      <c r="M25" s="13">
        <f t="shared" si="16"/>
        <v>7.6388888888888886E-3</v>
      </c>
      <c r="N25" s="13">
        <f t="shared" si="16"/>
        <v>1.5277777777777777E-2</v>
      </c>
      <c r="O25" s="13">
        <f t="shared" si="16"/>
        <v>0</v>
      </c>
      <c r="P25" s="13">
        <f t="shared" si="16"/>
        <v>0</v>
      </c>
      <c r="Q25" s="13">
        <f t="shared" si="16"/>
        <v>0</v>
      </c>
      <c r="R25" s="13">
        <f t="shared" si="16"/>
        <v>1.5277777777777777E-2</v>
      </c>
      <c r="S25" s="13">
        <f t="shared" si="16"/>
        <v>1.7361111111111112E-2</v>
      </c>
      <c r="T25" s="13">
        <f t="shared" si="16"/>
        <v>0</v>
      </c>
      <c r="U25" s="13">
        <f t="shared" si="16"/>
        <v>0</v>
      </c>
      <c r="V25" s="13">
        <f t="shared" si="16"/>
        <v>0</v>
      </c>
      <c r="W25" s="13">
        <f t="shared" si="16"/>
        <v>0</v>
      </c>
      <c r="X25" s="13">
        <f t="shared" si="16"/>
        <v>0</v>
      </c>
      <c r="Y25" s="13">
        <f t="shared" si="16"/>
        <v>0</v>
      </c>
      <c r="Z25" s="13">
        <f t="shared" si="16"/>
        <v>0</v>
      </c>
      <c r="AA25" s="13">
        <f t="shared" si="15"/>
        <v>7.013888888888889E-2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0"/>
        <v>0</v>
      </c>
      <c r="F26" s="12">
        <f t="shared" si="10"/>
        <v>0</v>
      </c>
      <c r="G26" s="11"/>
      <c r="H26" s="11"/>
      <c r="I26" s="11"/>
      <c r="J26" s="13">
        <f t="shared" ref="J26:Z26" si="17">J12+J19</f>
        <v>0</v>
      </c>
      <c r="K26" s="13">
        <f t="shared" si="17"/>
        <v>1.5277777777777777E-2</v>
      </c>
      <c r="L26" s="13">
        <f t="shared" si="17"/>
        <v>0</v>
      </c>
      <c r="M26" s="13">
        <f t="shared" si="17"/>
        <v>6.9444444444444447E-4</v>
      </c>
      <c r="N26" s="13">
        <f t="shared" si="17"/>
        <v>1.7361111111111112E-2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2.013888888888889E-2</v>
      </c>
      <c r="S26" s="13">
        <f t="shared" si="17"/>
        <v>1.7361111111111112E-2</v>
      </c>
      <c r="T26" s="13">
        <f t="shared" si="17"/>
        <v>0</v>
      </c>
      <c r="U26" s="13">
        <f t="shared" si="17"/>
        <v>0</v>
      </c>
      <c r="V26" s="13">
        <f t="shared" si="17"/>
        <v>0</v>
      </c>
      <c r="W26" s="13">
        <f t="shared" si="17"/>
        <v>0</v>
      </c>
      <c r="X26" s="13">
        <f t="shared" si="17"/>
        <v>0</v>
      </c>
      <c r="Y26" s="13">
        <f t="shared" si="17"/>
        <v>0</v>
      </c>
      <c r="Z26" s="13">
        <f t="shared" si="17"/>
        <v>0</v>
      </c>
      <c r="AA26" s="13">
        <f t="shared" si="15"/>
        <v>7.0833333333333331E-2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0"/>
        <v>0</v>
      </c>
      <c r="F27" s="12">
        <f t="shared" si="10"/>
        <v>0</v>
      </c>
      <c r="G27" s="11"/>
      <c r="H27" s="11"/>
      <c r="I27" s="11"/>
      <c r="J27" s="13">
        <f t="shared" ref="J27:Z27" si="18">J13+J20</f>
        <v>0</v>
      </c>
      <c r="K27" s="13">
        <f t="shared" si="18"/>
        <v>2.0138888888888887E-2</v>
      </c>
      <c r="L27" s="13">
        <f t="shared" si="18"/>
        <v>0</v>
      </c>
      <c r="M27" s="13">
        <f t="shared" si="18"/>
        <v>6.9444444444444441E-3</v>
      </c>
      <c r="N27" s="13">
        <f t="shared" si="18"/>
        <v>6.9444444444444441E-3</v>
      </c>
      <c r="O27" s="13">
        <f t="shared" si="18"/>
        <v>8.3333333333333332E-3</v>
      </c>
      <c r="P27" s="13">
        <f t="shared" si="18"/>
        <v>0</v>
      </c>
      <c r="Q27" s="13">
        <f t="shared" si="18"/>
        <v>0</v>
      </c>
      <c r="R27" s="13">
        <f t="shared" si="18"/>
        <v>1.0416666666666666E-2</v>
      </c>
      <c r="S27" s="13">
        <f t="shared" si="18"/>
        <v>1.7361111111111112E-2</v>
      </c>
      <c r="T27" s="13">
        <f t="shared" si="18"/>
        <v>0</v>
      </c>
      <c r="U27" s="13">
        <f t="shared" si="18"/>
        <v>0</v>
      </c>
      <c r="V27" s="13">
        <f t="shared" si="18"/>
        <v>0</v>
      </c>
      <c r="W27" s="13">
        <f t="shared" si="18"/>
        <v>0</v>
      </c>
      <c r="X27" s="13">
        <f t="shared" si="18"/>
        <v>0</v>
      </c>
      <c r="Y27" s="13">
        <f t="shared" si="18"/>
        <v>0</v>
      </c>
      <c r="Z27" s="13">
        <f t="shared" si="18"/>
        <v>0</v>
      </c>
      <c r="AA27" s="13">
        <f t="shared" si="13"/>
        <v>7.013888888888889E-2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0"/>
        <v>0</v>
      </c>
      <c r="F28" s="16">
        <f t="shared" si="10"/>
        <v>0</v>
      </c>
      <c r="G28" s="15"/>
      <c r="H28" s="15"/>
      <c r="I28" s="15"/>
      <c r="J28" s="17">
        <f t="shared" ref="J28:Z28" si="19">J14+J21</f>
        <v>8.2638888888888887E-2</v>
      </c>
      <c r="K28" s="17">
        <f t="shared" si="19"/>
        <v>2.7777777777777776E-2</v>
      </c>
      <c r="L28" s="17">
        <f t="shared" si="19"/>
        <v>0</v>
      </c>
      <c r="M28" s="17">
        <f t="shared" si="19"/>
        <v>1.0416666666666666E-2</v>
      </c>
      <c r="N28" s="17">
        <f t="shared" si="19"/>
        <v>2.1527777777777778E-2</v>
      </c>
      <c r="O28" s="17">
        <f t="shared" si="19"/>
        <v>0</v>
      </c>
      <c r="P28" s="17">
        <f t="shared" si="19"/>
        <v>0</v>
      </c>
      <c r="Q28" s="17">
        <f t="shared" si="19"/>
        <v>0</v>
      </c>
      <c r="R28" s="17">
        <f t="shared" si="19"/>
        <v>2.0833333333333332E-2</v>
      </c>
      <c r="S28" s="17">
        <f t="shared" si="19"/>
        <v>1.7361111111111112E-2</v>
      </c>
      <c r="T28" s="17">
        <f t="shared" si="19"/>
        <v>0</v>
      </c>
      <c r="U28" s="17">
        <f t="shared" si="19"/>
        <v>0</v>
      </c>
      <c r="V28" s="17">
        <f t="shared" si="19"/>
        <v>0</v>
      </c>
      <c r="W28" s="17">
        <f t="shared" si="19"/>
        <v>0</v>
      </c>
      <c r="X28" s="17">
        <f t="shared" si="19"/>
        <v>0</v>
      </c>
      <c r="Y28" s="17">
        <f t="shared" si="19"/>
        <v>0</v>
      </c>
      <c r="Z28" s="17">
        <f t="shared" si="19"/>
        <v>0</v>
      </c>
      <c r="AA28" s="17">
        <f t="shared" si="13"/>
        <v>0.18055555555555555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</sheetPr>
  <dimension ref="A3:AK28"/>
  <sheetViews>
    <sheetView topLeftCell="A4" zoomScale="115" zoomScaleNormal="115" workbookViewId="0">
      <pane xSplit="2" ySplit="4" topLeftCell="J9" activePane="bottomRight" state="frozen"/>
      <selection activeCell="A5" sqref="A5:A6"/>
      <selection pane="topRight" activeCell="A5" sqref="A5:A6"/>
      <selection pane="bottomLeft" activeCell="A5" sqref="A5:A6"/>
      <selection pane="bottomRight" activeCell="Z21" sqref="Z21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45606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72" t="s">
        <v>50</v>
      </c>
      <c r="AC7" s="173"/>
      <c r="AD7" s="173"/>
      <c r="AE7" s="173"/>
      <c r="AF7" s="174"/>
      <c r="AG7" s="172" t="s">
        <v>51</v>
      </c>
      <c r="AH7" s="173"/>
      <c r="AI7" s="173"/>
      <c r="AJ7" s="173"/>
      <c r="AK7" s="173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0.22361111111111109</v>
      </c>
      <c r="K8" s="20">
        <v>1.4583333333333332E-2</v>
      </c>
      <c r="L8" s="20"/>
      <c r="M8" s="20">
        <v>6.9444444444444441E-3</v>
      </c>
      <c r="N8" s="20">
        <v>1.8055555555555557E-2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0.26319444444444445</v>
      </c>
      <c r="AB8" s="85">
        <f>+J8+O8+Q8+U8</f>
        <v>0.22361111111111109</v>
      </c>
      <c r="AC8" s="66">
        <f>0+(0/60)</f>
        <v>0</v>
      </c>
      <c r="AD8" s="1">
        <v>400</v>
      </c>
      <c r="AE8" s="88">
        <f>+AC8*AD8</f>
        <v>0</v>
      </c>
      <c r="AF8" s="171">
        <f>SUM(AE8:AE14)</f>
        <v>2965.0000000000005</v>
      </c>
      <c r="AG8" s="85">
        <f>+K8+L8+M8+N8+R8+S8+T8+V8+W8+X8+Y8+Z8</f>
        <v>3.9583333333333331E-2</v>
      </c>
      <c r="AH8" s="66">
        <f>0+(48/60)</f>
        <v>0.8</v>
      </c>
      <c r="AI8" s="1">
        <v>400</v>
      </c>
      <c r="AJ8" s="88">
        <f>+AH8*AI8</f>
        <v>320</v>
      </c>
      <c r="AK8" s="171">
        <f>SUM(AJ8:AJ14)</f>
        <v>2076.6666666666665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0.35416666666666669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>
        <v>2.4999999999999998E-2</v>
      </c>
      <c r="W9" s="9"/>
      <c r="X9" s="9"/>
      <c r="Y9" s="9"/>
      <c r="Z9" s="9"/>
      <c r="AA9" s="9">
        <f t="shared" ref="AA9:AA21" si="0">SUM(J9:Z9)</f>
        <v>0.37916666666666671</v>
      </c>
      <c r="AB9" s="85">
        <f t="shared" ref="AB9:AB14" si="1">+J9+O9+Q9+U9</f>
        <v>0.35416666666666669</v>
      </c>
      <c r="AC9" s="66">
        <f>4+(10/60)</f>
        <v>4.166666666666667</v>
      </c>
      <c r="AD9" s="1">
        <v>400</v>
      </c>
      <c r="AE9" s="88">
        <f t="shared" ref="AE9:AE14" si="2">+AC9*AD9</f>
        <v>1666.6666666666667</v>
      </c>
      <c r="AF9" s="171"/>
      <c r="AG9" s="85">
        <f t="shared" ref="AG9:AG21" si="3">+K9+L9+M9+N9+R9+S9+T9+V9+W9+X9+Y9+Z9</f>
        <v>2.4999999999999998E-2</v>
      </c>
      <c r="AH9" s="66">
        <f>0+(28/60)</f>
        <v>0.46666666666666667</v>
      </c>
      <c r="AI9" s="1">
        <v>400</v>
      </c>
      <c r="AJ9" s="88">
        <f t="shared" ref="AJ9:AJ14" si="4">+AH9*AI9</f>
        <v>186.66666666666666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0.17152777777777775</v>
      </c>
      <c r="K11" s="9">
        <v>1.0416666666666666E-2</v>
      </c>
      <c r="L11" s="9"/>
      <c r="M11" s="9">
        <v>5.5555555555555558E-3</v>
      </c>
      <c r="N11" s="9">
        <v>9.0277777777777787E-3</v>
      </c>
      <c r="O11" s="9"/>
      <c r="P11" s="9"/>
      <c r="Q11" s="9"/>
      <c r="R11" s="9">
        <v>1.3888888888888888E-2</v>
      </c>
      <c r="S11" s="9"/>
      <c r="T11" s="9"/>
      <c r="U11" s="9"/>
      <c r="V11" s="9"/>
      <c r="W11" s="9"/>
      <c r="X11" s="9"/>
      <c r="Y11" s="9"/>
      <c r="Z11" s="9"/>
      <c r="AA11" s="9">
        <f t="shared" si="0"/>
        <v>0.21041666666666664</v>
      </c>
      <c r="AB11" s="85">
        <f t="shared" si="1"/>
        <v>0.17152777777777775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3.888888888888889E-2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0.19444444444444445</v>
      </c>
      <c r="K12" s="9"/>
      <c r="L12" s="9"/>
      <c r="M12" s="9">
        <v>1.0416666666666666E-2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0.2048611111111111</v>
      </c>
      <c r="AB12" s="85">
        <f t="shared" si="1"/>
        <v>0.19444444444444445</v>
      </c>
      <c r="AC12" s="66">
        <f>0+(0/60)</f>
        <v>0</v>
      </c>
      <c r="AD12" s="1">
        <v>400</v>
      </c>
      <c r="AE12" s="88">
        <f t="shared" si="2"/>
        <v>0</v>
      </c>
      <c r="AF12" s="171"/>
      <c r="AG12" s="85">
        <f t="shared" si="3"/>
        <v>1.0416666666666666E-2</v>
      </c>
      <c r="AH12" s="66">
        <f>1+(57/60)</f>
        <v>1.95</v>
      </c>
      <c r="AI12" s="1">
        <v>400</v>
      </c>
      <c r="AJ12" s="88">
        <f t="shared" si="4"/>
        <v>780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>
        <v>2.0833333333333332E-2</v>
      </c>
      <c r="M13" s="9">
        <v>5.5555555555555558E-3</v>
      </c>
      <c r="N13" s="9">
        <v>3.472222222222222E-3</v>
      </c>
      <c r="O13" s="9"/>
      <c r="P13" s="9"/>
      <c r="Q13" s="9"/>
      <c r="R13" s="9">
        <v>1.0416666666666666E-2</v>
      </c>
      <c r="S13" s="9"/>
      <c r="T13" s="9"/>
      <c r="U13" s="9"/>
      <c r="V13" s="9"/>
      <c r="W13" s="9"/>
      <c r="X13" s="9"/>
      <c r="Y13" s="9"/>
      <c r="Z13" s="9"/>
      <c r="AA13" s="9">
        <f t="shared" si="0"/>
        <v>4.0277777777777773E-2</v>
      </c>
      <c r="AB13" s="85">
        <f t="shared" si="1"/>
        <v>0</v>
      </c>
      <c r="AC13" s="66">
        <f>1+(26/60)</f>
        <v>1.4333333333333333</v>
      </c>
      <c r="AD13" s="1">
        <v>450</v>
      </c>
      <c r="AE13" s="88">
        <f t="shared" si="2"/>
        <v>645</v>
      </c>
      <c r="AF13" s="171"/>
      <c r="AG13" s="85">
        <f t="shared" si="3"/>
        <v>4.0277777777777773E-2</v>
      </c>
      <c r="AH13" s="66">
        <f>0+(40/60)</f>
        <v>0.66666666666666663</v>
      </c>
      <c r="AI13" s="1">
        <v>450</v>
      </c>
      <c r="AJ13" s="88">
        <f t="shared" si="4"/>
        <v>300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4.1666666666666666E-3</v>
      </c>
      <c r="N14" s="23">
        <v>6.9444444444444441E-3</v>
      </c>
      <c r="O14" s="23"/>
      <c r="P14" s="23"/>
      <c r="Q14" s="23"/>
      <c r="R14" s="23">
        <v>1.2499999999999999E-2</v>
      </c>
      <c r="S14" s="23"/>
      <c r="T14" s="23"/>
      <c r="U14" s="23"/>
      <c r="V14" s="23"/>
      <c r="W14" s="23"/>
      <c r="X14" s="23"/>
      <c r="Y14" s="23"/>
      <c r="Z14" s="23"/>
      <c r="AA14" s="23">
        <f t="shared" si="0"/>
        <v>2.361111111111111E-2</v>
      </c>
      <c r="AB14" s="85">
        <f t="shared" si="1"/>
        <v>0</v>
      </c>
      <c r="AC14" s="66">
        <f>1+(52/60)</f>
        <v>1.8666666666666667</v>
      </c>
      <c r="AD14" s="1">
        <v>350</v>
      </c>
      <c r="AE14" s="88">
        <f t="shared" si="2"/>
        <v>653.33333333333337</v>
      </c>
      <c r="AF14" s="171"/>
      <c r="AG14" s="85">
        <f t="shared" si="3"/>
        <v>2.361111111111111E-2</v>
      </c>
      <c r="AH14" s="66">
        <f>1+(24/60)</f>
        <v>1.4</v>
      </c>
      <c r="AI14" s="1">
        <v>350</v>
      </c>
      <c r="AJ14" s="88">
        <f t="shared" si="4"/>
        <v>489.99999999999994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>
        <v>4.1666666666666666E-3</v>
      </c>
      <c r="L15" s="30"/>
      <c r="M15" s="30"/>
      <c r="N15" s="30">
        <v>6.9444444444444441E-3</v>
      </c>
      <c r="O15" s="30"/>
      <c r="P15" s="30"/>
      <c r="Q15" s="30"/>
      <c r="R15" s="30"/>
      <c r="S15" s="30"/>
      <c r="T15" s="30"/>
      <c r="U15" s="30"/>
      <c r="V15" s="30">
        <v>0.12847222222222224</v>
      </c>
      <c r="W15" s="30"/>
      <c r="X15" s="30"/>
      <c r="Y15" s="30"/>
      <c r="Z15" s="30"/>
      <c r="AA15" s="30">
        <f t="shared" si="0"/>
        <v>0.13958333333333334</v>
      </c>
      <c r="AB15" s="85">
        <f>+J15+O15+Q15+U15</f>
        <v>0</v>
      </c>
      <c r="AC15" s="66">
        <f>0+(10/60)</f>
        <v>0.16666666666666666</v>
      </c>
      <c r="AD15" s="1">
        <v>400</v>
      </c>
      <c r="AE15" s="88">
        <f>+AC15*AD15</f>
        <v>66.666666666666657</v>
      </c>
      <c r="AF15" s="171">
        <f>SUM(AE15:AE21)</f>
        <v>966.66666666666663</v>
      </c>
      <c r="AG15" s="85">
        <f t="shared" si="3"/>
        <v>0.13958333333333334</v>
      </c>
      <c r="AH15" s="66">
        <f>0+(44/60)</f>
        <v>0.73333333333333328</v>
      </c>
      <c r="AI15" s="1">
        <v>400</v>
      </c>
      <c r="AJ15" s="88">
        <f>+AH15*AI15</f>
        <v>293.33333333333331</v>
      </c>
      <c r="AK15" s="171">
        <f>SUM(AJ15:AJ21)</f>
        <v>1194.9999999999998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0.11944444444444445</v>
      </c>
      <c r="K16" s="9">
        <v>3.472222222222222E-3</v>
      </c>
      <c r="L16" s="9"/>
      <c r="M16" s="9">
        <v>1.3194444444444444E-2</v>
      </c>
      <c r="N16" s="9"/>
      <c r="O16" s="9"/>
      <c r="P16" s="9"/>
      <c r="Q16" s="9"/>
      <c r="R16" s="9"/>
      <c r="S16" s="9"/>
      <c r="T16" s="9"/>
      <c r="U16" s="9"/>
      <c r="V16" s="9"/>
      <c r="W16" s="9">
        <v>0.18680555555555556</v>
      </c>
      <c r="X16" s="9"/>
      <c r="Y16" s="9"/>
      <c r="Z16" s="9"/>
      <c r="AA16" s="9">
        <f t="shared" si="0"/>
        <v>0.32291666666666669</v>
      </c>
      <c r="AB16" s="85">
        <f t="shared" ref="AB16:AB21" si="5">+J16+O16+Q16+U16</f>
        <v>0.11944444444444445</v>
      </c>
      <c r="AC16" s="66">
        <f>0+(0/60)</f>
        <v>0</v>
      </c>
      <c r="AD16" s="1">
        <v>400</v>
      </c>
      <c r="AE16" s="88">
        <f t="shared" ref="AE16:AE21" si="6">+AC16*AD16</f>
        <v>0</v>
      </c>
      <c r="AF16" s="171"/>
      <c r="AG16" s="85">
        <f t="shared" si="3"/>
        <v>0.20347222222222222</v>
      </c>
      <c r="AH16" s="66">
        <f>0+(18/60)</f>
        <v>0.3</v>
      </c>
      <c r="AI16" s="1">
        <v>400</v>
      </c>
      <c r="AJ16" s="88">
        <f t="shared" ref="AJ16:AJ21" si="7">+AH16*AI16</f>
        <v>120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5"/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5.5555555555555558E-3</v>
      </c>
      <c r="L18" s="9"/>
      <c r="M18" s="9">
        <v>5.5555555555555558E-3</v>
      </c>
      <c r="N18" s="9">
        <v>5.5555555555555558E-3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1.6666666666666666E-2</v>
      </c>
      <c r="AB18" s="85">
        <f t="shared" si="5"/>
        <v>0</v>
      </c>
      <c r="AC18" s="66">
        <f>0+(0/60)</f>
        <v>0</v>
      </c>
      <c r="AD18" s="1">
        <v>400</v>
      </c>
      <c r="AE18" s="88">
        <f t="shared" si="6"/>
        <v>0</v>
      </c>
      <c r="AF18" s="171"/>
      <c r="AG18" s="85">
        <f t="shared" si="3"/>
        <v>1.6666666666666666E-2</v>
      </c>
      <c r="AH18" s="66">
        <f>0+(0/60)</f>
        <v>0</v>
      </c>
      <c r="AI18" s="1">
        <v>400</v>
      </c>
      <c r="AJ18" s="88">
        <f t="shared" si="7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6.9444444444444441E-3</v>
      </c>
      <c r="L19" s="9">
        <v>9.7222222222222224E-3</v>
      </c>
      <c r="M19" s="9">
        <v>1.5277777777777777E-2</v>
      </c>
      <c r="N19" s="9">
        <v>1.0416666666666666E-2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60">
        <f t="shared" si="0"/>
        <v>4.2361111111111106E-2</v>
      </c>
      <c r="AB19" s="85">
        <f t="shared" si="5"/>
        <v>0</v>
      </c>
      <c r="AC19" s="66">
        <f t="shared" ref="AC19:AC21" si="8">0+(0/60)</f>
        <v>0</v>
      </c>
      <c r="AD19" s="1">
        <v>400</v>
      </c>
      <c r="AE19" s="88">
        <f t="shared" si="6"/>
        <v>0</v>
      </c>
      <c r="AF19" s="171"/>
      <c r="AG19" s="85">
        <f t="shared" si="3"/>
        <v>4.2361111111111106E-2</v>
      </c>
      <c r="AH19" s="66">
        <f>1+(20/60)</f>
        <v>1.3333333333333333</v>
      </c>
      <c r="AI19" s="1">
        <v>400</v>
      </c>
      <c r="AJ19" s="88">
        <f t="shared" si="7"/>
        <v>533.33333333333326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4.8611111111111112E-3</v>
      </c>
      <c r="L20" s="9"/>
      <c r="M20" s="9">
        <v>6.9444444444444441E-3</v>
      </c>
      <c r="N20" s="9">
        <v>4.8611111111111112E-3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1.6666666666666666E-2</v>
      </c>
      <c r="AB20" s="85">
        <f t="shared" si="5"/>
        <v>0</v>
      </c>
      <c r="AC20" s="66">
        <f>2+(0/60)</f>
        <v>2</v>
      </c>
      <c r="AD20" s="1">
        <v>450</v>
      </c>
      <c r="AE20" s="88">
        <f t="shared" si="6"/>
        <v>900</v>
      </c>
      <c r="AF20" s="171"/>
      <c r="AG20" s="85">
        <f t="shared" si="3"/>
        <v>1.6666666666666666E-2</v>
      </c>
      <c r="AH20" s="66">
        <f>0+(9/60)</f>
        <v>0.15</v>
      </c>
      <c r="AI20" s="1">
        <v>450</v>
      </c>
      <c r="AJ20" s="88">
        <f t="shared" si="7"/>
        <v>67.5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2.0833333333333333E-3</v>
      </c>
      <c r="L21" s="23"/>
      <c r="M21" s="23">
        <v>1.0416666666666666E-2</v>
      </c>
      <c r="N21" s="23">
        <v>2.7777777777777779E-3</v>
      </c>
      <c r="O21" s="23"/>
      <c r="P21" s="23">
        <v>6.9444444444444434E-2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8.4722222222222213E-2</v>
      </c>
      <c r="AB21" s="85">
        <f t="shared" si="5"/>
        <v>0</v>
      </c>
      <c r="AC21" s="66">
        <f t="shared" si="8"/>
        <v>0</v>
      </c>
      <c r="AD21" s="1">
        <v>350</v>
      </c>
      <c r="AE21" s="88">
        <f t="shared" si="6"/>
        <v>0</v>
      </c>
      <c r="AF21" s="171"/>
      <c r="AG21" s="85">
        <f t="shared" si="3"/>
        <v>1.5277777777777777E-2</v>
      </c>
      <c r="AH21" s="66">
        <f>0+(31/60)</f>
        <v>0.51666666666666672</v>
      </c>
      <c r="AI21" s="1">
        <v>350</v>
      </c>
      <c r="AJ21" s="88">
        <f t="shared" si="7"/>
        <v>180.83333333333334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9">E8+E15</f>
        <v>0</v>
      </c>
      <c r="F22" s="26">
        <f t="shared" si="9"/>
        <v>0</v>
      </c>
      <c r="G22" s="25"/>
      <c r="H22" s="25"/>
      <c r="I22" s="25"/>
      <c r="J22" s="27">
        <f t="shared" ref="J22:Z22" si="10">J8+J15</f>
        <v>0.22361111111111109</v>
      </c>
      <c r="K22" s="27">
        <f t="shared" si="10"/>
        <v>1.8749999999999999E-2</v>
      </c>
      <c r="L22" s="27">
        <f t="shared" si="10"/>
        <v>0</v>
      </c>
      <c r="M22" s="27">
        <f t="shared" si="10"/>
        <v>6.9444444444444441E-3</v>
      </c>
      <c r="N22" s="27">
        <f t="shared" si="10"/>
        <v>2.5000000000000001E-2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0.12847222222222224</v>
      </c>
      <c r="W22" s="27">
        <f t="shared" si="10"/>
        <v>0</v>
      </c>
      <c r="X22" s="27">
        <f t="shared" si="10"/>
        <v>0</v>
      </c>
      <c r="Y22" s="27">
        <f t="shared" si="10"/>
        <v>0</v>
      </c>
      <c r="Z22" s="27">
        <f t="shared" si="10"/>
        <v>0</v>
      </c>
      <c r="AA22" s="27">
        <f>SUM(J22:Z22)</f>
        <v>0.40277777777777779</v>
      </c>
      <c r="AB22" s="172" t="s">
        <v>52</v>
      </c>
      <c r="AC22" s="175"/>
      <c r="AD22" s="175"/>
      <c r="AE22" s="175"/>
      <c r="AF22" s="91">
        <f>+AF15+AF8</f>
        <v>3931.666666666667</v>
      </c>
      <c r="AG22" s="172" t="s">
        <v>53</v>
      </c>
      <c r="AH22" s="175"/>
      <c r="AI22" s="175"/>
      <c r="AJ22" s="175"/>
      <c r="AK22" s="91">
        <f>+AK15+AK8</f>
        <v>3271.6666666666661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9"/>
        <v>0</v>
      </c>
      <c r="F23" s="12">
        <f t="shared" si="9"/>
        <v>0</v>
      </c>
      <c r="G23" s="11"/>
      <c r="H23" s="11"/>
      <c r="I23" s="11"/>
      <c r="J23" s="13">
        <f t="shared" ref="J23:Z23" si="11">J9+J16</f>
        <v>0.47361111111111115</v>
      </c>
      <c r="K23" s="13">
        <f t="shared" si="11"/>
        <v>3.472222222222222E-3</v>
      </c>
      <c r="L23" s="13">
        <f t="shared" si="11"/>
        <v>0</v>
      </c>
      <c r="M23" s="13">
        <f t="shared" si="11"/>
        <v>1.3194444444444444E-2</v>
      </c>
      <c r="N23" s="13">
        <f t="shared" si="11"/>
        <v>0</v>
      </c>
      <c r="O23" s="13">
        <f t="shared" si="11"/>
        <v>0</v>
      </c>
      <c r="P23" s="13">
        <f t="shared" si="11"/>
        <v>0</v>
      </c>
      <c r="Q23" s="13">
        <f t="shared" si="11"/>
        <v>0</v>
      </c>
      <c r="R23" s="13">
        <f t="shared" si="11"/>
        <v>0</v>
      </c>
      <c r="S23" s="13">
        <f t="shared" si="11"/>
        <v>0</v>
      </c>
      <c r="T23" s="13">
        <f t="shared" si="11"/>
        <v>0</v>
      </c>
      <c r="U23" s="13">
        <f t="shared" si="11"/>
        <v>0</v>
      </c>
      <c r="V23" s="13">
        <f t="shared" si="11"/>
        <v>2.4999999999999998E-2</v>
      </c>
      <c r="W23" s="13">
        <f t="shared" si="11"/>
        <v>0.18680555555555556</v>
      </c>
      <c r="X23" s="13">
        <f t="shared" si="11"/>
        <v>0</v>
      </c>
      <c r="Y23" s="13">
        <f t="shared" si="11"/>
        <v>0</v>
      </c>
      <c r="Z23" s="13">
        <f t="shared" si="11"/>
        <v>0</v>
      </c>
      <c r="AA23" s="13">
        <f t="shared" ref="AA23:AA28" si="12">SUM(J23:Z23)</f>
        <v>0.70208333333333339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9"/>
        <v>0</v>
      </c>
      <c r="F24" s="12">
        <f t="shared" si="9"/>
        <v>0</v>
      </c>
      <c r="G24" s="11"/>
      <c r="H24" s="11"/>
      <c r="I24" s="11"/>
      <c r="J24" s="13">
        <f t="shared" ref="J24:Z24" si="13">J10+J17</f>
        <v>0</v>
      </c>
      <c r="K24" s="13">
        <f t="shared" si="13"/>
        <v>0</v>
      </c>
      <c r="L24" s="13">
        <f t="shared" si="13"/>
        <v>0</v>
      </c>
      <c r="M24" s="13">
        <f t="shared" si="13"/>
        <v>0</v>
      </c>
      <c r="N24" s="13">
        <f t="shared" si="13"/>
        <v>0</v>
      </c>
      <c r="O24" s="13">
        <f t="shared" si="13"/>
        <v>0</v>
      </c>
      <c r="P24" s="13">
        <f t="shared" si="13"/>
        <v>0</v>
      </c>
      <c r="Q24" s="13">
        <f t="shared" si="13"/>
        <v>0</v>
      </c>
      <c r="R24" s="13">
        <f t="shared" si="13"/>
        <v>0</v>
      </c>
      <c r="S24" s="13">
        <f t="shared" si="13"/>
        <v>0</v>
      </c>
      <c r="T24" s="13">
        <f t="shared" si="13"/>
        <v>0</v>
      </c>
      <c r="U24" s="13">
        <f t="shared" si="13"/>
        <v>0</v>
      </c>
      <c r="V24" s="13">
        <f t="shared" si="13"/>
        <v>0</v>
      </c>
      <c r="W24" s="13">
        <f t="shared" si="13"/>
        <v>0</v>
      </c>
      <c r="X24" s="13">
        <f t="shared" si="13"/>
        <v>0</v>
      </c>
      <c r="Y24" s="13">
        <f t="shared" si="13"/>
        <v>0</v>
      </c>
      <c r="Z24" s="13">
        <f t="shared" si="13"/>
        <v>0</v>
      </c>
      <c r="AA24" s="13">
        <f t="shared" ref="AA24:AA26" si="14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9"/>
        <v>0</v>
      </c>
      <c r="F25" s="12">
        <f t="shared" si="9"/>
        <v>0</v>
      </c>
      <c r="G25" s="11"/>
      <c r="H25" s="11"/>
      <c r="I25" s="11"/>
      <c r="J25" s="13">
        <f t="shared" ref="J25:Z25" si="15">J11+J18</f>
        <v>0.17152777777777775</v>
      </c>
      <c r="K25" s="13">
        <f t="shared" si="15"/>
        <v>1.5972222222222221E-2</v>
      </c>
      <c r="L25" s="13">
        <f t="shared" si="15"/>
        <v>0</v>
      </c>
      <c r="M25" s="13">
        <f t="shared" si="15"/>
        <v>1.1111111111111112E-2</v>
      </c>
      <c r="N25" s="13">
        <f t="shared" si="15"/>
        <v>1.4583333333333334E-2</v>
      </c>
      <c r="O25" s="13">
        <f t="shared" si="15"/>
        <v>0</v>
      </c>
      <c r="P25" s="13">
        <f t="shared" si="15"/>
        <v>0</v>
      </c>
      <c r="Q25" s="13">
        <f t="shared" si="15"/>
        <v>0</v>
      </c>
      <c r="R25" s="13">
        <f t="shared" si="15"/>
        <v>1.3888888888888888E-2</v>
      </c>
      <c r="S25" s="13">
        <f t="shared" si="15"/>
        <v>0</v>
      </c>
      <c r="T25" s="13">
        <f t="shared" si="15"/>
        <v>0</v>
      </c>
      <c r="U25" s="13">
        <f t="shared" si="15"/>
        <v>0</v>
      </c>
      <c r="V25" s="13">
        <f t="shared" si="15"/>
        <v>0</v>
      </c>
      <c r="W25" s="13">
        <f t="shared" si="15"/>
        <v>0</v>
      </c>
      <c r="X25" s="13">
        <f t="shared" si="15"/>
        <v>0</v>
      </c>
      <c r="Y25" s="13">
        <f t="shared" si="15"/>
        <v>0</v>
      </c>
      <c r="Z25" s="13">
        <f t="shared" si="15"/>
        <v>0</v>
      </c>
      <c r="AA25" s="13">
        <f t="shared" si="14"/>
        <v>0.2270833333333333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9"/>
        <v>0</v>
      </c>
      <c r="F26" s="12">
        <f t="shared" si="9"/>
        <v>0</v>
      </c>
      <c r="G26" s="11"/>
      <c r="H26" s="11"/>
      <c r="I26" s="11"/>
      <c r="J26" s="13">
        <f t="shared" ref="J26:Z26" si="16">J12+J19</f>
        <v>0.19444444444444445</v>
      </c>
      <c r="K26" s="13">
        <f t="shared" si="16"/>
        <v>6.9444444444444441E-3</v>
      </c>
      <c r="L26" s="13">
        <f t="shared" si="16"/>
        <v>9.7222222222222224E-3</v>
      </c>
      <c r="M26" s="13">
        <f t="shared" si="16"/>
        <v>2.5694444444444443E-2</v>
      </c>
      <c r="N26" s="13">
        <f t="shared" si="16"/>
        <v>1.0416666666666666E-2</v>
      </c>
      <c r="O26" s="13">
        <f t="shared" si="16"/>
        <v>0</v>
      </c>
      <c r="P26" s="13">
        <f t="shared" si="16"/>
        <v>0</v>
      </c>
      <c r="Q26" s="13">
        <f t="shared" si="16"/>
        <v>0</v>
      </c>
      <c r="R26" s="13">
        <f t="shared" si="16"/>
        <v>0</v>
      </c>
      <c r="S26" s="13">
        <f t="shared" si="16"/>
        <v>0</v>
      </c>
      <c r="T26" s="13">
        <f t="shared" si="16"/>
        <v>0</v>
      </c>
      <c r="U26" s="13">
        <f t="shared" si="16"/>
        <v>0</v>
      </c>
      <c r="V26" s="13">
        <f t="shared" si="16"/>
        <v>0</v>
      </c>
      <c r="W26" s="13">
        <f t="shared" si="16"/>
        <v>0</v>
      </c>
      <c r="X26" s="13">
        <f t="shared" si="16"/>
        <v>0</v>
      </c>
      <c r="Y26" s="13">
        <f t="shared" si="16"/>
        <v>0</v>
      </c>
      <c r="Z26" s="13">
        <f t="shared" si="16"/>
        <v>0</v>
      </c>
      <c r="AA26" s="13">
        <f t="shared" si="14"/>
        <v>0.2472222222222222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9"/>
        <v>0</v>
      </c>
      <c r="F27" s="12">
        <f t="shared" si="9"/>
        <v>0</v>
      </c>
      <c r="G27" s="11"/>
      <c r="H27" s="11"/>
      <c r="I27" s="11"/>
      <c r="J27" s="13">
        <f t="shared" ref="J27:Z27" si="17">J13+J20</f>
        <v>0</v>
      </c>
      <c r="K27" s="13">
        <f t="shared" si="17"/>
        <v>4.8611111111111112E-3</v>
      </c>
      <c r="L27" s="13">
        <f t="shared" si="17"/>
        <v>2.0833333333333332E-2</v>
      </c>
      <c r="M27" s="13">
        <f t="shared" si="17"/>
        <v>1.2500000000000001E-2</v>
      </c>
      <c r="N27" s="13">
        <f t="shared" si="17"/>
        <v>8.3333333333333332E-3</v>
      </c>
      <c r="O27" s="13">
        <f t="shared" si="17"/>
        <v>0</v>
      </c>
      <c r="P27" s="13">
        <f t="shared" si="17"/>
        <v>0</v>
      </c>
      <c r="Q27" s="13">
        <f t="shared" si="17"/>
        <v>0</v>
      </c>
      <c r="R27" s="13">
        <f t="shared" si="17"/>
        <v>1.0416666666666666E-2</v>
      </c>
      <c r="S27" s="13">
        <f t="shared" si="17"/>
        <v>0</v>
      </c>
      <c r="T27" s="13">
        <f t="shared" si="17"/>
        <v>0</v>
      </c>
      <c r="U27" s="13">
        <f t="shared" si="17"/>
        <v>0</v>
      </c>
      <c r="V27" s="13">
        <f t="shared" si="17"/>
        <v>0</v>
      </c>
      <c r="W27" s="13">
        <f t="shared" si="17"/>
        <v>0</v>
      </c>
      <c r="X27" s="13">
        <f t="shared" si="17"/>
        <v>0</v>
      </c>
      <c r="Y27" s="13">
        <f t="shared" si="17"/>
        <v>0</v>
      </c>
      <c r="Z27" s="13">
        <f t="shared" si="17"/>
        <v>0</v>
      </c>
      <c r="AA27" s="13">
        <f t="shared" si="12"/>
        <v>5.6944444444444443E-2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9"/>
        <v>0</v>
      </c>
      <c r="F28" s="16">
        <f t="shared" si="9"/>
        <v>0</v>
      </c>
      <c r="G28" s="15"/>
      <c r="H28" s="15"/>
      <c r="I28" s="15"/>
      <c r="J28" s="17">
        <f t="shared" ref="J28:Z28" si="18">J14+J21</f>
        <v>0</v>
      </c>
      <c r="K28" s="17">
        <f t="shared" si="18"/>
        <v>2.0833333333333333E-3</v>
      </c>
      <c r="L28" s="17">
        <f t="shared" si="18"/>
        <v>0</v>
      </c>
      <c r="M28" s="17">
        <f t="shared" si="18"/>
        <v>1.4583333333333334E-2</v>
      </c>
      <c r="N28" s="17">
        <f t="shared" si="18"/>
        <v>9.7222222222222224E-3</v>
      </c>
      <c r="O28" s="17">
        <f t="shared" si="18"/>
        <v>0</v>
      </c>
      <c r="P28" s="17">
        <f t="shared" si="18"/>
        <v>6.9444444444444434E-2</v>
      </c>
      <c r="Q28" s="17">
        <f t="shared" si="18"/>
        <v>0</v>
      </c>
      <c r="R28" s="17">
        <f t="shared" si="18"/>
        <v>1.2499999999999999E-2</v>
      </c>
      <c r="S28" s="17">
        <f t="shared" si="18"/>
        <v>0</v>
      </c>
      <c r="T28" s="17">
        <f t="shared" si="18"/>
        <v>0</v>
      </c>
      <c r="U28" s="17">
        <f t="shared" si="18"/>
        <v>0</v>
      </c>
      <c r="V28" s="17">
        <f t="shared" si="18"/>
        <v>0</v>
      </c>
      <c r="W28" s="17">
        <f t="shared" si="18"/>
        <v>0</v>
      </c>
      <c r="X28" s="17">
        <f t="shared" si="18"/>
        <v>0</v>
      </c>
      <c r="Y28" s="17">
        <f t="shared" si="18"/>
        <v>0</v>
      </c>
      <c r="Z28" s="17">
        <f t="shared" si="18"/>
        <v>0</v>
      </c>
      <c r="AA28" s="17">
        <f t="shared" si="12"/>
        <v>0.10833333333333332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M13" sqref="M13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45637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63.7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38</v>
      </c>
      <c r="AA7" s="32" t="s">
        <v>28</v>
      </c>
      <c r="AB7" s="176" t="s">
        <v>50</v>
      </c>
      <c r="AC7" s="177"/>
      <c r="AD7" s="177"/>
      <c r="AE7" s="177"/>
      <c r="AF7" s="178"/>
      <c r="AG7" s="176" t="s">
        <v>51</v>
      </c>
      <c r="AH7" s="177"/>
      <c r="AI7" s="177"/>
      <c r="AJ7" s="177"/>
      <c r="AK7" s="177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4.7916666666666663E-2</v>
      </c>
      <c r="K8" s="20">
        <v>1.7361111111111112E-2</v>
      </c>
      <c r="L8" s="20"/>
      <c r="M8" s="20">
        <v>1.1805555555555555E-2</v>
      </c>
      <c r="N8" s="20"/>
      <c r="O8" s="20"/>
      <c r="P8" s="20"/>
      <c r="Q8" s="20"/>
      <c r="R8" s="20"/>
      <c r="S8" s="20">
        <v>0.12152777777777778</v>
      </c>
      <c r="T8" s="20">
        <v>0.10416666666666667</v>
      </c>
      <c r="U8" s="20"/>
      <c r="V8" s="20"/>
      <c r="W8" s="20"/>
      <c r="X8" s="20"/>
      <c r="Y8" s="20"/>
      <c r="Z8" s="20"/>
      <c r="AA8" s="20">
        <f>SUM(J8:Z8)</f>
        <v>0.30277777777777776</v>
      </c>
      <c r="AB8" s="85">
        <f>+J8+O8+Q8+U8</f>
        <v>4.7916666666666663E-2</v>
      </c>
      <c r="AC8" s="66">
        <f>0+(0/60)</f>
        <v>0</v>
      </c>
      <c r="AD8" s="1">
        <v>400</v>
      </c>
      <c r="AE8" s="88">
        <f>+AC8*AD8</f>
        <v>0</v>
      </c>
      <c r="AF8" s="171">
        <f>SUM(AE8:AE14)</f>
        <v>213.33333333333334</v>
      </c>
      <c r="AG8" s="85">
        <f>+K8+L8+M8+N8+R8+S8+T8+V8+W8+X8+Y8+Z8</f>
        <v>0.25486111111111109</v>
      </c>
      <c r="AH8" s="66">
        <f>1+(19/60)</f>
        <v>1.3166666666666667</v>
      </c>
      <c r="AI8" s="1">
        <v>400</v>
      </c>
      <c r="AJ8" s="88">
        <f>+AH8*AI8</f>
        <v>526.66666666666663</v>
      </c>
      <c r="AK8" s="171">
        <f>SUM(AJ8:AJ14)</f>
        <v>3061.666666666667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>
        <v>2.4999999999999998E-2</v>
      </c>
      <c r="L9" s="9">
        <v>9.7222222222222224E-3</v>
      </c>
      <c r="M9" s="9">
        <v>2.0833333333333333E-3</v>
      </c>
      <c r="N9" s="9"/>
      <c r="O9" s="9"/>
      <c r="P9" s="9"/>
      <c r="Q9" s="9"/>
      <c r="R9" s="9"/>
      <c r="S9" s="9">
        <v>0.12152777777777778</v>
      </c>
      <c r="T9" s="9">
        <v>0.10277777777777779</v>
      </c>
      <c r="U9" s="9"/>
      <c r="V9" s="9"/>
      <c r="W9" s="9">
        <v>6.9444444444444441E-3</v>
      </c>
      <c r="X9" s="9"/>
      <c r="Y9" s="9"/>
      <c r="Z9" s="9"/>
      <c r="AA9" s="9">
        <f t="shared" ref="AA9:AA21" si="0">SUM(J9:Z9)</f>
        <v>0.26805555555555555</v>
      </c>
      <c r="AB9" s="85">
        <f t="shared" ref="AB9:AB14" si="1">+J9+O9+Q9+U9</f>
        <v>0</v>
      </c>
      <c r="AC9" s="66">
        <f>0+(32/60)</f>
        <v>0.53333333333333333</v>
      </c>
      <c r="AD9" s="1">
        <v>400</v>
      </c>
      <c r="AE9" s="88">
        <f t="shared" ref="AE9:AE14" si="2">+AC9*AD9</f>
        <v>213.33333333333334</v>
      </c>
      <c r="AF9" s="171"/>
      <c r="AG9" s="85">
        <f t="shared" ref="AG9:AG21" si="3">+K9+L9+M9+N9+R9+S9+T9+V9+W9+X9+Y9+Z9</f>
        <v>0.26805555555555555</v>
      </c>
      <c r="AH9" s="66">
        <f>1+(14/60)</f>
        <v>1.2333333333333334</v>
      </c>
      <c r="AI9" s="1">
        <v>400</v>
      </c>
      <c r="AJ9" s="88">
        <f t="shared" ref="AJ9:AJ14" si="4">+AH9*AI9</f>
        <v>493.33333333333337</v>
      </c>
      <c r="AK9" s="171"/>
    </row>
    <row r="10" spans="1:3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85"/>
      <c r="AC10" s="66"/>
      <c r="AE10" s="88"/>
      <c r="AF10" s="171"/>
      <c r="AG10" s="85"/>
      <c r="AH10" s="66"/>
      <c r="AJ10" s="88"/>
      <c r="AK10" s="171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1.0416666666666666E-2</v>
      </c>
      <c r="N11" s="9"/>
      <c r="O11" s="9"/>
      <c r="P11" s="9"/>
      <c r="Q11" s="9"/>
      <c r="R11" s="9"/>
      <c r="S11" s="9">
        <v>0.12152777777777778</v>
      </c>
      <c r="T11" s="9">
        <v>0.10416666666666667</v>
      </c>
      <c r="U11" s="9"/>
      <c r="V11" s="9"/>
      <c r="W11" s="9"/>
      <c r="X11" s="9"/>
      <c r="Y11" s="9"/>
      <c r="Z11" s="9"/>
      <c r="AA11" s="9">
        <f t="shared" si="0"/>
        <v>0.2361111111111111</v>
      </c>
      <c r="AB11" s="85">
        <f t="shared" si="1"/>
        <v>0</v>
      </c>
      <c r="AC11" s="66">
        <f>0+(0/60)</f>
        <v>0</v>
      </c>
      <c r="AD11" s="1">
        <v>400</v>
      </c>
      <c r="AE11" s="88">
        <f t="shared" si="2"/>
        <v>0</v>
      </c>
      <c r="AF11" s="171"/>
      <c r="AG11" s="85">
        <f t="shared" si="3"/>
        <v>0.2361111111111111</v>
      </c>
      <c r="AH11" s="66">
        <f>0+(0/60)</f>
        <v>0</v>
      </c>
      <c r="AI11" s="1">
        <v>400</v>
      </c>
      <c r="AJ11" s="88">
        <f t="shared" si="4"/>
        <v>0</v>
      </c>
      <c r="AK11" s="171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0.10069444444444443</v>
      </c>
      <c r="K12" s="9">
        <v>1.3194444444444444E-2</v>
      </c>
      <c r="L12" s="9"/>
      <c r="M12" s="9">
        <v>1.0416666666666666E-2</v>
      </c>
      <c r="N12" s="9"/>
      <c r="O12" s="9"/>
      <c r="P12" s="9"/>
      <c r="Q12" s="9"/>
      <c r="R12" s="9"/>
      <c r="S12" s="9">
        <v>0.12152777777777778</v>
      </c>
      <c r="T12" s="9">
        <v>0.10416666666666667</v>
      </c>
      <c r="U12" s="9"/>
      <c r="V12" s="9"/>
      <c r="W12" s="9"/>
      <c r="X12" s="9"/>
      <c r="Y12" s="9"/>
      <c r="Z12" s="9"/>
      <c r="AA12" s="151">
        <f t="shared" si="0"/>
        <v>0.35</v>
      </c>
      <c r="AB12" s="85">
        <f t="shared" si="1"/>
        <v>0.10069444444444443</v>
      </c>
      <c r="AC12" s="66">
        <f>0+(0/60)</f>
        <v>0</v>
      </c>
      <c r="AD12" s="1">
        <v>400</v>
      </c>
      <c r="AE12" s="88">
        <f t="shared" si="2"/>
        <v>0</v>
      </c>
      <c r="AF12" s="171"/>
      <c r="AG12" s="85">
        <f t="shared" si="3"/>
        <v>0.24930555555555556</v>
      </c>
      <c r="AH12" s="66">
        <f>1+(48/60)</f>
        <v>1.8</v>
      </c>
      <c r="AI12" s="1">
        <v>400</v>
      </c>
      <c r="AJ12" s="88">
        <f t="shared" si="4"/>
        <v>720</v>
      </c>
      <c r="AK12" s="171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4.8611111111111112E-3</v>
      </c>
      <c r="N13" s="9"/>
      <c r="O13" s="9"/>
      <c r="P13" s="9"/>
      <c r="Q13" s="9"/>
      <c r="R13" s="9"/>
      <c r="S13" s="9">
        <v>0.12152777777777778</v>
      </c>
      <c r="T13" s="9">
        <v>0.10416666666666667</v>
      </c>
      <c r="U13" s="9"/>
      <c r="V13" s="9"/>
      <c r="W13" s="9"/>
      <c r="X13" s="9"/>
      <c r="Y13" s="9"/>
      <c r="Z13" s="9"/>
      <c r="AA13" s="9">
        <f t="shared" si="0"/>
        <v>0.23055555555555557</v>
      </c>
      <c r="AB13" s="85">
        <f t="shared" si="1"/>
        <v>0</v>
      </c>
      <c r="AC13" s="66">
        <f>0+(0/60)</f>
        <v>0</v>
      </c>
      <c r="AD13" s="1">
        <v>450</v>
      </c>
      <c r="AE13" s="88">
        <f t="shared" si="2"/>
        <v>0</v>
      </c>
      <c r="AF13" s="171"/>
      <c r="AG13" s="85">
        <f t="shared" si="3"/>
        <v>0.23055555555555557</v>
      </c>
      <c r="AH13" s="66">
        <f>0+(51/60)</f>
        <v>0.85</v>
      </c>
      <c r="AI13" s="1">
        <v>450</v>
      </c>
      <c r="AJ13" s="88">
        <f t="shared" si="4"/>
        <v>382.5</v>
      </c>
      <c r="AK13" s="171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  <c r="AB14" s="85">
        <f t="shared" si="1"/>
        <v>0</v>
      </c>
      <c r="AC14" s="66">
        <f>0+(0/60)</f>
        <v>0</v>
      </c>
      <c r="AD14" s="1">
        <v>350</v>
      </c>
      <c r="AE14" s="88">
        <f t="shared" si="2"/>
        <v>0</v>
      </c>
      <c r="AF14" s="171"/>
      <c r="AG14" s="85">
        <f t="shared" si="3"/>
        <v>0</v>
      </c>
      <c r="AH14" s="66">
        <f>2+(41/60)</f>
        <v>2.6833333333333336</v>
      </c>
      <c r="AI14" s="1">
        <v>350</v>
      </c>
      <c r="AJ14" s="88">
        <f t="shared" si="4"/>
        <v>939.16666666666674</v>
      </c>
      <c r="AK14" s="17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20"/>
      <c r="K15" s="30"/>
      <c r="L15" s="30"/>
      <c r="M15" s="30"/>
      <c r="N15" s="30"/>
      <c r="O15" s="30"/>
      <c r="P15" s="30"/>
      <c r="Q15" s="30"/>
      <c r="R15" s="30"/>
      <c r="S15" s="30">
        <v>8.3333333333333329E-2</v>
      </c>
      <c r="T15" s="30">
        <v>0.22222222222222221</v>
      </c>
      <c r="U15" s="30"/>
      <c r="V15" s="30"/>
      <c r="W15" s="30">
        <v>3.2638888888888891E-2</v>
      </c>
      <c r="X15" s="30"/>
      <c r="Y15" s="30"/>
      <c r="Z15" s="30"/>
      <c r="AA15" s="30">
        <f t="shared" si="0"/>
        <v>0.33819444444444441</v>
      </c>
      <c r="AB15" s="85">
        <f>+J15+O15+Q15+U15</f>
        <v>0</v>
      </c>
      <c r="AC15" s="66">
        <f>5+(44/60)</f>
        <v>5.7333333333333334</v>
      </c>
      <c r="AD15" s="1">
        <v>400</v>
      </c>
      <c r="AE15" s="88">
        <f>+AC15*AD15</f>
        <v>2293.3333333333335</v>
      </c>
      <c r="AF15" s="171">
        <f>SUM(AE15:AE21)</f>
        <v>4158.3333333333339</v>
      </c>
      <c r="AG15" s="85">
        <f t="shared" si="3"/>
        <v>0.33819444444444441</v>
      </c>
      <c r="AH15" s="66">
        <f>0+(12/60)</f>
        <v>0.2</v>
      </c>
      <c r="AI15" s="1">
        <v>400</v>
      </c>
      <c r="AJ15" s="88">
        <f>+AH15*AI15</f>
        <v>80</v>
      </c>
      <c r="AK15" s="171">
        <f>SUM(AJ15:AJ21)</f>
        <v>1530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>
        <v>8.3333333333333329E-2</v>
      </c>
      <c r="T16" s="9">
        <v>0.23611111111111113</v>
      </c>
      <c r="U16" s="9"/>
      <c r="V16" s="9"/>
      <c r="W16" s="9">
        <v>3.4722222222222224E-2</v>
      </c>
      <c r="X16" s="9"/>
      <c r="Y16" s="9"/>
      <c r="Z16" s="9"/>
      <c r="AA16" s="9">
        <f t="shared" si="0"/>
        <v>0.35416666666666669</v>
      </c>
      <c r="AB16" s="85">
        <f t="shared" ref="AB16:AB21" si="5">+J16+O16+Q16+U16</f>
        <v>0</v>
      </c>
      <c r="AC16" s="66">
        <f>0+(0/60)</f>
        <v>0</v>
      </c>
      <c r="AD16" s="1">
        <v>400</v>
      </c>
      <c r="AE16" s="88">
        <f t="shared" ref="AE16:AE21" si="6">+AC16*AD16</f>
        <v>0</v>
      </c>
      <c r="AF16" s="171"/>
      <c r="AG16" s="85">
        <f t="shared" si="3"/>
        <v>0.35416666666666669</v>
      </c>
      <c r="AH16" s="66">
        <f>0+(25/60)</f>
        <v>0.41666666666666669</v>
      </c>
      <c r="AI16" s="1">
        <v>400</v>
      </c>
      <c r="AJ16" s="88">
        <f t="shared" ref="AJ16:AJ21" si="7">+AH16*AI16</f>
        <v>166.66666666666669</v>
      </c>
      <c r="AK16" s="171"/>
    </row>
    <row r="17" spans="1:3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85"/>
      <c r="AC17" s="66"/>
      <c r="AE17" s="88"/>
      <c r="AF17" s="171"/>
      <c r="AG17" s="85"/>
      <c r="AH17" s="66"/>
      <c r="AJ17" s="88"/>
      <c r="AK17" s="171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>
        <v>8.3333333333333329E-2</v>
      </c>
      <c r="T18" s="9">
        <v>0.22916666666666666</v>
      </c>
      <c r="U18" s="9"/>
      <c r="V18" s="9"/>
      <c r="W18" s="9">
        <v>3.2638888888888891E-2</v>
      </c>
      <c r="X18" s="9"/>
      <c r="Y18" s="9"/>
      <c r="Z18" s="9"/>
      <c r="AA18" s="9">
        <f t="shared" si="0"/>
        <v>0.34513888888888888</v>
      </c>
      <c r="AB18" s="85">
        <f t="shared" si="5"/>
        <v>0</v>
      </c>
      <c r="AC18" s="66">
        <f>0+(0/60)</f>
        <v>0</v>
      </c>
      <c r="AD18" s="1">
        <v>400</v>
      </c>
      <c r="AE18" s="88">
        <f t="shared" si="6"/>
        <v>0</v>
      </c>
      <c r="AF18" s="171"/>
      <c r="AG18" s="85">
        <f t="shared" si="3"/>
        <v>0.34513888888888888</v>
      </c>
      <c r="AH18" s="66">
        <f>0+(0/60)</f>
        <v>0</v>
      </c>
      <c r="AI18" s="1">
        <v>400</v>
      </c>
      <c r="AJ18" s="88">
        <f t="shared" si="7"/>
        <v>0</v>
      </c>
      <c r="AK18" s="171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>
        <v>8.3333333333333329E-2</v>
      </c>
      <c r="T19" s="9">
        <v>0.22222222222222221</v>
      </c>
      <c r="U19" s="9"/>
      <c r="V19" s="9"/>
      <c r="W19" s="9">
        <v>3.2638888888888891E-2</v>
      </c>
      <c r="X19" s="9"/>
      <c r="Y19" s="9"/>
      <c r="Z19" s="9"/>
      <c r="AA19" s="9">
        <f t="shared" si="0"/>
        <v>0.33819444444444441</v>
      </c>
      <c r="AB19" s="85">
        <f t="shared" si="5"/>
        <v>0</v>
      </c>
      <c r="AC19" s="66">
        <f t="shared" ref="AC19" si="8">0+(0/60)</f>
        <v>0</v>
      </c>
      <c r="AD19" s="1">
        <v>400</v>
      </c>
      <c r="AE19" s="88">
        <f t="shared" si="6"/>
        <v>0</v>
      </c>
      <c r="AF19" s="171"/>
      <c r="AG19" s="85">
        <f t="shared" si="3"/>
        <v>0.33819444444444441</v>
      </c>
      <c r="AH19" s="66">
        <f>0+(52/60)</f>
        <v>0.8666666666666667</v>
      </c>
      <c r="AI19" s="1">
        <v>400</v>
      </c>
      <c r="AJ19" s="88">
        <f t="shared" si="7"/>
        <v>346.66666666666669</v>
      </c>
      <c r="AK19" s="171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>
        <v>8.3333333333333329E-2</v>
      </c>
      <c r="T20" s="9">
        <v>0.22222222222222221</v>
      </c>
      <c r="U20" s="9"/>
      <c r="V20" s="9">
        <v>2.0833333333333332E-2</v>
      </c>
      <c r="W20" s="9">
        <v>3.2638888888888891E-2</v>
      </c>
      <c r="X20" s="9"/>
      <c r="Y20" s="9"/>
      <c r="Z20" s="9"/>
      <c r="AA20" s="151">
        <f t="shared" si="0"/>
        <v>0.35902777777777772</v>
      </c>
      <c r="AB20" s="85">
        <f t="shared" si="5"/>
        <v>0</v>
      </c>
      <c r="AC20" s="66">
        <f>1+(2/60)</f>
        <v>1.0333333333333334</v>
      </c>
      <c r="AD20" s="1">
        <v>450</v>
      </c>
      <c r="AE20" s="88">
        <f t="shared" si="6"/>
        <v>465.00000000000006</v>
      </c>
      <c r="AF20" s="171"/>
      <c r="AG20" s="85">
        <f t="shared" si="3"/>
        <v>0.35902777777777772</v>
      </c>
      <c r="AH20" s="66">
        <f>0+(16/60)</f>
        <v>0.26666666666666666</v>
      </c>
      <c r="AI20" s="1">
        <v>450</v>
      </c>
      <c r="AJ20" s="88">
        <f t="shared" si="7"/>
        <v>120</v>
      </c>
      <c r="AK20" s="171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3.472222222222222E-3</v>
      </c>
      <c r="L21" s="23"/>
      <c r="M21" s="23">
        <v>5.5555555555555558E-3</v>
      </c>
      <c r="N21" s="23"/>
      <c r="O21" s="23"/>
      <c r="P21" s="23"/>
      <c r="Q21" s="23"/>
      <c r="R21" s="23"/>
      <c r="S21" s="23">
        <v>8.3333333333333329E-2</v>
      </c>
      <c r="T21" s="23">
        <v>0.18333333333333335</v>
      </c>
      <c r="U21" s="23"/>
      <c r="V21" s="23"/>
      <c r="W21" s="23">
        <v>3.2638888888888891E-2</v>
      </c>
      <c r="X21" s="23"/>
      <c r="Y21" s="23"/>
      <c r="Z21" s="23"/>
      <c r="AA21" s="23">
        <f t="shared" si="0"/>
        <v>0.30833333333333335</v>
      </c>
      <c r="AB21" s="85">
        <f t="shared" si="5"/>
        <v>0</v>
      </c>
      <c r="AC21" s="66">
        <f>4+(0/60)</f>
        <v>4</v>
      </c>
      <c r="AD21" s="1">
        <v>350</v>
      </c>
      <c r="AE21" s="88">
        <f t="shared" si="6"/>
        <v>1400</v>
      </c>
      <c r="AF21" s="171"/>
      <c r="AG21" s="85">
        <f t="shared" si="3"/>
        <v>0.30833333333333335</v>
      </c>
      <c r="AH21" s="66">
        <f>2+(20/60)</f>
        <v>2.3333333333333335</v>
      </c>
      <c r="AI21" s="1">
        <v>350</v>
      </c>
      <c r="AJ21" s="88">
        <f t="shared" si="7"/>
        <v>816.66666666666674</v>
      </c>
      <c r="AK21" s="171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9">E8+E15</f>
        <v>0</v>
      </c>
      <c r="F22" s="26">
        <f t="shared" si="9"/>
        <v>0</v>
      </c>
      <c r="G22" s="25"/>
      <c r="H22" s="25"/>
      <c r="I22" s="25"/>
      <c r="J22" s="27">
        <f t="shared" ref="J22:Z22" si="10">J8+J15</f>
        <v>4.7916666666666663E-2</v>
      </c>
      <c r="K22" s="27">
        <f t="shared" si="10"/>
        <v>1.7361111111111112E-2</v>
      </c>
      <c r="L22" s="27">
        <f t="shared" si="10"/>
        <v>0</v>
      </c>
      <c r="M22" s="27">
        <f t="shared" si="10"/>
        <v>1.1805555555555555E-2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0.2048611111111111</v>
      </c>
      <c r="T22" s="27">
        <f t="shared" si="10"/>
        <v>0.3263888888888889</v>
      </c>
      <c r="U22" s="27">
        <f t="shared" si="10"/>
        <v>0</v>
      </c>
      <c r="V22" s="27">
        <f t="shared" si="10"/>
        <v>0</v>
      </c>
      <c r="W22" s="27">
        <f t="shared" si="10"/>
        <v>3.2638888888888891E-2</v>
      </c>
      <c r="X22" s="27">
        <f t="shared" si="10"/>
        <v>0</v>
      </c>
      <c r="Y22" s="27">
        <f t="shared" si="10"/>
        <v>0</v>
      </c>
      <c r="Z22" s="27">
        <f t="shared" si="10"/>
        <v>0</v>
      </c>
      <c r="AA22" s="27">
        <f>SUM(J22:Z22)</f>
        <v>0.64097222222222228</v>
      </c>
      <c r="AB22" s="172" t="s">
        <v>52</v>
      </c>
      <c r="AC22" s="175"/>
      <c r="AD22" s="175"/>
      <c r="AE22" s="175"/>
      <c r="AF22" s="91">
        <f>+AF15+AF8</f>
        <v>4371.666666666667</v>
      </c>
      <c r="AG22" s="172" t="s">
        <v>53</v>
      </c>
      <c r="AH22" s="175"/>
      <c r="AI22" s="175"/>
      <c r="AJ22" s="175"/>
      <c r="AK22" s="91">
        <f>+AK15+AK8</f>
        <v>4591.666666666667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9"/>
        <v>0</v>
      </c>
      <c r="F23" s="12">
        <f t="shared" si="9"/>
        <v>0</v>
      </c>
      <c r="G23" s="11"/>
      <c r="H23" s="11"/>
      <c r="I23" s="11"/>
      <c r="J23" s="13">
        <f t="shared" ref="J23:Z23" si="11">J9+J16</f>
        <v>0</v>
      </c>
      <c r="K23" s="13">
        <f t="shared" si="11"/>
        <v>2.4999999999999998E-2</v>
      </c>
      <c r="L23" s="13">
        <f t="shared" si="11"/>
        <v>9.7222222222222224E-3</v>
      </c>
      <c r="M23" s="13">
        <f t="shared" si="11"/>
        <v>2.0833333333333333E-3</v>
      </c>
      <c r="N23" s="13">
        <f t="shared" si="11"/>
        <v>0</v>
      </c>
      <c r="O23" s="13">
        <f t="shared" si="11"/>
        <v>0</v>
      </c>
      <c r="P23" s="13">
        <f t="shared" si="11"/>
        <v>0</v>
      </c>
      <c r="Q23" s="13">
        <f t="shared" si="11"/>
        <v>0</v>
      </c>
      <c r="R23" s="13">
        <f t="shared" si="11"/>
        <v>0</v>
      </c>
      <c r="S23" s="13">
        <f t="shared" si="11"/>
        <v>0.2048611111111111</v>
      </c>
      <c r="T23" s="13">
        <f t="shared" si="11"/>
        <v>0.33888888888888891</v>
      </c>
      <c r="U23" s="13">
        <f t="shared" si="11"/>
        <v>0</v>
      </c>
      <c r="V23" s="13">
        <f t="shared" si="11"/>
        <v>0</v>
      </c>
      <c r="W23" s="13">
        <f t="shared" si="11"/>
        <v>4.1666666666666671E-2</v>
      </c>
      <c r="X23" s="13">
        <f t="shared" si="11"/>
        <v>0</v>
      </c>
      <c r="Y23" s="13">
        <f t="shared" si="11"/>
        <v>0</v>
      </c>
      <c r="Z23" s="13">
        <f t="shared" si="11"/>
        <v>0</v>
      </c>
      <c r="AA23" s="13">
        <f t="shared" ref="AA23:AA28" si="12">SUM(J23:Z23)</f>
        <v>0.62222222222222223</v>
      </c>
    </row>
    <row r="24" spans="1:37" s="5" customFormat="1" x14ac:dyDescent="0.25">
      <c r="A24" s="168"/>
      <c r="B24" s="113" t="s">
        <v>59</v>
      </c>
      <c r="C24" s="11"/>
      <c r="D24" s="11"/>
      <c r="E24" s="12">
        <f t="shared" si="9"/>
        <v>0</v>
      </c>
      <c r="F24" s="12">
        <f t="shared" si="9"/>
        <v>0</v>
      </c>
      <c r="G24" s="11"/>
      <c r="H24" s="11"/>
      <c r="I24" s="11"/>
      <c r="J24" s="13">
        <f t="shared" ref="J24:Z24" si="13">J10+J17</f>
        <v>0</v>
      </c>
      <c r="K24" s="13">
        <f t="shared" si="13"/>
        <v>0</v>
      </c>
      <c r="L24" s="13">
        <f t="shared" si="13"/>
        <v>0</v>
      </c>
      <c r="M24" s="13">
        <f t="shared" si="13"/>
        <v>0</v>
      </c>
      <c r="N24" s="13">
        <f t="shared" si="13"/>
        <v>0</v>
      </c>
      <c r="O24" s="13">
        <f t="shared" si="13"/>
        <v>0</v>
      </c>
      <c r="P24" s="13">
        <f t="shared" si="13"/>
        <v>0</v>
      </c>
      <c r="Q24" s="13">
        <f t="shared" si="13"/>
        <v>0</v>
      </c>
      <c r="R24" s="13">
        <f t="shared" si="13"/>
        <v>0</v>
      </c>
      <c r="S24" s="13">
        <f t="shared" si="13"/>
        <v>0</v>
      </c>
      <c r="T24" s="13">
        <f t="shared" si="13"/>
        <v>0</v>
      </c>
      <c r="U24" s="13">
        <f t="shared" si="13"/>
        <v>0</v>
      </c>
      <c r="V24" s="13">
        <f t="shared" si="13"/>
        <v>0</v>
      </c>
      <c r="W24" s="13">
        <f t="shared" si="13"/>
        <v>0</v>
      </c>
      <c r="X24" s="13">
        <f t="shared" si="13"/>
        <v>0</v>
      </c>
      <c r="Y24" s="13">
        <f t="shared" si="13"/>
        <v>0</v>
      </c>
      <c r="Z24" s="13">
        <f t="shared" si="13"/>
        <v>0</v>
      </c>
      <c r="AA24" s="13">
        <f t="shared" ref="AA24:AA26" si="14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9"/>
        <v>0</v>
      </c>
      <c r="F25" s="12">
        <f t="shared" si="9"/>
        <v>0</v>
      </c>
      <c r="G25" s="11"/>
      <c r="H25" s="11"/>
      <c r="I25" s="11"/>
      <c r="J25" s="13">
        <f t="shared" ref="J25:Z25" si="15">J11+J18</f>
        <v>0</v>
      </c>
      <c r="K25" s="13">
        <f t="shared" si="15"/>
        <v>0</v>
      </c>
      <c r="L25" s="13">
        <f t="shared" si="15"/>
        <v>0</v>
      </c>
      <c r="M25" s="13">
        <f t="shared" si="15"/>
        <v>1.0416666666666666E-2</v>
      </c>
      <c r="N25" s="13">
        <f t="shared" si="15"/>
        <v>0</v>
      </c>
      <c r="O25" s="13">
        <f t="shared" si="15"/>
        <v>0</v>
      </c>
      <c r="P25" s="13">
        <f t="shared" si="15"/>
        <v>0</v>
      </c>
      <c r="Q25" s="13">
        <f t="shared" si="15"/>
        <v>0</v>
      </c>
      <c r="R25" s="13">
        <f t="shared" si="15"/>
        <v>0</v>
      </c>
      <c r="S25" s="13">
        <f t="shared" si="15"/>
        <v>0.2048611111111111</v>
      </c>
      <c r="T25" s="13">
        <f t="shared" si="15"/>
        <v>0.33333333333333331</v>
      </c>
      <c r="U25" s="13">
        <f t="shared" si="15"/>
        <v>0</v>
      </c>
      <c r="V25" s="13">
        <f t="shared" si="15"/>
        <v>0</v>
      </c>
      <c r="W25" s="13">
        <f t="shared" si="15"/>
        <v>3.2638888888888891E-2</v>
      </c>
      <c r="X25" s="13">
        <f t="shared" si="15"/>
        <v>0</v>
      </c>
      <c r="Y25" s="13">
        <f t="shared" si="15"/>
        <v>0</v>
      </c>
      <c r="Z25" s="13">
        <f t="shared" si="15"/>
        <v>0</v>
      </c>
      <c r="AA25" s="13">
        <f t="shared" si="14"/>
        <v>0.58124999999999993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9"/>
        <v>0</v>
      </c>
      <c r="F26" s="12">
        <f t="shared" si="9"/>
        <v>0</v>
      </c>
      <c r="G26" s="11"/>
      <c r="H26" s="11"/>
      <c r="I26" s="11"/>
      <c r="J26" s="13">
        <f t="shared" ref="J26:Z26" si="16">J12+J19</f>
        <v>0.10069444444444443</v>
      </c>
      <c r="K26" s="13">
        <f t="shared" si="16"/>
        <v>1.3194444444444444E-2</v>
      </c>
      <c r="L26" s="13">
        <f t="shared" si="16"/>
        <v>0</v>
      </c>
      <c r="M26" s="13">
        <f t="shared" si="16"/>
        <v>1.0416666666666666E-2</v>
      </c>
      <c r="N26" s="13">
        <f t="shared" si="16"/>
        <v>0</v>
      </c>
      <c r="O26" s="13">
        <f t="shared" si="16"/>
        <v>0</v>
      </c>
      <c r="P26" s="13">
        <f t="shared" si="16"/>
        <v>0</v>
      </c>
      <c r="Q26" s="13">
        <f t="shared" si="16"/>
        <v>0</v>
      </c>
      <c r="R26" s="13">
        <f t="shared" si="16"/>
        <v>0</v>
      </c>
      <c r="S26" s="13">
        <f t="shared" si="16"/>
        <v>0.2048611111111111</v>
      </c>
      <c r="T26" s="13">
        <f t="shared" si="16"/>
        <v>0.3263888888888889</v>
      </c>
      <c r="U26" s="13">
        <f t="shared" si="16"/>
        <v>0</v>
      </c>
      <c r="V26" s="13">
        <f t="shared" si="16"/>
        <v>0</v>
      </c>
      <c r="W26" s="13">
        <f t="shared" si="16"/>
        <v>3.2638888888888891E-2</v>
      </c>
      <c r="X26" s="13">
        <f t="shared" si="16"/>
        <v>0</v>
      </c>
      <c r="Y26" s="13">
        <f t="shared" si="16"/>
        <v>0</v>
      </c>
      <c r="Z26" s="13">
        <f t="shared" si="16"/>
        <v>0</v>
      </c>
      <c r="AA26" s="13">
        <f t="shared" si="14"/>
        <v>0.68819444444444444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9"/>
        <v>0</v>
      </c>
      <c r="F27" s="12">
        <f t="shared" si="9"/>
        <v>0</v>
      </c>
      <c r="G27" s="11"/>
      <c r="H27" s="11"/>
      <c r="I27" s="11"/>
      <c r="J27" s="13">
        <f t="shared" ref="J27:Z27" si="17">J13+J20</f>
        <v>0</v>
      </c>
      <c r="K27" s="13">
        <f t="shared" si="17"/>
        <v>0</v>
      </c>
      <c r="L27" s="13">
        <f t="shared" si="17"/>
        <v>0</v>
      </c>
      <c r="M27" s="13">
        <f t="shared" si="17"/>
        <v>4.8611111111111112E-3</v>
      </c>
      <c r="N27" s="13">
        <f t="shared" si="17"/>
        <v>0</v>
      </c>
      <c r="O27" s="13">
        <f t="shared" si="17"/>
        <v>0</v>
      </c>
      <c r="P27" s="13">
        <f t="shared" si="17"/>
        <v>0</v>
      </c>
      <c r="Q27" s="13">
        <f t="shared" si="17"/>
        <v>0</v>
      </c>
      <c r="R27" s="13">
        <f t="shared" si="17"/>
        <v>0</v>
      </c>
      <c r="S27" s="13">
        <f t="shared" si="17"/>
        <v>0.2048611111111111</v>
      </c>
      <c r="T27" s="13">
        <f t="shared" si="17"/>
        <v>0.3263888888888889</v>
      </c>
      <c r="U27" s="13">
        <f t="shared" si="17"/>
        <v>0</v>
      </c>
      <c r="V27" s="13">
        <f t="shared" si="17"/>
        <v>2.0833333333333332E-2</v>
      </c>
      <c r="W27" s="13">
        <f t="shared" si="17"/>
        <v>3.2638888888888891E-2</v>
      </c>
      <c r="X27" s="13">
        <f t="shared" si="17"/>
        <v>0</v>
      </c>
      <c r="Y27" s="13">
        <f t="shared" si="17"/>
        <v>0</v>
      </c>
      <c r="Z27" s="13">
        <f t="shared" si="17"/>
        <v>0</v>
      </c>
      <c r="AA27" s="13">
        <f t="shared" si="12"/>
        <v>0.58958333333333335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9"/>
        <v>0</v>
      </c>
      <c r="F28" s="16">
        <f t="shared" si="9"/>
        <v>0</v>
      </c>
      <c r="G28" s="15"/>
      <c r="H28" s="15"/>
      <c r="I28" s="15"/>
      <c r="J28" s="17">
        <f t="shared" ref="J28:Z28" si="18">J14+J21</f>
        <v>0</v>
      </c>
      <c r="K28" s="17">
        <f t="shared" si="18"/>
        <v>3.472222222222222E-3</v>
      </c>
      <c r="L28" s="17">
        <f t="shared" si="18"/>
        <v>0</v>
      </c>
      <c r="M28" s="17">
        <f t="shared" si="18"/>
        <v>5.5555555555555558E-3</v>
      </c>
      <c r="N28" s="17">
        <f t="shared" si="18"/>
        <v>0</v>
      </c>
      <c r="O28" s="17">
        <f t="shared" si="18"/>
        <v>0</v>
      </c>
      <c r="P28" s="17">
        <f t="shared" si="18"/>
        <v>0</v>
      </c>
      <c r="Q28" s="17">
        <f t="shared" si="18"/>
        <v>0</v>
      </c>
      <c r="R28" s="17">
        <f t="shared" si="18"/>
        <v>0</v>
      </c>
      <c r="S28" s="17">
        <f t="shared" si="18"/>
        <v>8.3333333333333329E-2</v>
      </c>
      <c r="T28" s="17">
        <f t="shared" si="18"/>
        <v>0.18333333333333335</v>
      </c>
      <c r="U28" s="17">
        <f t="shared" si="18"/>
        <v>0</v>
      </c>
      <c r="V28" s="17">
        <f t="shared" si="18"/>
        <v>0</v>
      </c>
      <c r="W28" s="17">
        <f t="shared" si="18"/>
        <v>3.2638888888888891E-2</v>
      </c>
      <c r="X28" s="17">
        <f t="shared" si="18"/>
        <v>0</v>
      </c>
      <c r="Y28" s="17">
        <f t="shared" si="18"/>
        <v>0</v>
      </c>
      <c r="Z28" s="17">
        <f t="shared" si="18"/>
        <v>0</v>
      </c>
      <c r="AA28" s="17">
        <f t="shared" si="12"/>
        <v>0.30833333333333335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</sheetPr>
  <dimension ref="A3:AA28"/>
  <sheetViews>
    <sheetView topLeftCell="A4" zoomScale="115" zoomScaleNormal="115" workbookViewId="0">
      <pane xSplit="2" ySplit="4" topLeftCell="V13" activePane="bottomRight" state="frozen"/>
      <selection activeCell="A5" sqref="A5:A6"/>
      <selection pane="topRight" activeCell="A5" sqref="A5:A6"/>
      <selection pane="bottomLeft" activeCell="A5" sqref="A5:A6"/>
      <selection pane="bottomRight" activeCell="AB4" sqref="AB1:AK1048576"/>
    </sheetView>
  </sheetViews>
  <sheetFormatPr defaultColWidth="9.140625" defaultRowHeight="12.75" x14ac:dyDescent="0.25"/>
  <cols>
    <col min="1" max="1" width="9.140625" style="117"/>
    <col min="2" max="2" width="10.140625" style="116" bestFit="1" customWidth="1"/>
    <col min="3" max="9" width="9.140625" style="117" hidden="1" customWidth="1"/>
    <col min="10" max="10" width="9.140625" style="117" customWidth="1"/>
    <col min="11" max="11" width="9.5703125" style="117" customWidth="1"/>
    <col min="12" max="12" width="9.140625" style="117" customWidth="1"/>
    <col min="13" max="13" width="10.5703125" style="117" customWidth="1"/>
    <col min="14" max="23" width="9.140625" style="117" customWidth="1"/>
    <col min="24" max="24" width="10" style="117" customWidth="1"/>
    <col min="25" max="27" width="9.140625" style="117" customWidth="1"/>
    <col min="28" max="16384" width="9.140625" style="117"/>
  </cols>
  <sheetData>
    <row r="3" spans="1:27" ht="15.75" x14ac:dyDescent="0.25">
      <c r="A3" s="115" t="s">
        <v>0</v>
      </c>
    </row>
    <row r="4" spans="1:27" ht="15.75" x14ac:dyDescent="0.25">
      <c r="A4" s="115" t="s">
        <v>60</v>
      </c>
    </row>
    <row r="5" spans="1:27" x14ac:dyDescent="0.25">
      <c r="A5" s="117" t="s">
        <v>1</v>
      </c>
      <c r="B5" s="118">
        <v>45638</v>
      </c>
    </row>
    <row r="6" spans="1:27" s="120" customFormat="1" ht="15" customHeight="1" x14ac:dyDescent="0.25">
      <c r="A6" s="182" t="s">
        <v>3</v>
      </c>
      <c r="B6" s="182" t="s">
        <v>4</v>
      </c>
      <c r="C6" s="182" t="s">
        <v>5</v>
      </c>
      <c r="D6" s="182" t="s">
        <v>6</v>
      </c>
      <c r="E6" s="182" t="s">
        <v>7</v>
      </c>
      <c r="F6" s="182" t="s">
        <v>8</v>
      </c>
      <c r="G6" s="182" t="s">
        <v>9</v>
      </c>
      <c r="H6" s="182" t="s">
        <v>10</v>
      </c>
      <c r="I6" s="182" t="s">
        <v>11</v>
      </c>
      <c r="J6" s="183" t="s">
        <v>2</v>
      </c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19"/>
    </row>
    <row r="7" spans="1:27" s="120" customFormat="1" ht="51" x14ac:dyDescent="0.25">
      <c r="A7" s="182"/>
      <c r="B7" s="182"/>
      <c r="C7" s="182"/>
      <c r="D7" s="182"/>
      <c r="E7" s="182"/>
      <c r="F7" s="182"/>
      <c r="G7" s="182"/>
      <c r="H7" s="182"/>
      <c r="I7" s="182"/>
      <c r="J7" s="121" t="s">
        <v>12</v>
      </c>
      <c r="K7" s="121" t="s">
        <v>13</v>
      </c>
      <c r="L7" s="121" t="s">
        <v>14</v>
      </c>
      <c r="M7" s="121" t="s">
        <v>15</v>
      </c>
      <c r="N7" s="121" t="s">
        <v>16</v>
      </c>
      <c r="O7" s="121" t="s">
        <v>17</v>
      </c>
      <c r="P7" s="121" t="s">
        <v>18</v>
      </c>
      <c r="Q7" s="121" t="s">
        <v>19</v>
      </c>
      <c r="R7" s="121" t="s">
        <v>20</v>
      </c>
      <c r="S7" s="121" t="s">
        <v>21</v>
      </c>
      <c r="T7" s="121" t="s">
        <v>22</v>
      </c>
      <c r="U7" s="121" t="s">
        <v>23</v>
      </c>
      <c r="V7" s="121" t="s">
        <v>24</v>
      </c>
      <c r="W7" s="121" t="s">
        <v>25</v>
      </c>
      <c r="X7" s="121" t="s">
        <v>26</v>
      </c>
      <c r="Y7" s="121" t="s">
        <v>27</v>
      </c>
      <c r="Z7" s="121"/>
      <c r="AA7" s="121" t="s">
        <v>28</v>
      </c>
    </row>
    <row r="8" spans="1:27" x14ac:dyDescent="0.25">
      <c r="A8" s="184" t="s">
        <v>29</v>
      </c>
      <c r="B8" s="122" t="s">
        <v>30</v>
      </c>
      <c r="C8" s="123"/>
      <c r="D8" s="123"/>
      <c r="E8" s="123"/>
      <c r="F8" s="123"/>
      <c r="G8" s="123"/>
      <c r="H8" s="123"/>
      <c r="I8" s="123"/>
      <c r="J8" s="124"/>
      <c r="K8" s="124">
        <v>2.0833333333333333E-3</v>
      </c>
      <c r="L8" s="124"/>
      <c r="M8" s="124">
        <v>2.7777777777777779E-3</v>
      </c>
      <c r="N8" s="124">
        <v>3.472222222222222E-3</v>
      </c>
      <c r="O8" s="124"/>
      <c r="P8" s="124"/>
      <c r="Q8" s="124"/>
      <c r="R8" s="124"/>
      <c r="S8" s="124">
        <v>4.5138888888888888E-2</v>
      </c>
      <c r="T8" s="124">
        <v>0.10069444444444443</v>
      </c>
      <c r="U8" s="124"/>
      <c r="V8" s="124"/>
      <c r="W8" s="124"/>
      <c r="X8" s="124"/>
      <c r="Y8" s="124"/>
      <c r="Z8" s="124"/>
      <c r="AA8" s="124">
        <f>SUM(J8:Z8)</f>
        <v>0.15416666666666665</v>
      </c>
    </row>
    <row r="9" spans="1:27" x14ac:dyDescent="0.25">
      <c r="A9" s="185"/>
      <c r="B9" s="127" t="s">
        <v>31</v>
      </c>
      <c r="C9" s="126"/>
      <c r="D9" s="126"/>
      <c r="E9" s="126"/>
      <c r="F9" s="126"/>
      <c r="G9" s="126"/>
      <c r="H9" s="126"/>
      <c r="I9" s="126"/>
      <c r="J9" s="125">
        <v>3.4722222222222224E-2</v>
      </c>
      <c r="K9" s="125">
        <v>1.5277777777777777E-2</v>
      </c>
      <c r="L9" s="125"/>
      <c r="M9" s="125"/>
      <c r="N9" s="125">
        <v>1.0416666666666666E-2</v>
      </c>
      <c r="O9" s="125"/>
      <c r="P9" s="125"/>
      <c r="Q9" s="125"/>
      <c r="R9" s="125"/>
      <c r="S9" s="125">
        <v>4.5138888888888888E-2</v>
      </c>
      <c r="T9" s="125">
        <v>0.10069444444444443</v>
      </c>
      <c r="U9" s="125"/>
      <c r="V9" s="125"/>
      <c r="W9" s="125"/>
      <c r="X9" s="125"/>
      <c r="Y9" s="125"/>
      <c r="Z9" s="125"/>
      <c r="AA9" s="125">
        <f t="shared" ref="AA9:AA21" si="0">SUM(J9:Z9)</f>
        <v>0.20624999999999999</v>
      </c>
    </row>
    <row r="10" spans="1:27" x14ac:dyDescent="0.25">
      <c r="A10" s="185"/>
      <c r="B10" s="127" t="s">
        <v>59</v>
      </c>
      <c r="C10" s="126"/>
      <c r="D10" s="126"/>
      <c r="E10" s="126"/>
      <c r="F10" s="126"/>
      <c r="G10" s="126"/>
      <c r="H10" s="126"/>
      <c r="I10" s="126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>
        <f t="shared" si="0"/>
        <v>0</v>
      </c>
    </row>
    <row r="11" spans="1:27" x14ac:dyDescent="0.25">
      <c r="A11" s="185"/>
      <c r="B11" s="127" t="s">
        <v>32</v>
      </c>
      <c r="C11" s="126"/>
      <c r="D11" s="126"/>
      <c r="E11" s="126"/>
      <c r="F11" s="126"/>
      <c r="G11" s="126"/>
      <c r="H11" s="126"/>
      <c r="I11" s="126"/>
      <c r="J11" s="125">
        <v>0.11944444444444445</v>
      </c>
      <c r="K11" s="125"/>
      <c r="L11" s="125"/>
      <c r="M11" s="125">
        <v>8.3333333333333332E-3</v>
      </c>
      <c r="N11" s="125">
        <v>6.9444444444444441E-3</v>
      </c>
      <c r="O11" s="125"/>
      <c r="P11" s="125"/>
      <c r="Q11" s="125"/>
      <c r="R11" s="125"/>
      <c r="S11" s="125">
        <v>4.5138888888888888E-2</v>
      </c>
      <c r="T11" s="125">
        <v>0.10069444444444443</v>
      </c>
      <c r="U11" s="125"/>
      <c r="V11" s="125"/>
      <c r="W11" s="125"/>
      <c r="X11" s="125"/>
      <c r="Y11" s="125"/>
      <c r="Z11" s="125"/>
      <c r="AA11" s="125">
        <f t="shared" si="0"/>
        <v>0.28055555555555556</v>
      </c>
    </row>
    <row r="12" spans="1:27" x14ac:dyDescent="0.25">
      <c r="A12" s="185"/>
      <c r="B12" s="127" t="s">
        <v>33</v>
      </c>
      <c r="C12" s="126"/>
      <c r="D12" s="126"/>
      <c r="E12" s="126"/>
      <c r="F12" s="126"/>
      <c r="G12" s="126"/>
      <c r="H12" s="126"/>
      <c r="I12" s="126"/>
      <c r="J12" s="125">
        <v>8.3333333333333332E-3</v>
      </c>
      <c r="K12" s="125">
        <v>9.7222222222222224E-3</v>
      </c>
      <c r="L12" s="125"/>
      <c r="M12" s="125">
        <v>9.0277777777777787E-3</v>
      </c>
      <c r="N12" s="125">
        <v>7.6388888888888886E-3</v>
      </c>
      <c r="O12" s="125"/>
      <c r="P12" s="125"/>
      <c r="Q12" s="125"/>
      <c r="R12" s="125"/>
      <c r="S12" s="125">
        <v>4.5138888888888888E-2</v>
      </c>
      <c r="T12" s="125">
        <v>0.10069444444444443</v>
      </c>
      <c r="U12" s="125"/>
      <c r="V12" s="125"/>
      <c r="W12" s="125"/>
      <c r="X12" s="125"/>
      <c r="Y12" s="125"/>
      <c r="Z12" s="125"/>
      <c r="AA12" s="125">
        <f t="shared" si="0"/>
        <v>0.18055555555555552</v>
      </c>
    </row>
    <row r="13" spans="1:27" x14ac:dyDescent="0.25">
      <c r="A13" s="185"/>
      <c r="B13" s="127" t="s">
        <v>34</v>
      </c>
      <c r="C13" s="126"/>
      <c r="D13" s="126"/>
      <c r="E13" s="126"/>
      <c r="F13" s="126"/>
      <c r="G13" s="126"/>
      <c r="H13" s="126"/>
      <c r="I13" s="126"/>
      <c r="J13" s="125"/>
      <c r="K13" s="125">
        <v>3.472222222222222E-3</v>
      </c>
      <c r="L13" s="125"/>
      <c r="M13" s="125">
        <v>6.9444444444444447E-4</v>
      </c>
      <c r="N13" s="125">
        <v>4.8611111111111112E-3</v>
      </c>
      <c r="O13" s="125"/>
      <c r="P13" s="125"/>
      <c r="Q13" s="125"/>
      <c r="R13" s="125"/>
      <c r="S13" s="125">
        <v>4.5138888888888888E-2</v>
      </c>
      <c r="T13" s="125">
        <v>0.10069444444444443</v>
      </c>
      <c r="U13" s="125"/>
      <c r="V13" s="125"/>
      <c r="W13" s="125"/>
      <c r="X13" s="125"/>
      <c r="Y13" s="125"/>
      <c r="Z13" s="125"/>
      <c r="AA13" s="125">
        <f t="shared" si="0"/>
        <v>0.15486111111111112</v>
      </c>
    </row>
    <row r="14" spans="1:27" x14ac:dyDescent="0.25">
      <c r="A14" s="186"/>
      <c r="B14" s="128" t="s">
        <v>35</v>
      </c>
      <c r="C14" s="129"/>
      <c r="D14" s="129"/>
      <c r="E14" s="129"/>
      <c r="F14" s="129"/>
      <c r="G14" s="129"/>
      <c r="H14" s="129"/>
      <c r="I14" s="129"/>
      <c r="J14" s="130"/>
      <c r="K14" s="130">
        <v>2.4999999999999998E-2</v>
      </c>
      <c r="L14" s="130"/>
      <c r="M14" s="130">
        <v>5.5555555555555558E-3</v>
      </c>
      <c r="N14" s="130"/>
      <c r="O14" s="130"/>
      <c r="P14" s="130"/>
      <c r="Q14" s="130"/>
      <c r="R14" s="130"/>
      <c r="S14" s="130">
        <v>4.5138888888888888E-2</v>
      </c>
      <c r="T14" s="130">
        <v>0.10069444444444443</v>
      </c>
      <c r="U14" s="130"/>
      <c r="V14" s="130"/>
      <c r="W14" s="130"/>
      <c r="X14" s="130"/>
      <c r="Y14" s="130"/>
      <c r="Z14" s="130"/>
      <c r="AA14" s="130">
        <f t="shared" si="0"/>
        <v>0.17638888888888887</v>
      </c>
    </row>
    <row r="15" spans="1:27" x14ac:dyDescent="0.25">
      <c r="A15" s="187" t="s">
        <v>36</v>
      </c>
      <c r="B15" s="131" t="s">
        <v>30</v>
      </c>
      <c r="C15" s="132"/>
      <c r="D15" s="132"/>
      <c r="E15" s="132"/>
      <c r="F15" s="132"/>
      <c r="G15" s="132"/>
      <c r="H15" s="132"/>
      <c r="I15" s="132"/>
      <c r="J15" s="133"/>
      <c r="K15" s="133">
        <v>4.8611111111111112E-3</v>
      </c>
      <c r="L15" s="133"/>
      <c r="M15" s="133">
        <v>3.472222222222222E-3</v>
      </c>
      <c r="N15" s="133">
        <v>6.9444444444444441E-3</v>
      </c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>
        <f t="shared" si="0"/>
        <v>1.5277777777777777E-2</v>
      </c>
    </row>
    <row r="16" spans="1:27" x14ac:dyDescent="0.25">
      <c r="A16" s="185"/>
      <c r="B16" s="127" t="s">
        <v>31</v>
      </c>
      <c r="C16" s="126"/>
      <c r="D16" s="126"/>
      <c r="E16" s="126"/>
      <c r="F16" s="126"/>
      <c r="G16" s="126"/>
      <c r="H16" s="126"/>
      <c r="I16" s="126"/>
      <c r="J16" s="125"/>
      <c r="K16" s="125">
        <v>4.1666666666666666E-3</v>
      </c>
      <c r="L16" s="125"/>
      <c r="M16" s="125">
        <v>6.9444444444444441E-3</v>
      </c>
      <c r="N16" s="125">
        <v>1.3194444444444444E-2</v>
      </c>
      <c r="O16" s="125"/>
      <c r="P16" s="125"/>
      <c r="Q16" s="125"/>
      <c r="R16" s="125"/>
      <c r="S16" s="125"/>
      <c r="T16" s="125"/>
      <c r="U16" s="125"/>
      <c r="V16" s="125"/>
      <c r="W16" s="125">
        <v>7.9166666666666663E-2</v>
      </c>
      <c r="X16" s="125"/>
      <c r="Y16" s="125"/>
      <c r="Z16" s="125"/>
      <c r="AA16" s="125">
        <f t="shared" si="0"/>
        <v>0.10347222222222222</v>
      </c>
    </row>
    <row r="17" spans="1:27" x14ac:dyDescent="0.25">
      <c r="A17" s="185"/>
      <c r="B17" s="127" t="s">
        <v>59</v>
      </c>
      <c r="C17" s="126"/>
      <c r="D17" s="126"/>
      <c r="E17" s="126"/>
      <c r="F17" s="126"/>
      <c r="G17" s="126"/>
      <c r="H17" s="126"/>
      <c r="I17" s="126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>
        <f t="shared" si="0"/>
        <v>0</v>
      </c>
    </row>
    <row r="18" spans="1:27" x14ac:dyDescent="0.25">
      <c r="A18" s="185"/>
      <c r="B18" s="127" t="s">
        <v>32</v>
      </c>
      <c r="C18" s="126"/>
      <c r="D18" s="126"/>
      <c r="E18" s="126"/>
      <c r="F18" s="126"/>
      <c r="G18" s="126"/>
      <c r="H18" s="126"/>
      <c r="I18" s="126"/>
      <c r="J18" s="125"/>
      <c r="K18" s="125">
        <v>6.9444444444444447E-4</v>
      </c>
      <c r="L18" s="125"/>
      <c r="M18" s="125">
        <v>9.0277777777777787E-3</v>
      </c>
      <c r="N18" s="125">
        <v>1.0416666666666666E-2</v>
      </c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>
        <f t="shared" si="0"/>
        <v>2.0138888888888887E-2</v>
      </c>
    </row>
    <row r="19" spans="1:27" x14ac:dyDescent="0.25">
      <c r="A19" s="185"/>
      <c r="B19" s="127" t="s">
        <v>33</v>
      </c>
      <c r="C19" s="126"/>
      <c r="D19" s="126"/>
      <c r="E19" s="126"/>
      <c r="F19" s="126"/>
      <c r="G19" s="126"/>
      <c r="H19" s="126"/>
      <c r="I19" s="126"/>
      <c r="J19" s="125">
        <v>0.35069444444444442</v>
      </c>
      <c r="K19" s="125">
        <v>2.7777777777777779E-3</v>
      </c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>
        <f t="shared" si="0"/>
        <v>0.35347222222222219</v>
      </c>
    </row>
    <row r="20" spans="1:27" x14ac:dyDescent="0.25">
      <c r="A20" s="185"/>
      <c r="B20" s="127" t="s">
        <v>34</v>
      </c>
      <c r="C20" s="126"/>
      <c r="D20" s="126"/>
      <c r="E20" s="126"/>
      <c r="F20" s="126"/>
      <c r="G20" s="126"/>
      <c r="H20" s="126"/>
      <c r="I20" s="126"/>
      <c r="J20" s="125"/>
      <c r="K20" s="125">
        <v>1.8749999999999999E-2</v>
      </c>
      <c r="L20" s="125"/>
      <c r="M20" s="125">
        <v>6.9444444444444447E-4</v>
      </c>
      <c r="N20" s="125">
        <v>1.2499999999999999E-2</v>
      </c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>
        <f t="shared" si="0"/>
        <v>3.1944444444444442E-2</v>
      </c>
    </row>
    <row r="21" spans="1:27" x14ac:dyDescent="0.25">
      <c r="A21" s="186"/>
      <c r="B21" s="128" t="s">
        <v>35</v>
      </c>
      <c r="C21" s="129"/>
      <c r="D21" s="129"/>
      <c r="E21" s="129"/>
      <c r="F21" s="129"/>
      <c r="G21" s="129"/>
      <c r="H21" s="129"/>
      <c r="I21" s="129"/>
      <c r="J21" s="130"/>
      <c r="K21" s="130">
        <v>1.3888888888888889E-3</v>
      </c>
      <c r="L21" s="130"/>
      <c r="M21" s="130">
        <v>6.9444444444444441E-3</v>
      </c>
      <c r="N21" s="130">
        <v>6.9444444444444441E-3</v>
      </c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>
        <f t="shared" si="0"/>
        <v>1.5277777777777777E-2</v>
      </c>
    </row>
    <row r="22" spans="1:27" s="138" customFormat="1" x14ac:dyDescent="0.25">
      <c r="A22" s="179" t="s">
        <v>37</v>
      </c>
      <c r="B22" s="134" t="s">
        <v>30</v>
      </c>
      <c r="C22" s="135"/>
      <c r="D22" s="135"/>
      <c r="E22" s="136">
        <f t="shared" ref="E22:F28" si="1">E8+E15</f>
        <v>0</v>
      </c>
      <c r="F22" s="136">
        <f t="shared" si="1"/>
        <v>0</v>
      </c>
      <c r="G22" s="135"/>
      <c r="H22" s="135"/>
      <c r="I22" s="135"/>
      <c r="J22" s="137">
        <f t="shared" ref="J22:Z22" si="2">J8+J15</f>
        <v>0</v>
      </c>
      <c r="K22" s="137">
        <f t="shared" si="2"/>
        <v>6.9444444444444441E-3</v>
      </c>
      <c r="L22" s="137">
        <f t="shared" si="2"/>
        <v>0</v>
      </c>
      <c r="M22" s="137">
        <f t="shared" si="2"/>
        <v>6.2500000000000003E-3</v>
      </c>
      <c r="N22" s="137">
        <f t="shared" si="2"/>
        <v>1.0416666666666666E-2</v>
      </c>
      <c r="O22" s="137">
        <f t="shared" si="2"/>
        <v>0</v>
      </c>
      <c r="P22" s="137">
        <f t="shared" si="2"/>
        <v>0</v>
      </c>
      <c r="Q22" s="137">
        <f t="shared" si="2"/>
        <v>0</v>
      </c>
      <c r="R22" s="137">
        <f t="shared" si="2"/>
        <v>0</v>
      </c>
      <c r="S22" s="137">
        <f t="shared" si="2"/>
        <v>4.5138888888888888E-2</v>
      </c>
      <c r="T22" s="137">
        <f t="shared" si="2"/>
        <v>0.10069444444444443</v>
      </c>
      <c r="U22" s="137">
        <f t="shared" si="2"/>
        <v>0</v>
      </c>
      <c r="V22" s="137">
        <f t="shared" si="2"/>
        <v>0</v>
      </c>
      <c r="W22" s="137">
        <f t="shared" si="2"/>
        <v>0</v>
      </c>
      <c r="X22" s="137">
        <f t="shared" si="2"/>
        <v>0</v>
      </c>
      <c r="Y22" s="137">
        <f t="shared" si="2"/>
        <v>0</v>
      </c>
      <c r="Z22" s="137">
        <f t="shared" si="2"/>
        <v>0</v>
      </c>
      <c r="AA22" s="137">
        <f>SUM(J22:Z22)</f>
        <v>0.16944444444444445</v>
      </c>
    </row>
    <row r="23" spans="1:27" s="138" customFormat="1" x14ac:dyDescent="0.25">
      <c r="A23" s="180"/>
      <c r="B23" s="139" t="s">
        <v>31</v>
      </c>
      <c r="C23" s="140"/>
      <c r="D23" s="140"/>
      <c r="E23" s="141">
        <f t="shared" si="1"/>
        <v>0</v>
      </c>
      <c r="F23" s="141">
        <f t="shared" si="1"/>
        <v>0</v>
      </c>
      <c r="G23" s="140"/>
      <c r="H23" s="140"/>
      <c r="I23" s="140"/>
      <c r="J23" s="142">
        <f t="shared" ref="J23:Z23" si="3">J9+J16</f>
        <v>3.4722222222222224E-2</v>
      </c>
      <c r="K23" s="142">
        <f t="shared" si="3"/>
        <v>1.9444444444444445E-2</v>
      </c>
      <c r="L23" s="142">
        <f t="shared" si="3"/>
        <v>0</v>
      </c>
      <c r="M23" s="142">
        <f t="shared" si="3"/>
        <v>6.9444444444444441E-3</v>
      </c>
      <c r="N23" s="142">
        <f t="shared" si="3"/>
        <v>2.361111111111111E-2</v>
      </c>
      <c r="O23" s="142">
        <f t="shared" si="3"/>
        <v>0</v>
      </c>
      <c r="P23" s="142">
        <f t="shared" si="3"/>
        <v>0</v>
      </c>
      <c r="Q23" s="142">
        <f t="shared" si="3"/>
        <v>0</v>
      </c>
      <c r="R23" s="142">
        <f t="shared" si="3"/>
        <v>0</v>
      </c>
      <c r="S23" s="142">
        <f t="shared" si="3"/>
        <v>4.5138888888888888E-2</v>
      </c>
      <c r="T23" s="142">
        <f t="shared" si="3"/>
        <v>0.10069444444444443</v>
      </c>
      <c r="U23" s="142">
        <f t="shared" si="3"/>
        <v>0</v>
      </c>
      <c r="V23" s="142">
        <f t="shared" si="3"/>
        <v>0</v>
      </c>
      <c r="W23" s="142">
        <f t="shared" si="3"/>
        <v>7.9166666666666663E-2</v>
      </c>
      <c r="X23" s="142">
        <f t="shared" si="3"/>
        <v>0</v>
      </c>
      <c r="Y23" s="142">
        <f t="shared" si="3"/>
        <v>0</v>
      </c>
      <c r="Z23" s="142">
        <f t="shared" si="3"/>
        <v>0</v>
      </c>
      <c r="AA23" s="142">
        <f t="shared" ref="AA23:AA28" si="4">SUM(J23:Z23)</f>
        <v>0.30972222222222223</v>
      </c>
    </row>
    <row r="24" spans="1:27" s="138" customFormat="1" x14ac:dyDescent="0.25">
      <c r="A24" s="180"/>
      <c r="B24" s="139" t="s">
        <v>59</v>
      </c>
      <c r="C24" s="140"/>
      <c r="D24" s="140"/>
      <c r="E24" s="141">
        <f t="shared" si="1"/>
        <v>0</v>
      </c>
      <c r="F24" s="141">
        <f t="shared" si="1"/>
        <v>0</v>
      </c>
      <c r="G24" s="140"/>
      <c r="H24" s="140"/>
      <c r="I24" s="140"/>
      <c r="J24" s="142">
        <f t="shared" ref="J24:Z24" si="5">J10+J17</f>
        <v>0</v>
      </c>
      <c r="K24" s="142">
        <f t="shared" si="5"/>
        <v>0</v>
      </c>
      <c r="L24" s="142">
        <f t="shared" si="5"/>
        <v>0</v>
      </c>
      <c r="M24" s="142">
        <f t="shared" si="5"/>
        <v>0</v>
      </c>
      <c r="N24" s="142">
        <f t="shared" si="5"/>
        <v>0</v>
      </c>
      <c r="O24" s="142">
        <f t="shared" si="5"/>
        <v>0</v>
      </c>
      <c r="P24" s="142">
        <f t="shared" si="5"/>
        <v>0</v>
      </c>
      <c r="Q24" s="142">
        <f t="shared" si="5"/>
        <v>0</v>
      </c>
      <c r="R24" s="142">
        <f t="shared" si="5"/>
        <v>0</v>
      </c>
      <c r="S24" s="142">
        <f t="shared" si="5"/>
        <v>0</v>
      </c>
      <c r="T24" s="142">
        <f t="shared" si="5"/>
        <v>0</v>
      </c>
      <c r="U24" s="142">
        <f t="shared" si="5"/>
        <v>0</v>
      </c>
      <c r="V24" s="142">
        <f t="shared" si="5"/>
        <v>0</v>
      </c>
      <c r="W24" s="142">
        <f t="shared" si="5"/>
        <v>0</v>
      </c>
      <c r="X24" s="142">
        <f t="shared" si="5"/>
        <v>0</v>
      </c>
      <c r="Y24" s="142">
        <f t="shared" si="5"/>
        <v>0</v>
      </c>
      <c r="Z24" s="142">
        <f t="shared" si="5"/>
        <v>0</v>
      </c>
      <c r="AA24" s="142">
        <f t="shared" ref="AA24" si="6">SUM(J24:Z24)</f>
        <v>0</v>
      </c>
    </row>
    <row r="25" spans="1:27" s="138" customFormat="1" x14ac:dyDescent="0.25">
      <c r="A25" s="180"/>
      <c r="B25" s="139" t="s">
        <v>32</v>
      </c>
      <c r="C25" s="140"/>
      <c r="D25" s="140"/>
      <c r="E25" s="141">
        <f t="shared" si="1"/>
        <v>0</v>
      </c>
      <c r="F25" s="141">
        <f t="shared" si="1"/>
        <v>0</v>
      </c>
      <c r="G25" s="140"/>
      <c r="H25" s="140"/>
      <c r="I25" s="140"/>
      <c r="J25" s="142">
        <f t="shared" ref="J25:Z25" si="7">J11+J18</f>
        <v>0.11944444444444445</v>
      </c>
      <c r="K25" s="142">
        <f t="shared" si="7"/>
        <v>6.9444444444444447E-4</v>
      </c>
      <c r="L25" s="142">
        <f t="shared" si="7"/>
        <v>0</v>
      </c>
      <c r="M25" s="142">
        <f t="shared" si="7"/>
        <v>1.7361111111111112E-2</v>
      </c>
      <c r="N25" s="142">
        <f t="shared" si="7"/>
        <v>1.7361111111111112E-2</v>
      </c>
      <c r="O25" s="142">
        <f t="shared" si="7"/>
        <v>0</v>
      </c>
      <c r="P25" s="142">
        <f t="shared" si="7"/>
        <v>0</v>
      </c>
      <c r="Q25" s="142">
        <f t="shared" si="7"/>
        <v>0</v>
      </c>
      <c r="R25" s="142">
        <f t="shared" si="7"/>
        <v>0</v>
      </c>
      <c r="S25" s="142">
        <f t="shared" si="7"/>
        <v>4.5138888888888888E-2</v>
      </c>
      <c r="T25" s="142">
        <f t="shared" si="7"/>
        <v>0.10069444444444443</v>
      </c>
      <c r="U25" s="142">
        <f t="shared" si="7"/>
        <v>0</v>
      </c>
      <c r="V25" s="142">
        <f t="shared" si="7"/>
        <v>0</v>
      </c>
      <c r="W25" s="142">
        <f t="shared" si="7"/>
        <v>0</v>
      </c>
      <c r="X25" s="142">
        <f t="shared" si="7"/>
        <v>0</v>
      </c>
      <c r="Y25" s="142">
        <f t="shared" si="7"/>
        <v>0</v>
      </c>
      <c r="Z25" s="142">
        <f t="shared" si="7"/>
        <v>0</v>
      </c>
      <c r="AA25" s="142">
        <f t="shared" si="4"/>
        <v>0.30069444444444443</v>
      </c>
    </row>
    <row r="26" spans="1:27" s="138" customFormat="1" x14ac:dyDescent="0.25">
      <c r="A26" s="180"/>
      <c r="B26" s="139" t="s">
        <v>33</v>
      </c>
      <c r="C26" s="140"/>
      <c r="D26" s="140"/>
      <c r="E26" s="141">
        <f t="shared" si="1"/>
        <v>0</v>
      </c>
      <c r="F26" s="141">
        <f t="shared" si="1"/>
        <v>0</v>
      </c>
      <c r="G26" s="140"/>
      <c r="H26" s="140"/>
      <c r="I26" s="140"/>
      <c r="J26" s="142">
        <f t="shared" ref="J26:Z26" si="8">J12+J19</f>
        <v>0.35902777777777778</v>
      </c>
      <c r="K26" s="142">
        <f t="shared" si="8"/>
        <v>1.2500000000000001E-2</v>
      </c>
      <c r="L26" s="142">
        <f t="shared" si="8"/>
        <v>0</v>
      </c>
      <c r="M26" s="142">
        <f t="shared" si="8"/>
        <v>9.0277777777777787E-3</v>
      </c>
      <c r="N26" s="142">
        <f t="shared" si="8"/>
        <v>7.6388888888888886E-3</v>
      </c>
      <c r="O26" s="142">
        <f t="shared" si="8"/>
        <v>0</v>
      </c>
      <c r="P26" s="142">
        <f t="shared" si="8"/>
        <v>0</v>
      </c>
      <c r="Q26" s="142">
        <f t="shared" si="8"/>
        <v>0</v>
      </c>
      <c r="R26" s="142">
        <f t="shared" si="8"/>
        <v>0</v>
      </c>
      <c r="S26" s="142">
        <f t="shared" si="8"/>
        <v>4.5138888888888888E-2</v>
      </c>
      <c r="T26" s="142">
        <f t="shared" si="8"/>
        <v>0.10069444444444443</v>
      </c>
      <c r="U26" s="142">
        <f t="shared" si="8"/>
        <v>0</v>
      </c>
      <c r="V26" s="142">
        <f t="shared" si="8"/>
        <v>0</v>
      </c>
      <c r="W26" s="142">
        <f t="shared" si="8"/>
        <v>0</v>
      </c>
      <c r="X26" s="142">
        <f t="shared" si="8"/>
        <v>0</v>
      </c>
      <c r="Y26" s="142">
        <f t="shared" si="8"/>
        <v>0</v>
      </c>
      <c r="Z26" s="142">
        <f t="shared" si="8"/>
        <v>0</v>
      </c>
      <c r="AA26" s="142">
        <f t="shared" si="4"/>
        <v>0.53402777777777777</v>
      </c>
    </row>
    <row r="27" spans="1:27" s="138" customFormat="1" x14ac:dyDescent="0.25">
      <c r="A27" s="180"/>
      <c r="B27" s="139" t="s">
        <v>34</v>
      </c>
      <c r="C27" s="140"/>
      <c r="D27" s="140"/>
      <c r="E27" s="141">
        <f t="shared" si="1"/>
        <v>0</v>
      </c>
      <c r="F27" s="141">
        <f t="shared" si="1"/>
        <v>0</v>
      </c>
      <c r="G27" s="140"/>
      <c r="H27" s="140"/>
      <c r="I27" s="140"/>
      <c r="J27" s="142">
        <f t="shared" ref="J27:Z27" si="9">J13+J20</f>
        <v>0</v>
      </c>
      <c r="K27" s="142">
        <f t="shared" si="9"/>
        <v>2.222222222222222E-2</v>
      </c>
      <c r="L27" s="142">
        <f t="shared" si="9"/>
        <v>0</v>
      </c>
      <c r="M27" s="142">
        <f t="shared" si="9"/>
        <v>1.3888888888888889E-3</v>
      </c>
      <c r="N27" s="142">
        <f t="shared" si="9"/>
        <v>1.7361111111111112E-2</v>
      </c>
      <c r="O27" s="142">
        <f t="shared" si="9"/>
        <v>0</v>
      </c>
      <c r="P27" s="142">
        <f t="shared" si="9"/>
        <v>0</v>
      </c>
      <c r="Q27" s="142">
        <f t="shared" si="9"/>
        <v>0</v>
      </c>
      <c r="R27" s="142">
        <f t="shared" si="9"/>
        <v>0</v>
      </c>
      <c r="S27" s="142">
        <f t="shared" si="9"/>
        <v>4.5138888888888888E-2</v>
      </c>
      <c r="T27" s="142">
        <f t="shared" si="9"/>
        <v>0.10069444444444443</v>
      </c>
      <c r="U27" s="142">
        <f t="shared" si="9"/>
        <v>0</v>
      </c>
      <c r="V27" s="142">
        <f t="shared" si="9"/>
        <v>0</v>
      </c>
      <c r="W27" s="142">
        <f t="shared" si="9"/>
        <v>0</v>
      </c>
      <c r="X27" s="142">
        <f t="shared" si="9"/>
        <v>0</v>
      </c>
      <c r="Y27" s="142">
        <f t="shared" si="9"/>
        <v>0</v>
      </c>
      <c r="Z27" s="142">
        <f t="shared" si="9"/>
        <v>0</v>
      </c>
      <c r="AA27" s="142">
        <f t="shared" si="4"/>
        <v>0.18680555555555556</v>
      </c>
    </row>
    <row r="28" spans="1:27" s="138" customFormat="1" x14ac:dyDescent="0.25">
      <c r="A28" s="181"/>
      <c r="B28" s="143" t="s">
        <v>35</v>
      </c>
      <c r="C28" s="144"/>
      <c r="D28" s="144"/>
      <c r="E28" s="145">
        <f t="shared" si="1"/>
        <v>0</v>
      </c>
      <c r="F28" s="145">
        <f t="shared" si="1"/>
        <v>0</v>
      </c>
      <c r="G28" s="144"/>
      <c r="H28" s="144"/>
      <c r="I28" s="144"/>
      <c r="J28" s="146">
        <f t="shared" ref="J28:Z28" si="10">J14+J21</f>
        <v>0</v>
      </c>
      <c r="K28" s="146">
        <f t="shared" si="10"/>
        <v>2.6388888888888885E-2</v>
      </c>
      <c r="L28" s="146">
        <f t="shared" si="10"/>
        <v>0</v>
      </c>
      <c r="M28" s="146">
        <f t="shared" si="10"/>
        <v>1.2500000000000001E-2</v>
      </c>
      <c r="N28" s="146">
        <f t="shared" si="10"/>
        <v>6.9444444444444441E-3</v>
      </c>
      <c r="O28" s="146">
        <f t="shared" si="10"/>
        <v>0</v>
      </c>
      <c r="P28" s="146">
        <f t="shared" si="10"/>
        <v>0</v>
      </c>
      <c r="Q28" s="146">
        <f t="shared" si="10"/>
        <v>0</v>
      </c>
      <c r="R28" s="146">
        <f t="shared" si="10"/>
        <v>0</v>
      </c>
      <c r="S28" s="146">
        <f t="shared" si="10"/>
        <v>4.5138888888888888E-2</v>
      </c>
      <c r="T28" s="146">
        <f t="shared" si="10"/>
        <v>0.10069444444444443</v>
      </c>
      <c r="U28" s="146">
        <f t="shared" si="10"/>
        <v>0</v>
      </c>
      <c r="V28" s="146">
        <f t="shared" si="10"/>
        <v>0</v>
      </c>
      <c r="W28" s="146">
        <f t="shared" si="10"/>
        <v>0</v>
      </c>
      <c r="X28" s="146">
        <f t="shared" si="10"/>
        <v>0</v>
      </c>
      <c r="Y28" s="146">
        <f t="shared" si="10"/>
        <v>0</v>
      </c>
      <c r="Z28" s="146">
        <f t="shared" si="10"/>
        <v>0</v>
      </c>
      <c r="AA28" s="146">
        <f t="shared" si="4"/>
        <v>0.19166666666666665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F0"/>
  </sheetPr>
  <dimension ref="A3:AA32"/>
  <sheetViews>
    <sheetView topLeftCell="A4" zoomScale="115" zoomScaleNormal="115" workbookViewId="0">
      <pane xSplit="2" ySplit="4" topLeftCell="M8" activePane="bottomRight" state="frozen"/>
      <selection activeCell="A5" sqref="A5:A6"/>
      <selection pane="topRight" activeCell="A5" sqref="A5:A6"/>
      <selection pane="bottomLeft" activeCell="A5" sqref="A5:A6"/>
      <selection pane="bottomRight" activeCell="B6" sqref="B6:B7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45639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63</v>
      </c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8.1250000000000003E-2</v>
      </c>
      <c r="K8" s="20">
        <v>4.8611111111111112E-3</v>
      </c>
      <c r="L8" s="20"/>
      <c r="M8" s="20"/>
      <c r="N8" s="20">
        <v>5.5555555555555558E-3</v>
      </c>
      <c r="O8" s="20"/>
      <c r="P8" s="20">
        <v>0.12708333333333333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0.21875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6.9444444444444441E-3</v>
      </c>
      <c r="K9" s="9"/>
      <c r="L9" s="9"/>
      <c r="M9" s="9">
        <v>2.2916666666666669E-2</v>
      </c>
      <c r="N9" s="9">
        <v>1.2499999999999999E-2</v>
      </c>
      <c r="O9" s="9"/>
      <c r="P9" s="9"/>
      <c r="Q9" s="9"/>
      <c r="R9" s="9">
        <v>3.8194444444444441E-2</v>
      </c>
      <c r="S9" s="9"/>
      <c r="T9" s="9"/>
      <c r="U9" s="9"/>
      <c r="V9" s="9"/>
      <c r="W9" s="9"/>
      <c r="X9" s="9"/>
      <c r="Y9" s="9"/>
      <c r="Z9" s="9">
        <v>2.361111111111111E-2</v>
      </c>
      <c r="AA9" s="9">
        <f t="shared" ref="AA9:AA21" si="0">SUM(J9:Z9)</f>
        <v>0.10416666666666666</v>
      </c>
    </row>
    <row r="10" spans="1:27" x14ac:dyDescent="0.25">
      <c r="A10" s="164"/>
      <c r="B10" s="112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6.9444444444444447E-4</v>
      </c>
      <c r="N11" s="9">
        <v>1.1111111111111112E-2</v>
      </c>
      <c r="O11" s="9"/>
      <c r="P11" s="9"/>
      <c r="Q11" s="9"/>
      <c r="R11" s="9">
        <v>2.9861111111111113E-2</v>
      </c>
      <c r="S11" s="9"/>
      <c r="T11" s="9"/>
      <c r="U11" s="9"/>
      <c r="V11" s="9">
        <v>6.25E-2</v>
      </c>
      <c r="W11" s="9"/>
      <c r="X11" s="9"/>
      <c r="Y11" s="9"/>
      <c r="Z11" s="9">
        <v>9.7222222222222224E-3</v>
      </c>
      <c r="AA11" s="9">
        <f t="shared" si="0"/>
        <v>0.1138888888888889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8.6111111111111124E-2</v>
      </c>
      <c r="K12" s="9"/>
      <c r="L12" s="9"/>
      <c r="M12" s="9">
        <v>2.7083333333333334E-2</v>
      </c>
      <c r="N12" s="9">
        <v>1.5972222222222224E-2</v>
      </c>
      <c r="O12" s="9"/>
      <c r="P12" s="9"/>
      <c r="Q12" s="9"/>
      <c r="R12" s="9"/>
      <c r="S12" s="9"/>
      <c r="T12" s="9"/>
      <c r="U12" s="9"/>
      <c r="V12" s="9">
        <v>4.9999999999999996E-2</v>
      </c>
      <c r="W12" s="9"/>
      <c r="X12" s="9"/>
      <c r="Y12" s="9"/>
      <c r="Z12" s="9">
        <v>2.5694444444444447E-2</v>
      </c>
      <c r="AA12" s="9">
        <f t="shared" si="0"/>
        <v>0.2048611111111111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1.0416666666666666E-2</v>
      </c>
      <c r="N13" s="9">
        <v>9.7222222222222224E-3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1.3194444444444444E-2</v>
      </c>
      <c r="AA13" s="9">
        <f t="shared" si="0"/>
        <v>3.3333333333333333E-2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9.0277777777777787E-3</v>
      </c>
      <c r="L14" s="23"/>
      <c r="M14" s="23">
        <v>1.3888888888888888E-2</v>
      </c>
      <c r="N14" s="23">
        <v>2.0833333333333333E-3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>
        <v>4.1666666666666666E-3</v>
      </c>
      <c r="AA14" s="23">
        <f t="shared" si="0"/>
        <v>2.9166666666666667E-2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>
        <v>3.472222222222222E-3</v>
      </c>
      <c r="L15" s="30">
        <v>5.5555555555555558E-3</v>
      </c>
      <c r="M15" s="30">
        <v>3.472222222222222E-3</v>
      </c>
      <c r="N15" s="30">
        <v>4.1666666666666666E-3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1.6666666666666666E-2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0.32222222222222224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9.4444444444444442E-2</v>
      </c>
      <c r="X16" s="9"/>
      <c r="Y16" s="9"/>
      <c r="Z16" s="9"/>
      <c r="AA16" s="9">
        <f t="shared" si="0"/>
        <v>0.41666666666666669</v>
      </c>
    </row>
    <row r="17" spans="1:27" x14ac:dyDescent="0.25">
      <c r="A17" s="164"/>
      <c r="B17" s="112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si="0"/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1.5972222222222224E-2</v>
      </c>
      <c r="L18" s="9"/>
      <c r="M18" s="9">
        <v>3.472222222222222E-3</v>
      </c>
      <c r="N18" s="9">
        <v>6.9444444444444441E-3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2.6388888888888889E-2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4.1666666666666666E-3</v>
      </c>
      <c r="L19" s="9"/>
      <c r="M19" s="9">
        <v>5.5555555555555558E-3</v>
      </c>
      <c r="N19" s="9">
        <v>1.3888888888888888E-2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2.361111111111111E-2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1.1805555555555555E-2</v>
      </c>
      <c r="L20" s="9"/>
      <c r="M20" s="9">
        <v>5.5555555555555558E-3</v>
      </c>
      <c r="N20" s="9">
        <v>5.5555555555555558E-3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2.2916666666666669E-2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3.472222222222222E-3</v>
      </c>
      <c r="L21" s="23"/>
      <c r="M21" s="23">
        <v>9.0277777777777787E-3</v>
      </c>
      <c r="N21" s="23">
        <v>3.472222222222222E-3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1.5972222222222221E-2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4" si="1">E8+E15</f>
        <v>0</v>
      </c>
      <c r="F22" s="26">
        <f t="shared" si="1"/>
        <v>0</v>
      </c>
      <c r="G22" s="25"/>
      <c r="H22" s="25"/>
      <c r="I22" s="25"/>
      <c r="J22" s="27">
        <f t="shared" ref="J22:Z22" si="2">J8+J15</f>
        <v>8.1250000000000003E-2</v>
      </c>
      <c r="K22" s="27">
        <f t="shared" si="2"/>
        <v>8.3333333333333332E-3</v>
      </c>
      <c r="L22" s="27">
        <f t="shared" si="2"/>
        <v>5.5555555555555558E-3</v>
      </c>
      <c r="M22" s="27">
        <f t="shared" si="2"/>
        <v>3.472222222222222E-3</v>
      </c>
      <c r="N22" s="27">
        <f t="shared" si="2"/>
        <v>9.7222222222222224E-3</v>
      </c>
      <c r="O22" s="27">
        <f t="shared" si="2"/>
        <v>0</v>
      </c>
      <c r="P22" s="27">
        <f t="shared" si="2"/>
        <v>0.12708333333333333</v>
      </c>
      <c r="Q22" s="27">
        <f t="shared" si="2"/>
        <v>0</v>
      </c>
      <c r="R22" s="27">
        <f t="shared" si="2"/>
        <v>0</v>
      </c>
      <c r="S22" s="27">
        <f t="shared" si="2"/>
        <v>0</v>
      </c>
      <c r="T22" s="27">
        <f t="shared" si="2"/>
        <v>0</v>
      </c>
      <c r="U22" s="27">
        <f t="shared" si="2"/>
        <v>0</v>
      </c>
      <c r="V22" s="27">
        <f t="shared" si="2"/>
        <v>0</v>
      </c>
      <c r="W22" s="27">
        <f t="shared" si="2"/>
        <v>0</v>
      </c>
      <c r="X22" s="27">
        <f t="shared" si="2"/>
        <v>0</v>
      </c>
      <c r="Y22" s="27">
        <f t="shared" si="2"/>
        <v>0</v>
      </c>
      <c r="Z22" s="27">
        <f t="shared" si="2"/>
        <v>0</v>
      </c>
      <c r="AA22" s="27">
        <f>SUM(J22:Z22)</f>
        <v>0.23541666666666666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1"/>
        <v>0</v>
      </c>
      <c r="F23" s="12">
        <f t="shared" si="1"/>
        <v>0</v>
      </c>
      <c r="G23" s="11"/>
      <c r="H23" s="11"/>
      <c r="I23" s="11"/>
      <c r="J23" s="13">
        <f t="shared" ref="J23:Z24" si="3">J9+J16</f>
        <v>0.32916666666666666</v>
      </c>
      <c r="K23" s="13">
        <f t="shared" si="3"/>
        <v>0</v>
      </c>
      <c r="L23" s="13">
        <f t="shared" si="3"/>
        <v>0</v>
      </c>
      <c r="M23" s="13">
        <f t="shared" si="3"/>
        <v>2.2916666666666669E-2</v>
      </c>
      <c r="N23" s="13">
        <f t="shared" si="3"/>
        <v>1.2499999999999999E-2</v>
      </c>
      <c r="O23" s="13">
        <f t="shared" si="3"/>
        <v>0</v>
      </c>
      <c r="P23" s="13">
        <f t="shared" si="3"/>
        <v>0</v>
      </c>
      <c r="Q23" s="13">
        <f t="shared" si="3"/>
        <v>0</v>
      </c>
      <c r="R23" s="13">
        <f t="shared" si="3"/>
        <v>3.8194444444444441E-2</v>
      </c>
      <c r="S23" s="13">
        <f t="shared" si="3"/>
        <v>0</v>
      </c>
      <c r="T23" s="13">
        <f t="shared" si="3"/>
        <v>0</v>
      </c>
      <c r="U23" s="13">
        <f t="shared" si="3"/>
        <v>0</v>
      </c>
      <c r="V23" s="13">
        <f t="shared" si="3"/>
        <v>0</v>
      </c>
      <c r="W23" s="13">
        <f t="shared" si="3"/>
        <v>9.4444444444444442E-2</v>
      </c>
      <c r="X23" s="13">
        <f t="shared" si="3"/>
        <v>0</v>
      </c>
      <c r="Y23" s="13">
        <f t="shared" si="3"/>
        <v>0</v>
      </c>
      <c r="Z23" s="13">
        <f t="shared" si="3"/>
        <v>2.361111111111111E-2</v>
      </c>
      <c r="AA23" s="13">
        <f t="shared" ref="AA23:AA28" si="4">SUM(J23:Z23)</f>
        <v>0.52083333333333326</v>
      </c>
    </row>
    <row r="24" spans="1:27" s="5" customFormat="1" x14ac:dyDescent="0.25">
      <c r="A24" s="168"/>
      <c r="B24" s="113" t="s">
        <v>59</v>
      </c>
      <c r="C24" s="11"/>
      <c r="D24" s="11"/>
      <c r="E24" s="12">
        <f t="shared" si="1"/>
        <v>0</v>
      </c>
      <c r="F24" s="12">
        <f t="shared" si="1"/>
        <v>0</v>
      </c>
      <c r="G24" s="11"/>
      <c r="H24" s="11"/>
      <c r="I24" s="11"/>
      <c r="J24" s="13">
        <f t="shared" si="3"/>
        <v>0</v>
      </c>
      <c r="K24" s="13">
        <f t="shared" si="3"/>
        <v>0</v>
      </c>
      <c r="L24" s="13">
        <f t="shared" si="3"/>
        <v>0</v>
      </c>
      <c r="M24" s="13">
        <f t="shared" si="3"/>
        <v>0</v>
      </c>
      <c r="N24" s="13">
        <f t="shared" si="3"/>
        <v>0</v>
      </c>
      <c r="O24" s="13">
        <f t="shared" si="3"/>
        <v>0</v>
      </c>
      <c r="P24" s="13">
        <f t="shared" si="3"/>
        <v>0</v>
      </c>
      <c r="Q24" s="13">
        <f t="shared" si="3"/>
        <v>0</v>
      </c>
      <c r="R24" s="13">
        <f t="shared" si="3"/>
        <v>0</v>
      </c>
      <c r="S24" s="13">
        <f t="shared" si="3"/>
        <v>0</v>
      </c>
      <c r="T24" s="13">
        <f t="shared" si="3"/>
        <v>0</v>
      </c>
      <c r="U24" s="13">
        <f t="shared" si="3"/>
        <v>0</v>
      </c>
      <c r="V24" s="13">
        <f t="shared" si="3"/>
        <v>0</v>
      </c>
      <c r="W24" s="13">
        <f t="shared" si="3"/>
        <v>0</v>
      </c>
      <c r="X24" s="13">
        <f t="shared" si="3"/>
        <v>0</v>
      </c>
      <c r="Y24" s="13">
        <f t="shared" si="3"/>
        <v>0</v>
      </c>
      <c r="Z24" s="13">
        <f t="shared" si="3"/>
        <v>0</v>
      </c>
      <c r="AA24" s="13">
        <f t="shared" ref="AA24" si="5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ref="E25:F28" si="6">E11+E18</f>
        <v>0</v>
      </c>
      <c r="F25" s="12">
        <f t="shared" si="6"/>
        <v>0</v>
      </c>
      <c r="G25" s="11"/>
      <c r="H25" s="11"/>
      <c r="I25" s="11"/>
      <c r="J25" s="13">
        <f t="shared" ref="J25:Z25" si="7">J11+J18</f>
        <v>0</v>
      </c>
      <c r="K25" s="13">
        <f t="shared" si="7"/>
        <v>1.5972222222222224E-2</v>
      </c>
      <c r="L25" s="13">
        <f t="shared" si="7"/>
        <v>0</v>
      </c>
      <c r="M25" s="13">
        <f t="shared" si="7"/>
        <v>4.1666666666666666E-3</v>
      </c>
      <c r="N25" s="13">
        <f t="shared" si="7"/>
        <v>1.8055555555555554E-2</v>
      </c>
      <c r="O25" s="13">
        <f t="shared" si="7"/>
        <v>0</v>
      </c>
      <c r="P25" s="13">
        <f t="shared" si="7"/>
        <v>0</v>
      </c>
      <c r="Q25" s="13">
        <f t="shared" si="7"/>
        <v>0</v>
      </c>
      <c r="R25" s="13">
        <f t="shared" si="7"/>
        <v>2.9861111111111113E-2</v>
      </c>
      <c r="S25" s="13">
        <f t="shared" si="7"/>
        <v>0</v>
      </c>
      <c r="T25" s="13">
        <f t="shared" si="7"/>
        <v>0</v>
      </c>
      <c r="U25" s="13">
        <f t="shared" si="7"/>
        <v>0</v>
      </c>
      <c r="V25" s="13">
        <f t="shared" si="7"/>
        <v>6.25E-2</v>
      </c>
      <c r="W25" s="13">
        <f t="shared" si="7"/>
        <v>0</v>
      </c>
      <c r="X25" s="13">
        <f t="shared" si="7"/>
        <v>0</v>
      </c>
      <c r="Y25" s="13">
        <f t="shared" si="7"/>
        <v>0</v>
      </c>
      <c r="Z25" s="13">
        <f t="shared" si="7"/>
        <v>9.7222222222222224E-3</v>
      </c>
      <c r="AA25" s="13">
        <f t="shared" si="4"/>
        <v>0.14027777777777778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6"/>
        <v>0</v>
      </c>
      <c r="F26" s="12">
        <f t="shared" si="6"/>
        <v>0</v>
      </c>
      <c r="G26" s="11"/>
      <c r="H26" s="11"/>
      <c r="I26" s="11"/>
      <c r="J26" s="13">
        <f t="shared" ref="J26:Z26" si="8">J12+J19</f>
        <v>8.6111111111111124E-2</v>
      </c>
      <c r="K26" s="13">
        <f t="shared" si="8"/>
        <v>4.1666666666666666E-3</v>
      </c>
      <c r="L26" s="13">
        <f t="shared" si="8"/>
        <v>0</v>
      </c>
      <c r="M26" s="13">
        <f t="shared" si="8"/>
        <v>3.2638888888888891E-2</v>
      </c>
      <c r="N26" s="13">
        <f t="shared" si="8"/>
        <v>2.9861111111111113E-2</v>
      </c>
      <c r="O26" s="13">
        <f t="shared" si="8"/>
        <v>0</v>
      </c>
      <c r="P26" s="13">
        <f t="shared" si="8"/>
        <v>0</v>
      </c>
      <c r="Q26" s="13">
        <f t="shared" si="8"/>
        <v>0</v>
      </c>
      <c r="R26" s="13">
        <f t="shared" si="8"/>
        <v>0</v>
      </c>
      <c r="S26" s="13">
        <f t="shared" si="8"/>
        <v>0</v>
      </c>
      <c r="T26" s="13">
        <f t="shared" si="8"/>
        <v>0</v>
      </c>
      <c r="U26" s="13">
        <f t="shared" si="8"/>
        <v>0</v>
      </c>
      <c r="V26" s="13">
        <f t="shared" si="8"/>
        <v>4.9999999999999996E-2</v>
      </c>
      <c r="W26" s="13">
        <f t="shared" si="8"/>
        <v>0</v>
      </c>
      <c r="X26" s="13">
        <f t="shared" si="8"/>
        <v>0</v>
      </c>
      <c r="Y26" s="13">
        <f t="shared" si="8"/>
        <v>0</v>
      </c>
      <c r="Z26" s="13">
        <f t="shared" si="8"/>
        <v>2.5694444444444447E-2</v>
      </c>
      <c r="AA26" s="13">
        <f t="shared" si="4"/>
        <v>0.22847222222222222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6"/>
        <v>0</v>
      </c>
      <c r="F27" s="12">
        <f t="shared" si="6"/>
        <v>0</v>
      </c>
      <c r="G27" s="11"/>
      <c r="H27" s="11"/>
      <c r="I27" s="11"/>
      <c r="J27" s="13">
        <f t="shared" ref="J27:Z27" si="9">J13+J20</f>
        <v>0</v>
      </c>
      <c r="K27" s="13">
        <f t="shared" si="9"/>
        <v>1.1805555555555555E-2</v>
      </c>
      <c r="L27" s="13">
        <f t="shared" si="9"/>
        <v>0</v>
      </c>
      <c r="M27" s="13">
        <f t="shared" si="9"/>
        <v>1.5972222222222221E-2</v>
      </c>
      <c r="N27" s="13">
        <f t="shared" si="9"/>
        <v>1.5277777777777779E-2</v>
      </c>
      <c r="O27" s="13">
        <f t="shared" si="9"/>
        <v>0</v>
      </c>
      <c r="P27" s="13">
        <f t="shared" si="9"/>
        <v>0</v>
      </c>
      <c r="Q27" s="13">
        <f t="shared" si="9"/>
        <v>0</v>
      </c>
      <c r="R27" s="13">
        <f t="shared" si="9"/>
        <v>0</v>
      </c>
      <c r="S27" s="13">
        <f t="shared" si="9"/>
        <v>0</v>
      </c>
      <c r="T27" s="13">
        <f t="shared" si="9"/>
        <v>0</v>
      </c>
      <c r="U27" s="13">
        <f t="shared" si="9"/>
        <v>0</v>
      </c>
      <c r="V27" s="13">
        <f t="shared" si="9"/>
        <v>0</v>
      </c>
      <c r="W27" s="13">
        <f t="shared" si="9"/>
        <v>0</v>
      </c>
      <c r="X27" s="13">
        <f t="shared" si="9"/>
        <v>0</v>
      </c>
      <c r="Y27" s="13">
        <f t="shared" si="9"/>
        <v>0</v>
      </c>
      <c r="Z27" s="13">
        <f t="shared" si="9"/>
        <v>1.3194444444444444E-2</v>
      </c>
      <c r="AA27" s="13">
        <f t="shared" si="4"/>
        <v>5.6250000000000001E-2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6"/>
        <v>0</v>
      </c>
      <c r="F28" s="16">
        <f t="shared" si="6"/>
        <v>0</v>
      </c>
      <c r="G28" s="15"/>
      <c r="H28" s="15"/>
      <c r="I28" s="15"/>
      <c r="J28" s="17">
        <f t="shared" ref="J28:Z28" si="10">J14+J21</f>
        <v>0</v>
      </c>
      <c r="K28" s="17">
        <f t="shared" si="10"/>
        <v>1.2500000000000001E-2</v>
      </c>
      <c r="L28" s="17">
        <f t="shared" si="10"/>
        <v>0</v>
      </c>
      <c r="M28" s="17">
        <f t="shared" si="10"/>
        <v>2.2916666666666669E-2</v>
      </c>
      <c r="N28" s="17">
        <f t="shared" si="10"/>
        <v>5.5555555555555549E-3</v>
      </c>
      <c r="O28" s="17">
        <f t="shared" si="10"/>
        <v>0</v>
      </c>
      <c r="P28" s="17">
        <f t="shared" si="10"/>
        <v>0</v>
      </c>
      <c r="Q28" s="17">
        <f t="shared" si="10"/>
        <v>0</v>
      </c>
      <c r="R28" s="17">
        <f t="shared" si="10"/>
        <v>0</v>
      </c>
      <c r="S28" s="17">
        <f t="shared" si="10"/>
        <v>0</v>
      </c>
      <c r="T28" s="17">
        <f t="shared" si="10"/>
        <v>0</v>
      </c>
      <c r="U28" s="17">
        <f t="shared" si="10"/>
        <v>0</v>
      </c>
      <c r="V28" s="17">
        <f t="shared" si="10"/>
        <v>0</v>
      </c>
      <c r="W28" s="17">
        <f t="shared" si="10"/>
        <v>0</v>
      </c>
      <c r="X28" s="17">
        <f t="shared" si="10"/>
        <v>0</v>
      </c>
      <c r="Y28" s="17">
        <f t="shared" si="10"/>
        <v>0</v>
      </c>
      <c r="Z28" s="17">
        <f t="shared" si="10"/>
        <v>4.1666666666666666E-3</v>
      </c>
      <c r="AA28" s="17">
        <f t="shared" si="4"/>
        <v>4.5138888888888888E-2</v>
      </c>
    </row>
    <row r="30" spans="1:27" x14ac:dyDescent="0.25">
      <c r="Y30" s="106"/>
    </row>
    <row r="31" spans="1:27" x14ac:dyDescent="0.25">
      <c r="Y31" s="106"/>
    </row>
    <row r="32" spans="1:27" x14ac:dyDescent="0.25">
      <c r="Y32" s="106"/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F0"/>
  </sheetPr>
  <dimension ref="A3:AA31"/>
  <sheetViews>
    <sheetView topLeftCell="A4" zoomScale="115" zoomScaleNormal="115" workbookViewId="0">
      <pane xSplit="2" ySplit="4" topLeftCell="X8" activePane="bottomRight" state="frozen"/>
      <selection activeCell="A5" sqref="A5:A6"/>
      <selection pane="topRight" activeCell="A5" sqref="A5:A6"/>
      <selection pane="bottomLeft" activeCell="A5" sqref="A5:A6"/>
      <selection pane="bottomRight" activeCell="AB4" sqref="AB1:AK104857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45640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>
        <v>2.0833333333333333E-3</v>
      </c>
      <c r="N8" s="20">
        <v>4.8611111111111112E-3</v>
      </c>
      <c r="O8" s="20"/>
      <c r="P8" s="20"/>
      <c r="Q8" s="20"/>
      <c r="R8" s="20">
        <v>6.9444444444444441E-3</v>
      </c>
      <c r="S8" s="20">
        <v>1.3888888888888888E-2</v>
      </c>
      <c r="T8" s="20">
        <v>2.0833333333333332E-2</v>
      </c>
      <c r="U8" s="20"/>
      <c r="V8" s="20"/>
      <c r="W8" s="20"/>
      <c r="X8" s="20"/>
      <c r="Y8" s="20"/>
      <c r="Z8" s="20"/>
      <c r="AA8" s="20">
        <f>SUM(J8:Z8)</f>
        <v>4.8611111111111105E-2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07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4.8611111111111112E-3</v>
      </c>
      <c r="N11" s="9">
        <v>1.0416666666666666E-2</v>
      </c>
      <c r="O11" s="9"/>
      <c r="P11" s="9"/>
      <c r="Q11" s="9"/>
      <c r="R11" s="9">
        <v>1.5277777777777777E-2</v>
      </c>
      <c r="S11" s="9">
        <v>1.3888888888888888E-2</v>
      </c>
      <c r="T11" s="9">
        <v>6.458333333333334E-2</v>
      </c>
      <c r="U11" s="9"/>
      <c r="V11" s="9"/>
      <c r="W11" s="9"/>
      <c r="X11" s="9"/>
      <c r="Y11" s="9"/>
      <c r="Z11" s="9"/>
      <c r="AA11" s="9">
        <f t="shared" si="0"/>
        <v>0.10902777777777778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>
        <v>1.1111111111111112E-2</v>
      </c>
      <c r="M12" s="9">
        <v>4.8611111111111112E-3</v>
      </c>
      <c r="N12" s="9">
        <v>1.3888888888888888E-2</v>
      </c>
      <c r="O12" s="9"/>
      <c r="P12" s="9"/>
      <c r="Q12" s="9"/>
      <c r="R12" s="9">
        <v>2.8472222222222222E-2</v>
      </c>
      <c r="S12" s="9">
        <v>1.3888888888888888E-2</v>
      </c>
      <c r="T12" s="9">
        <v>8.2638888888888887E-2</v>
      </c>
      <c r="U12" s="9"/>
      <c r="V12" s="9"/>
      <c r="W12" s="9"/>
      <c r="X12" s="9"/>
      <c r="Y12" s="9"/>
      <c r="Z12" s="9"/>
      <c r="AA12" s="9">
        <f t="shared" si="0"/>
        <v>0.15486111111111112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6.9444444444444441E-3</v>
      </c>
      <c r="K13" s="9"/>
      <c r="L13" s="9"/>
      <c r="M13" s="9"/>
      <c r="N13" s="9">
        <v>9.0277777777777787E-3</v>
      </c>
      <c r="O13" s="9"/>
      <c r="P13" s="9"/>
      <c r="Q13" s="9"/>
      <c r="R13" s="9">
        <v>1.8749999999999999E-2</v>
      </c>
      <c r="S13" s="9">
        <v>1.3888888888888888E-2</v>
      </c>
      <c r="T13" s="9">
        <v>6.9444444444444434E-2</v>
      </c>
      <c r="U13" s="9"/>
      <c r="V13" s="9"/>
      <c r="W13" s="9"/>
      <c r="X13" s="9"/>
      <c r="Y13" s="9"/>
      <c r="Z13" s="9"/>
      <c r="AA13" s="9">
        <f t="shared" si="0"/>
        <v>0.11805555555555555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4.8611111111111112E-3</v>
      </c>
      <c r="N14" s="23">
        <v>4.8611111111111112E-3</v>
      </c>
      <c r="O14" s="23"/>
      <c r="P14" s="23"/>
      <c r="Q14" s="23"/>
      <c r="R14" s="23"/>
      <c r="S14" s="23">
        <v>1.3888888888888888E-2</v>
      </c>
      <c r="T14" s="23">
        <v>2.7777777777777776E-2</v>
      </c>
      <c r="U14" s="23"/>
      <c r="V14" s="23"/>
      <c r="W14" s="23"/>
      <c r="X14" s="23"/>
      <c r="Y14" s="23"/>
      <c r="Z14" s="23"/>
      <c r="AA14" s="23">
        <f t="shared" si="0"/>
        <v>5.1388888888888887E-2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>
        <v>1.8055555555555557E-2</v>
      </c>
      <c r="L15" s="30"/>
      <c r="M15" s="30">
        <v>6.9444444444444441E-3</v>
      </c>
      <c r="N15" s="30"/>
      <c r="O15" s="30"/>
      <c r="P15" s="30"/>
      <c r="Q15" s="30"/>
      <c r="R15" s="30"/>
      <c r="S15" s="30">
        <v>2.4305555555555556E-2</v>
      </c>
      <c r="T15" s="30"/>
      <c r="U15" s="30"/>
      <c r="V15" s="30"/>
      <c r="W15" s="30"/>
      <c r="X15" s="30"/>
      <c r="Y15" s="30"/>
      <c r="Z15" s="30"/>
      <c r="AA15" s="30">
        <f t="shared" si="0"/>
        <v>4.9305555555555561E-2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</v>
      </c>
    </row>
    <row r="17" spans="1:27" x14ac:dyDescent="0.25">
      <c r="A17" s="164"/>
      <c r="B17" s="107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>
        <v>6.9444444444444447E-4</v>
      </c>
      <c r="L18" s="9"/>
      <c r="M18" s="9">
        <v>1.1805555555555555E-2</v>
      </c>
      <c r="N18" s="9"/>
      <c r="O18" s="9"/>
      <c r="P18" s="9"/>
      <c r="Q18" s="9"/>
      <c r="R18" s="9"/>
      <c r="S18" s="9">
        <v>2.4305555555555556E-2</v>
      </c>
      <c r="T18" s="9"/>
      <c r="U18" s="9"/>
      <c r="V18" s="9"/>
      <c r="W18" s="9"/>
      <c r="X18" s="9"/>
      <c r="Y18" s="9"/>
      <c r="Z18" s="9"/>
      <c r="AA18" s="9">
        <f t="shared" si="0"/>
        <v>3.6805555555555557E-2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6.9444444444444441E-3</v>
      </c>
      <c r="L19" s="9"/>
      <c r="M19" s="9">
        <v>4.8611111111111112E-3</v>
      </c>
      <c r="N19" s="9"/>
      <c r="O19" s="9"/>
      <c r="P19" s="9"/>
      <c r="Q19" s="9"/>
      <c r="R19" s="9"/>
      <c r="S19" s="9">
        <v>2.4305555555555556E-2</v>
      </c>
      <c r="T19" s="9"/>
      <c r="U19" s="9"/>
      <c r="V19" s="9"/>
      <c r="W19" s="9"/>
      <c r="X19" s="9"/>
      <c r="Y19" s="9"/>
      <c r="Z19" s="9"/>
      <c r="AA19" s="9">
        <f t="shared" si="0"/>
        <v>3.6111111111111108E-2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2.4999999999999998E-2</v>
      </c>
      <c r="L20" s="9"/>
      <c r="M20" s="9">
        <v>9.0277777777777787E-3</v>
      </c>
      <c r="N20" s="9"/>
      <c r="O20" s="9"/>
      <c r="P20" s="9"/>
      <c r="Q20" s="9"/>
      <c r="R20" s="9"/>
      <c r="S20" s="9">
        <v>2.4305555555555556E-2</v>
      </c>
      <c r="T20" s="9"/>
      <c r="U20" s="9"/>
      <c r="V20" s="9"/>
      <c r="W20" s="9"/>
      <c r="X20" s="9"/>
      <c r="Y20" s="9"/>
      <c r="Z20" s="9"/>
      <c r="AA20" s="9">
        <f t="shared" si="0"/>
        <v>5.8333333333333334E-2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6.9444444444444447E-4</v>
      </c>
      <c r="L21" s="23"/>
      <c r="M21" s="23">
        <v>6.9444444444444447E-4</v>
      </c>
      <c r="N21" s="23"/>
      <c r="O21" s="23"/>
      <c r="P21" s="23"/>
      <c r="Q21" s="23"/>
      <c r="R21" s="23"/>
      <c r="S21" s="23">
        <v>2.4305555555555556E-2</v>
      </c>
      <c r="T21" s="23"/>
      <c r="U21" s="23"/>
      <c r="V21" s="23"/>
      <c r="W21" s="23">
        <v>2.013888888888889E-2</v>
      </c>
      <c r="X21" s="23"/>
      <c r="Y21" s="23"/>
      <c r="Z21" s="23"/>
      <c r="AA21" s="23">
        <f t="shared" si="0"/>
        <v>4.5833333333333337E-2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4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1.8055555555555557E-2</v>
      </c>
      <c r="L22" s="27">
        <f t="shared" si="4"/>
        <v>0</v>
      </c>
      <c r="M22" s="27">
        <f t="shared" si="4"/>
        <v>9.0277777777777769E-3</v>
      </c>
      <c r="N22" s="27">
        <f t="shared" si="4"/>
        <v>4.8611111111111112E-3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6.9444444444444441E-3</v>
      </c>
      <c r="S22" s="27">
        <f t="shared" si="4"/>
        <v>3.8194444444444448E-2</v>
      </c>
      <c r="T22" s="27">
        <f t="shared" si="4"/>
        <v>2.0833333333333332E-2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9.7916666666666666E-2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:AA28" si="6">SUM(J23:Z23)</f>
        <v>0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7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ref="E25:F28" si="9">E11+E18</f>
        <v>0</v>
      </c>
      <c r="F25" s="12">
        <f t="shared" si="9"/>
        <v>0</v>
      </c>
      <c r="G25" s="11"/>
      <c r="H25" s="11"/>
      <c r="I25" s="11"/>
      <c r="J25" s="13">
        <f t="shared" ref="J25:Z25" si="10">J11+J18</f>
        <v>0</v>
      </c>
      <c r="K25" s="13">
        <f t="shared" si="10"/>
        <v>6.9444444444444447E-4</v>
      </c>
      <c r="L25" s="13">
        <f t="shared" si="10"/>
        <v>0</v>
      </c>
      <c r="M25" s="13">
        <f t="shared" si="10"/>
        <v>1.6666666666666666E-2</v>
      </c>
      <c r="N25" s="13">
        <f t="shared" si="10"/>
        <v>1.0416666666666666E-2</v>
      </c>
      <c r="O25" s="13">
        <f t="shared" si="10"/>
        <v>0</v>
      </c>
      <c r="P25" s="13">
        <f t="shared" si="10"/>
        <v>0</v>
      </c>
      <c r="Q25" s="13">
        <f t="shared" si="10"/>
        <v>0</v>
      </c>
      <c r="R25" s="13">
        <f t="shared" si="10"/>
        <v>1.5277777777777777E-2</v>
      </c>
      <c r="S25" s="13">
        <f t="shared" si="10"/>
        <v>3.8194444444444448E-2</v>
      </c>
      <c r="T25" s="13">
        <f t="shared" si="10"/>
        <v>6.458333333333334E-2</v>
      </c>
      <c r="U25" s="13">
        <f t="shared" si="10"/>
        <v>0</v>
      </c>
      <c r="V25" s="13">
        <f t="shared" si="10"/>
        <v>0</v>
      </c>
      <c r="W25" s="13">
        <f t="shared" si="10"/>
        <v>0</v>
      </c>
      <c r="X25" s="13">
        <f t="shared" si="10"/>
        <v>0</v>
      </c>
      <c r="Y25" s="13">
        <f t="shared" si="10"/>
        <v>0</v>
      </c>
      <c r="Z25" s="13">
        <f t="shared" si="10"/>
        <v>0</v>
      </c>
      <c r="AA25" s="13">
        <f t="shared" si="8"/>
        <v>0.14583333333333334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9"/>
        <v>0</v>
      </c>
      <c r="F26" s="12">
        <f t="shared" si="9"/>
        <v>0</v>
      </c>
      <c r="G26" s="11"/>
      <c r="H26" s="11"/>
      <c r="I26" s="11"/>
      <c r="J26" s="13">
        <f t="shared" ref="J26:Z26" si="11">J12+J19</f>
        <v>0</v>
      </c>
      <c r="K26" s="13">
        <f t="shared" si="11"/>
        <v>6.9444444444444441E-3</v>
      </c>
      <c r="L26" s="13">
        <f t="shared" si="11"/>
        <v>1.1111111111111112E-2</v>
      </c>
      <c r="M26" s="13">
        <f t="shared" si="11"/>
        <v>9.7222222222222224E-3</v>
      </c>
      <c r="N26" s="13">
        <f t="shared" si="11"/>
        <v>1.3888888888888888E-2</v>
      </c>
      <c r="O26" s="13">
        <f t="shared" si="11"/>
        <v>0</v>
      </c>
      <c r="P26" s="13">
        <f t="shared" si="11"/>
        <v>0</v>
      </c>
      <c r="Q26" s="13">
        <f t="shared" si="11"/>
        <v>0</v>
      </c>
      <c r="R26" s="13">
        <f t="shared" si="11"/>
        <v>2.8472222222222222E-2</v>
      </c>
      <c r="S26" s="13">
        <f t="shared" si="11"/>
        <v>3.8194444444444448E-2</v>
      </c>
      <c r="T26" s="13">
        <f t="shared" si="11"/>
        <v>8.2638888888888887E-2</v>
      </c>
      <c r="U26" s="13">
        <f t="shared" si="11"/>
        <v>0</v>
      </c>
      <c r="V26" s="13">
        <f t="shared" si="11"/>
        <v>0</v>
      </c>
      <c r="W26" s="13">
        <f t="shared" si="11"/>
        <v>0</v>
      </c>
      <c r="X26" s="13">
        <f t="shared" si="11"/>
        <v>0</v>
      </c>
      <c r="Y26" s="13">
        <f t="shared" si="11"/>
        <v>0</v>
      </c>
      <c r="Z26" s="13">
        <f t="shared" si="11"/>
        <v>0</v>
      </c>
      <c r="AA26" s="13">
        <f t="shared" si="8"/>
        <v>0.19097222222222221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9"/>
        <v>0</v>
      </c>
      <c r="F27" s="12">
        <f t="shared" si="9"/>
        <v>0</v>
      </c>
      <c r="G27" s="11"/>
      <c r="H27" s="11"/>
      <c r="I27" s="11"/>
      <c r="J27" s="13">
        <f t="shared" ref="J27:Z27" si="12">J13+J20</f>
        <v>6.9444444444444441E-3</v>
      </c>
      <c r="K27" s="13">
        <f t="shared" si="12"/>
        <v>2.4999999999999998E-2</v>
      </c>
      <c r="L27" s="13">
        <f t="shared" si="12"/>
        <v>0</v>
      </c>
      <c r="M27" s="13">
        <f t="shared" si="12"/>
        <v>9.0277777777777787E-3</v>
      </c>
      <c r="N27" s="13">
        <f t="shared" si="12"/>
        <v>9.0277777777777787E-3</v>
      </c>
      <c r="O27" s="13">
        <f t="shared" si="12"/>
        <v>0</v>
      </c>
      <c r="P27" s="13">
        <f t="shared" si="12"/>
        <v>0</v>
      </c>
      <c r="Q27" s="13">
        <f t="shared" si="12"/>
        <v>0</v>
      </c>
      <c r="R27" s="13">
        <f t="shared" si="12"/>
        <v>1.8749999999999999E-2</v>
      </c>
      <c r="S27" s="13">
        <f t="shared" si="12"/>
        <v>3.8194444444444448E-2</v>
      </c>
      <c r="T27" s="13">
        <f t="shared" si="12"/>
        <v>6.9444444444444434E-2</v>
      </c>
      <c r="U27" s="13">
        <f t="shared" si="12"/>
        <v>0</v>
      </c>
      <c r="V27" s="13">
        <f t="shared" si="12"/>
        <v>0</v>
      </c>
      <c r="W27" s="13">
        <f t="shared" si="12"/>
        <v>0</v>
      </c>
      <c r="X27" s="13">
        <f t="shared" si="12"/>
        <v>0</v>
      </c>
      <c r="Y27" s="13">
        <f t="shared" si="12"/>
        <v>0</v>
      </c>
      <c r="Z27" s="13">
        <f t="shared" si="12"/>
        <v>0</v>
      </c>
      <c r="AA27" s="13">
        <f t="shared" si="8"/>
        <v>0.17638888888888887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9"/>
        <v>0</v>
      </c>
      <c r="F28" s="16">
        <f t="shared" si="9"/>
        <v>0</v>
      </c>
      <c r="G28" s="15"/>
      <c r="H28" s="15"/>
      <c r="I28" s="15"/>
      <c r="J28" s="17">
        <f t="shared" ref="J28:Z28" si="13">J14+J21</f>
        <v>0</v>
      </c>
      <c r="K28" s="17">
        <f t="shared" si="13"/>
        <v>6.9444444444444447E-4</v>
      </c>
      <c r="L28" s="17">
        <f t="shared" si="13"/>
        <v>0</v>
      </c>
      <c r="M28" s="17">
        <f t="shared" si="13"/>
        <v>5.5555555555555558E-3</v>
      </c>
      <c r="N28" s="17">
        <f t="shared" si="13"/>
        <v>4.8611111111111112E-3</v>
      </c>
      <c r="O28" s="17">
        <f t="shared" si="13"/>
        <v>0</v>
      </c>
      <c r="P28" s="17">
        <f t="shared" si="13"/>
        <v>0</v>
      </c>
      <c r="Q28" s="17">
        <f t="shared" si="13"/>
        <v>0</v>
      </c>
      <c r="R28" s="17">
        <f t="shared" si="13"/>
        <v>0</v>
      </c>
      <c r="S28" s="17">
        <f t="shared" si="13"/>
        <v>3.8194444444444448E-2</v>
      </c>
      <c r="T28" s="17">
        <f t="shared" si="13"/>
        <v>2.7777777777777776E-2</v>
      </c>
      <c r="U28" s="17">
        <f t="shared" si="13"/>
        <v>0</v>
      </c>
      <c r="V28" s="17">
        <f t="shared" si="13"/>
        <v>0</v>
      </c>
      <c r="W28" s="17">
        <f t="shared" si="13"/>
        <v>2.013888888888889E-2</v>
      </c>
      <c r="X28" s="17">
        <f t="shared" si="13"/>
        <v>0</v>
      </c>
      <c r="Y28" s="17">
        <f t="shared" si="13"/>
        <v>0</v>
      </c>
      <c r="Z28" s="17">
        <f t="shared" si="13"/>
        <v>0</v>
      </c>
      <c r="AA28" s="17">
        <f t="shared" si="6"/>
        <v>9.7222222222222224E-2</v>
      </c>
    </row>
    <row r="30" spans="1:27" x14ac:dyDescent="0.25">
      <c r="J30" s="1">
        <f>3+(60-19)/60</f>
        <v>3.6833333333333336</v>
      </c>
    </row>
    <row r="31" spans="1:27" x14ac:dyDescent="0.25">
      <c r="J31" s="33">
        <f>+J30*400</f>
        <v>1473.3333333333335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B0F0"/>
  </sheetPr>
  <dimension ref="A3:AK28"/>
  <sheetViews>
    <sheetView topLeftCell="A4" zoomScale="115" zoomScaleNormal="115" workbookViewId="0">
      <pane xSplit="2" ySplit="4" topLeftCell="M8" activePane="bottomRight" state="frozen"/>
      <selection activeCell="A5" sqref="A5:A6"/>
      <selection pane="topRight" activeCell="A5" sqref="A5:A6"/>
      <selection pane="bottomLeft" activeCell="A5" sqref="A5:A6"/>
      <selection pane="bottomRight" activeCell="B6" sqref="B6:B7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27" width="9.140625" style="1"/>
    <col min="28" max="37" width="0" style="1" hidden="1" customWidth="1"/>
    <col min="38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45641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156">
        <f>SUM(J8:Z8)</f>
        <v>0</v>
      </c>
      <c r="AB8" s="9">
        <f>+J8+O8+Q8+U8</f>
        <v>0</v>
      </c>
      <c r="AC8" s="73">
        <f t="shared" ref="AC8:AC14" si="0">0+(0/60)</f>
        <v>0</v>
      </c>
      <c r="AD8" s="8">
        <v>400</v>
      </c>
      <c r="AE8" s="97">
        <f>+AC8*AD8</f>
        <v>0</v>
      </c>
      <c r="AF8" s="190">
        <f>SUM(AE8:AE14)</f>
        <v>5492.1666666666661</v>
      </c>
      <c r="AG8" s="9">
        <f>+K8+L8+M8+N8+R8+S8+T8+V8+W8+X8+Y8+Z8</f>
        <v>0</v>
      </c>
      <c r="AH8" s="73">
        <f>0+(55/60)</f>
        <v>0.91666666666666663</v>
      </c>
      <c r="AI8" s="8">
        <v>400</v>
      </c>
      <c r="AJ8" s="97">
        <f>+AH8*AI8</f>
        <v>366.66666666666663</v>
      </c>
      <c r="AK8" s="190">
        <f>SUM(AJ8:AJ14)</f>
        <v>1554.1666666666665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51">
        <f t="shared" ref="AA9:AA21" si="1">SUM(J9:Z9)</f>
        <v>0</v>
      </c>
      <c r="AB9" s="9">
        <f t="shared" ref="AB9:AB14" si="2">+J9+O9+Q9+U9</f>
        <v>0</v>
      </c>
      <c r="AC9" s="73">
        <f>0+(50/60)</f>
        <v>0.83333333333333337</v>
      </c>
      <c r="AD9" s="8">
        <v>400</v>
      </c>
      <c r="AE9" s="97">
        <f t="shared" ref="AE9:AE14" si="3">+AC9*AD9</f>
        <v>333.33333333333337</v>
      </c>
      <c r="AF9" s="190"/>
      <c r="AG9" s="9">
        <f t="shared" ref="AG9:AG21" si="4">+K9+L9+M9+N9+R9+S9+T9+V9+W9+X9+Y9+Z9</f>
        <v>0</v>
      </c>
      <c r="AH9" s="73">
        <f>1+(45/60)</f>
        <v>1.75</v>
      </c>
      <c r="AI9" s="8">
        <v>400</v>
      </c>
      <c r="AJ9" s="97">
        <f t="shared" ref="AJ9:AJ14" si="5">+AH9*AI9</f>
        <v>700</v>
      </c>
      <c r="AK9" s="190"/>
    </row>
    <row r="10" spans="1:37" x14ac:dyDescent="0.25">
      <c r="A10" s="164"/>
      <c r="B10" s="108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51">
        <f t="shared" si="1"/>
        <v>0</v>
      </c>
      <c r="AB10" s="9">
        <f t="shared" si="2"/>
        <v>0</v>
      </c>
      <c r="AC10" s="73">
        <f>6+(30/60)</f>
        <v>6.5</v>
      </c>
      <c r="AD10" s="8">
        <v>401</v>
      </c>
      <c r="AE10" s="97">
        <f t="shared" si="3"/>
        <v>2606.5</v>
      </c>
      <c r="AF10" s="190"/>
      <c r="AG10" s="9">
        <f t="shared" si="4"/>
        <v>0</v>
      </c>
      <c r="AH10" s="73">
        <f>0+(1/60)</f>
        <v>1.6666666666666666E-2</v>
      </c>
      <c r="AI10" s="8">
        <v>400</v>
      </c>
      <c r="AJ10" s="97">
        <f t="shared" si="5"/>
        <v>6.666666666666667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51">
        <f t="shared" si="1"/>
        <v>0</v>
      </c>
      <c r="AB11" s="9">
        <f t="shared" si="2"/>
        <v>0</v>
      </c>
      <c r="AC11" s="73">
        <f t="shared" si="0"/>
        <v>0</v>
      </c>
      <c r="AD11" s="8">
        <v>402</v>
      </c>
      <c r="AE11" s="97">
        <f t="shared" si="3"/>
        <v>0</v>
      </c>
      <c r="AF11" s="190"/>
      <c r="AG11" s="9">
        <f t="shared" si="4"/>
        <v>0</v>
      </c>
      <c r="AH11" s="73">
        <f>0+(0/60)</f>
        <v>0</v>
      </c>
      <c r="AI11" s="8">
        <v>400</v>
      </c>
      <c r="AJ11" s="97">
        <f t="shared" si="5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51">
        <f>SUM(J12:Z12)</f>
        <v>0</v>
      </c>
      <c r="AB12" s="9">
        <f t="shared" si="2"/>
        <v>0</v>
      </c>
      <c r="AC12" s="73">
        <f>6+(20/60)</f>
        <v>6.333333333333333</v>
      </c>
      <c r="AD12" s="8">
        <v>403</v>
      </c>
      <c r="AE12" s="97">
        <f t="shared" si="3"/>
        <v>2552.333333333333</v>
      </c>
      <c r="AF12" s="190"/>
      <c r="AG12" s="9">
        <f t="shared" si="4"/>
        <v>0</v>
      </c>
      <c r="AH12" s="73">
        <f>0+(8/60)</f>
        <v>0.13333333333333333</v>
      </c>
      <c r="AI12" s="8">
        <v>400</v>
      </c>
      <c r="AJ12" s="97">
        <f t="shared" si="5"/>
        <v>53.333333333333336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51">
        <f t="shared" si="1"/>
        <v>0</v>
      </c>
      <c r="AB13" s="9">
        <f t="shared" si="2"/>
        <v>0</v>
      </c>
      <c r="AC13" s="73">
        <f t="shared" si="0"/>
        <v>0</v>
      </c>
      <c r="AD13" s="8">
        <v>450</v>
      </c>
      <c r="AE13" s="97">
        <f t="shared" si="3"/>
        <v>0</v>
      </c>
      <c r="AF13" s="190"/>
      <c r="AG13" s="9">
        <f t="shared" si="4"/>
        <v>0</v>
      </c>
      <c r="AH13" s="73">
        <f>0+(57/60)</f>
        <v>0.95</v>
      </c>
      <c r="AI13" s="8">
        <v>450</v>
      </c>
      <c r="AJ13" s="97">
        <f t="shared" si="5"/>
        <v>427.5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157">
        <f t="shared" si="1"/>
        <v>0</v>
      </c>
      <c r="AB14" s="23">
        <f t="shared" si="2"/>
        <v>0</v>
      </c>
      <c r="AC14" s="100">
        <f t="shared" si="0"/>
        <v>0</v>
      </c>
      <c r="AD14" s="22">
        <v>350</v>
      </c>
      <c r="AE14" s="101">
        <f t="shared" si="3"/>
        <v>0</v>
      </c>
      <c r="AF14" s="191"/>
      <c r="AG14" s="23">
        <f t="shared" si="4"/>
        <v>0</v>
      </c>
      <c r="AH14" s="100">
        <f>0+(0/60)</f>
        <v>0</v>
      </c>
      <c r="AI14" s="22">
        <v>350</v>
      </c>
      <c r="AJ14" s="101">
        <f t="shared" si="5"/>
        <v>0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6.0416666666666667E-2</v>
      </c>
      <c r="K15" s="30"/>
      <c r="L15" s="30"/>
      <c r="M15" s="30"/>
      <c r="N15" s="30"/>
      <c r="O15" s="30"/>
      <c r="P15" s="30"/>
      <c r="Q15" s="30"/>
      <c r="R15" s="30"/>
      <c r="S15" s="30"/>
      <c r="T15" s="30">
        <v>0.16666666666666666</v>
      </c>
      <c r="U15" s="30"/>
      <c r="V15" s="30"/>
      <c r="W15" s="30"/>
      <c r="X15" s="30">
        <v>0.15694444444444444</v>
      </c>
      <c r="Y15" s="30"/>
      <c r="Z15" s="30"/>
      <c r="AA15" s="158">
        <f t="shared" si="1"/>
        <v>0.38402777777777775</v>
      </c>
      <c r="AB15" s="20">
        <f>+J15+O15+Q15+U15</f>
        <v>6.0416666666666667E-2</v>
      </c>
      <c r="AC15" s="98">
        <f>0+(0/60)</f>
        <v>0</v>
      </c>
      <c r="AD15" s="19">
        <v>400</v>
      </c>
      <c r="AE15" s="99">
        <f>+AC15*AD15</f>
        <v>0</v>
      </c>
      <c r="AF15" s="192">
        <f>SUM(AE15:AE21)</f>
        <v>995.83333333333337</v>
      </c>
      <c r="AG15" s="20">
        <f t="shared" si="4"/>
        <v>0.32361111111111107</v>
      </c>
      <c r="AH15" s="98">
        <f>2+(26/60)</f>
        <v>2.4333333333333336</v>
      </c>
      <c r="AI15" s="19">
        <v>400</v>
      </c>
      <c r="AJ15" s="99">
        <f>+AH15*AI15</f>
        <v>973.33333333333348</v>
      </c>
      <c r="AK15" s="192">
        <f>SUM(AJ15:AJ21)</f>
        <v>7530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>
        <v>1.2499999999999999E-2</v>
      </c>
      <c r="N16" s="9"/>
      <c r="O16" s="9"/>
      <c r="P16" s="9"/>
      <c r="Q16" s="9"/>
      <c r="R16" s="9"/>
      <c r="S16" s="9"/>
      <c r="T16" s="9">
        <v>3.7499999999999999E-2</v>
      </c>
      <c r="U16" s="9"/>
      <c r="V16" s="9"/>
      <c r="W16" s="9"/>
      <c r="X16" s="9">
        <v>0.17500000000000002</v>
      </c>
      <c r="Y16" s="9"/>
      <c r="Z16" s="9"/>
      <c r="AA16" s="151">
        <f t="shared" si="1"/>
        <v>0.22500000000000001</v>
      </c>
      <c r="AB16" s="9">
        <f t="shared" ref="AB16:AB21" si="6">+J16+O16+Q16+U16</f>
        <v>0</v>
      </c>
      <c r="AC16" s="73">
        <f>0+(20/60)</f>
        <v>0.33333333333333331</v>
      </c>
      <c r="AD16" s="8">
        <v>400</v>
      </c>
      <c r="AE16" s="97">
        <f t="shared" ref="AE16:AE21" si="7">+AC16*AD16</f>
        <v>133.33333333333331</v>
      </c>
      <c r="AF16" s="190"/>
      <c r="AG16" s="9">
        <f t="shared" si="4"/>
        <v>0.22500000000000001</v>
      </c>
      <c r="AH16" s="73">
        <f>3+(45/60)</f>
        <v>3.75</v>
      </c>
      <c r="AI16" s="8">
        <v>400</v>
      </c>
      <c r="AJ16" s="97">
        <f t="shared" ref="AJ16:AJ21" si="8">+AH16*AI16</f>
        <v>1500</v>
      </c>
      <c r="AK16" s="190"/>
    </row>
    <row r="17" spans="1:37" x14ac:dyDescent="0.25">
      <c r="A17" s="164"/>
      <c r="B17" s="108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51">
        <f t="shared" si="1"/>
        <v>0</v>
      </c>
      <c r="AB17" s="9">
        <f t="shared" si="6"/>
        <v>0</v>
      </c>
      <c r="AC17" s="73">
        <f>1+(23/60)</f>
        <v>1.3833333333333333</v>
      </c>
      <c r="AD17" s="8">
        <v>400</v>
      </c>
      <c r="AE17" s="97">
        <f t="shared" si="7"/>
        <v>553.33333333333337</v>
      </c>
      <c r="AF17" s="190"/>
      <c r="AG17" s="9">
        <f t="shared" si="4"/>
        <v>0</v>
      </c>
      <c r="AH17" s="73">
        <f>2+(10/60)</f>
        <v>2.1666666666666665</v>
      </c>
      <c r="AI17" s="8">
        <v>400</v>
      </c>
      <c r="AJ17" s="97">
        <f t="shared" si="8"/>
        <v>866.66666666666663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0.1111111111111111</v>
      </c>
      <c r="K18" s="9"/>
      <c r="L18" s="9"/>
      <c r="M18" s="9"/>
      <c r="N18" s="9">
        <v>6.2499999999999995E-3</v>
      </c>
      <c r="O18" s="9"/>
      <c r="P18" s="9"/>
      <c r="Q18" s="9"/>
      <c r="R18" s="9"/>
      <c r="S18" s="9"/>
      <c r="T18" s="9">
        <v>0.15555555555555556</v>
      </c>
      <c r="U18" s="9"/>
      <c r="V18" s="9"/>
      <c r="W18" s="9"/>
      <c r="X18" s="9"/>
      <c r="Y18" s="9"/>
      <c r="Z18" s="9"/>
      <c r="AA18" s="151">
        <f t="shared" si="1"/>
        <v>0.2729166666666667</v>
      </c>
      <c r="AB18" s="9">
        <f t="shared" si="6"/>
        <v>0.1111111111111111</v>
      </c>
      <c r="AC18" s="73">
        <f t="shared" ref="AC18:AC20" si="9">0+(0/60)</f>
        <v>0</v>
      </c>
      <c r="AD18" s="8">
        <v>400</v>
      </c>
      <c r="AE18" s="97">
        <f t="shared" si="7"/>
        <v>0</v>
      </c>
      <c r="AF18" s="190"/>
      <c r="AG18" s="9">
        <f t="shared" si="4"/>
        <v>0.16180555555555556</v>
      </c>
      <c r="AH18" s="73">
        <f>0+(0/60)</f>
        <v>0</v>
      </c>
      <c r="AI18" s="8">
        <v>400</v>
      </c>
      <c r="AJ18" s="97">
        <f t="shared" si="8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4.8611111111111112E-3</v>
      </c>
      <c r="L19" s="9"/>
      <c r="M19" s="9"/>
      <c r="N19" s="9">
        <v>1.3888888888888888E-2</v>
      </c>
      <c r="O19" s="9"/>
      <c r="P19" s="9"/>
      <c r="Q19" s="9"/>
      <c r="R19" s="9"/>
      <c r="S19" s="9"/>
      <c r="T19" s="9">
        <v>0.15625</v>
      </c>
      <c r="U19" s="9"/>
      <c r="V19" s="9"/>
      <c r="W19" s="9"/>
      <c r="X19" s="9">
        <v>4.8611111111111112E-2</v>
      </c>
      <c r="Y19" s="9"/>
      <c r="Z19" s="9"/>
      <c r="AA19" s="151">
        <f t="shared" si="1"/>
        <v>0.22361111111111109</v>
      </c>
      <c r="AB19" s="9">
        <f t="shared" si="6"/>
        <v>0</v>
      </c>
      <c r="AC19" s="73">
        <f t="shared" si="9"/>
        <v>0</v>
      </c>
      <c r="AD19" s="8">
        <v>400</v>
      </c>
      <c r="AE19" s="97">
        <f t="shared" si="7"/>
        <v>0</v>
      </c>
      <c r="AF19" s="190"/>
      <c r="AG19" s="9">
        <f t="shared" si="4"/>
        <v>0.22361111111111109</v>
      </c>
      <c r="AH19" s="73">
        <f>2+(58/60)</f>
        <v>2.9666666666666668</v>
      </c>
      <c r="AI19" s="8">
        <v>400</v>
      </c>
      <c r="AJ19" s="97">
        <f t="shared" si="8"/>
        <v>1186.6666666666667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7.6388888888888886E-3</v>
      </c>
      <c r="L20" s="9"/>
      <c r="M20" s="9"/>
      <c r="N20" s="9">
        <v>3.472222222222222E-3</v>
      </c>
      <c r="O20" s="9"/>
      <c r="P20" s="9"/>
      <c r="Q20" s="9"/>
      <c r="R20" s="9"/>
      <c r="S20" s="9"/>
      <c r="T20" s="9">
        <v>0.16666666666666666</v>
      </c>
      <c r="U20" s="9"/>
      <c r="V20" s="9"/>
      <c r="W20" s="9"/>
      <c r="X20" s="9"/>
      <c r="Y20" s="9"/>
      <c r="Z20" s="9"/>
      <c r="AA20" s="151">
        <f t="shared" si="1"/>
        <v>0.17777777777777776</v>
      </c>
      <c r="AB20" s="9">
        <f t="shared" si="6"/>
        <v>0</v>
      </c>
      <c r="AC20" s="73">
        <f t="shared" si="9"/>
        <v>0</v>
      </c>
      <c r="AD20" s="8">
        <v>450</v>
      </c>
      <c r="AE20" s="97">
        <f t="shared" si="7"/>
        <v>0</v>
      </c>
      <c r="AF20" s="190"/>
      <c r="AG20" s="9">
        <f t="shared" si="4"/>
        <v>0.17777777777777776</v>
      </c>
      <c r="AH20" s="73">
        <f>4+(1/60)</f>
        <v>4.0166666666666666</v>
      </c>
      <c r="AI20" s="8">
        <v>450</v>
      </c>
      <c r="AJ20" s="97">
        <f t="shared" si="8"/>
        <v>1807.5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1"/>
        <v>0</v>
      </c>
      <c r="AB21" s="102">
        <f t="shared" si="6"/>
        <v>0</v>
      </c>
      <c r="AC21" s="77">
        <f>0+(53/60)</f>
        <v>0.8833333333333333</v>
      </c>
      <c r="AD21" s="103">
        <v>350</v>
      </c>
      <c r="AE21" s="104">
        <f t="shared" si="7"/>
        <v>309.16666666666663</v>
      </c>
      <c r="AF21" s="193"/>
      <c r="AG21" s="102">
        <f t="shared" si="4"/>
        <v>0</v>
      </c>
      <c r="AH21" s="77">
        <f>3+(25/60)</f>
        <v>3.4166666666666665</v>
      </c>
      <c r="AI21" s="103">
        <v>350</v>
      </c>
      <c r="AJ21" s="104">
        <f t="shared" si="8"/>
        <v>1195.8333333333333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4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6.0416666666666667E-2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0.16666666666666666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0.15694444444444444</v>
      </c>
      <c r="Y22" s="27">
        <f t="shared" si="11"/>
        <v>0</v>
      </c>
      <c r="Z22" s="27">
        <f t="shared" si="11"/>
        <v>0</v>
      </c>
      <c r="AA22" s="27">
        <f>SUM(J22:Z22)</f>
        <v>0.38402777777777775</v>
      </c>
      <c r="AB22" s="188" t="s">
        <v>52</v>
      </c>
      <c r="AC22" s="188"/>
      <c r="AD22" s="188"/>
      <c r="AE22" s="188"/>
      <c r="AF22" s="105">
        <f>+AF15+AF8</f>
        <v>6487.9999999999991</v>
      </c>
      <c r="AG22" s="188" t="s">
        <v>53</v>
      </c>
      <c r="AH22" s="188"/>
      <c r="AI22" s="188"/>
      <c r="AJ22" s="188"/>
      <c r="AK22" s="105">
        <f>+AK15+AK8</f>
        <v>9084.1666666666661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</v>
      </c>
      <c r="K23" s="13">
        <f t="shared" si="12"/>
        <v>0</v>
      </c>
      <c r="L23" s="13">
        <f t="shared" si="12"/>
        <v>0</v>
      </c>
      <c r="M23" s="13">
        <f t="shared" si="12"/>
        <v>1.2499999999999999E-2</v>
      </c>
      <c r="N23" s="13">
        <f t="shared" si="12"/>
        <v>0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0</v>
      </c>
      <c r="S23" s="13">
        <f t="shared" si="12"/>
        <v>0</v>
      </c>
      <c r="T23" s="13">
        <f t="shared" si="12"/>
        <v>3.7499999999999999E-2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0.17500000000000002</v>
      </c>
      <c r="Y23" s="13">
        <f t="shared" si="12"/>
        <v>0</v>
      </c>
      <c r="Z23" s="13">
        <f t="shared" si="12"/>
        <v>0</v>
      </c>
      <c r="AA23" s="13">
        <f t="shared" ref="AA23:AA28" si="13">SUM(J23:Z23)</f>
        <v>0.22500000000000001</v>
      </c>
    </row>
    <row r="24" spans="1:37" s="5" customFormat="1" x14ac:dyDescent="0.25">
      <c r="A24" s="168"/>
      <c r="B24" s="150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7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ref="E25:F25" si="16">E11+E18</f>
        <v>0</v>
      </c>
      <c r="F25" s="12">
        <f t="shared" si="16"/>
        <v>0</v>
      </c>
      <c r="G25" s="11"/>
      <c r="H25" s="11"/>
      <c r="I25" s="11"/>
      <c r="J25" s="13">
        <f t="shared" ref="J25:Z25" si="17">J11+J18</f>
        <v>0.1111111111111111</v>
      </c>
      <c r="K25" s="13">
        <f t="shared" si="17"/>
        <v>0</v>
      </c>
      <c r="L25" s="13">
        <f t="shared" si="17"/>
        <v>0</v>
      </c>
      <c r="M25" s="13">
        <f t="shared" si="17"/>
        <v>0</v>
      </c>
      <c r="N25" s="13">
        <f t="shared" si="17"/>
        <v>6.2499999999999995E-3</v>
      </c>
      <c r="O25" s="13">
        <f t="shared" si="17"/>
        <v>0</v>
      </c>
      <c r="P25" s="13">
        <f t="shared" si="17"/>
        <v>0</v>
      </c>
      <c r="Q25" s="13">
        <f t="shared" si="17"/>
        <v>0</v>
      </c>
      <c r="R25" s="13">
        <f t="shared" si="17"/>
        <v>0</v>
      </c>
      <c r="S25" s="13">
        <f t="shared" si="17"/>
        <v>0</v>
      </c>
      <c r="T25" s="13">
        <f t="shared" si="17"/>
        <v>0.15555555555555556</v>
      </c>
      <c r="U25" s="13">
        <f t="shared" si="17"/>
        <v>0</v>
      </c>
      <c r="V25" s="13">
        <f t="shared" si="17"/>
        <v>0</v>
      </c>
      <c r="W25" s="13">
        <f t="shared" si="17"/>
        <v>0</v>
      </c>
      <c r="X25" s="13">
        <f t="shared" si="17"/>
        <v>0</v>
      </c>
      <c r="Y25" s="13">
        <f t="shared" si="17"/>
        <v>0</v>
      </c>
      <c r="Z25" s="13">
        <f t="shared" si="17"/>
        <v>0</v>
      </c>
      <c r="AA25" s="13">
        <f t="shared" si="15"/>
        <v>0.2729166666666667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ref="E26:F28" si="18">E12+E19</f>
        <v>0</v>
      </c>
      <c r="F26" s="12">
        <f t="shared" si="18"/>
        <v>0</v>
      </c>
      <c r="G26" s="11"/>
      <c r="H26" s="11"/>
      <c r="I26" s="11"/>
      <c r="J26" s="13">
        <f t="shared" ref="J26:Z26" si="19">J12+J19</f>
        <v>0</v>
      </c>
      <c r="K26" s="13">
        <f t="shared" si="19"/>
        <v>4.8611111111111112E-3</v>
      </c>
      <c r="L26" s="13">
        <f t="shared" si="19"/>
        <v>0</v>
      </c>
      <c r="M26" s="13">
        <f t="shared" si="19"/>
        <v>0</v>
      </c>
      <c r="N26" s="13">
        <f t="shared" si="19"/>
        <v>1.3888888888888888E-2</v>
      </c>
      <c r="O26" s="13">
        <f t="shared" si="19"/>
        <v>0</v>
      </c>
      <c r="P26" s="13">
        <f t="shared" si="19"/>
        <v>0</v>
      </c>
      <c r="Q26" s="13">
        <f t="shared" si="19"/>
        <v>0</v>
      </c>
      <c r="R26" s="13">
        <f t="shared" si="19"/>
        <v>0</v>
      </c>
      <c r="S26" s="13">
        <f t="shared" si="19"/>
        <v>0</v>
      </c>
      <c r="T26" s="13">
        <f t="shared" si="19"/>
        <v>0.15625</v>
      </c>
      <c r="U26" s="13">
        <f t="shared" si="19"/>
        <v>0</v>
      </c>
      <c r="V26" s="13">
        <f t="shared" si="19"/>
        <v>0</v>
      </c>
      <c r="W26" s="13">
        <f t="shared" si="19"/>
        <v>0</v>
      </c>
      <c r="X26" s="13">
        <f t="shared" si="19"/>
        <v>4.8611111111111112E-2</v>
      </c>
      <c r="Y26" s="13">
        <f t="shared" si="19"/>
        <v>0</v>
      </c>
      <c r="Z26" s="13">
        <f t="shared" si="19"/>
        <v>0</v>
      </c>
      <c r="AA26" s="13">
        <f t="shared" si="15"/>
        <v>0.22361111111111109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8"/>
        <v>0</v>
      </c>
      <c r="F27" s="12">
        <f t="shared" si="18"/>
        <v>0</v>
      </c>
      <c r="G27" s="11"/>
      <c r="H27" s="11"/>
      <c r="I27" s="11"/>
      <c r="J27" s="13">
        <f t="shared" ref="J27:Z27" si="20">J13+J20</f>
        <v>0</v>
      </c>
      <c r="K27" s="13">
        <f t="shared" si="20"/>
        <v>7.6388888888888886E-3</v>
      </c>
      <c r="L27" s="13">
        <f t="shared" si="20"/>
        <v>0</v>
      </c>
      <c r="M27" s="13">
        <f t="shared" si="20"/>
        <v>0</v>
      </c>
      <c r="N27" s="13">
        <f t="shared" si="20"/>
        <v>3.472222222222222E-3</v>
      </c>
      <c r="O27" s="13">
        <f t="shared" si="20"/>
        <v>0</v>
      </c>
      <c r="P27" s="13">
        <f t="shared" si="20"/>
        <v>0</v>
      </c>
      <c r="Q27" s="13">
        <f t="shared" si="20"/>
        <v>0</v>
      </c>
      <c r="R27" s="13">
        <f t="shared" si="20"/>
        <v>0</v>
      </c>
      <c r="S27" s="13">
        <f t="shared" si="20"/>
        <v>0</v>
      </c>
      <c r="T27" s="13">
        <f t="shared" si="20"/>
        <v>0.16666666666666666</v>
      </c>
      <c r="U27" s="13">
        <f t="shared" si="20"/>
        <v>0</v>
      </c>
      <c r="V27" s="13">
        <f t="shared" si="20"/>
        <v>0</v>
      </c>
      <c r="W27" s="13">
        <f t="shared" si="20"/>
        <v>0</v>
      </c>
      <c r="X27" s="13">
        <f t="shared" si="20"/>
        <v>0</v>
      </c>
      <c r="Y27" s="13">
        <f t="shared" si="20"/>
        <v>0</v>
      </c>
      <c r="Z27" s="13">
        <f t="shared" si="20"/>
        <v>0</v>
      </c>
      <c r="AA27" s="13">
        <f t="shared" si="15"/>
        <v>0.17777777777777776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8"/>
        <v>0</v>
      </c>
      <c r="F28" s="16">
        <f t="shared" si="18"/>
        <v>0</v>
      </c>
      <c r="G28" s="15"/>
      <c r="H28" s="15"/>
      <c r="I28" s="15"/>
      <c r="J28" s="17">
        <f>J14+J21</f>
        <v>0</v>
      </c>
      <c r="K28" s="17">
        <f>K14+K21</f>
        <v>0</v>
      </c>
      <c r="L28" s="17">
        <f>L14+L21</f>
        <v>0</v>
      </c>
      <c r="M28" s="17">
        <f t="shared" ref="M28:Z28" si="21">M14+M21</f>
        <v>0</v>
      </c>
      <c r="N28" s="17">
        <f t="shared" si="21"/>
        <v>0</v>
      </c>
      <c r="O28" s="17">
        <f t="shared" si="21"/>
        <v>0</v>
      </c>
      <c r="P28" s="17">
        <f t="shared" si="21"/>
        <v>0</v>
      </c>
      <c r="Q28" s="17">
        <f t="shared" si="21"/>
        <v>0</v>
      </c>
      <c r="R28" s="17">
        <f t="shared" si="21"/>
        <v>0</v>
      </c>
      <c r="S28" s="17">
        <f t="shared" si="21"/>
        <v>0</v>
      </c>
      <c r="T28" s="17">
        <f t="shared" si="21"/>
        <v>0</v>
      </c>
      <c r="U28" s="17">
        <f t="shared" si="21"/>
        <v>0</v>
      </c>
      <c r="V28" s="17">
        <f t="shared" si="21"/>
        <v>0</v>
      </c>
      <c r="W28" s="17">
        <f t="shared" si="21"/>
        <v>0</v>
      </c>
      <c r="X28" s="17">
        <f t="shared" si="21"/>
        <v>0</v>
      </c>
      <c r="Y28" s="17">
        <f t="shared" si="21"/>
        <v>0</v>
      </c>
      <c r="Z28" s="17">
        <f t="shared" si="21"/>
        <v>0</v>
      </c>
      <c r="AA28" s="17">
        <f t="shared" si="13"/>
        <v>0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F0"/>
  </sheetPr>
  <dimension ref="A3:AK28"/>
  <sheetViews>
    <sheetView topLeftCell="A4" zoomScale="115" zoomScaleNormal="115" workbookViewId="0">
      <pane xSplit="2" ySplit="4" topLeftCell="M8" activePane="bottomRight" state="frozen"/>
      <selection activeCell="A5" sqref="A5:A6"/>
      <selection pane="topRight" activeCell="A5" sqref="A5:A6"/>
      <selection pane="bottomLeft" activeCell="A5" sqref="A5:A6"/>
      <selection pane="bottomRight" activeCell="T13" sqref="T13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27" width="9.140625" style="1"/>
    <col min="28" max="37" width="0" style="1" hidden="1" customWidth="1"/>
    <col min="38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45642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0.13819444444444443</v>
      </c>
      <c r="K8" s="20">
        <v>2.7777777777777779E-3</v>
      </c>
      <c r="L8" s="20"/>
      <c r="M8" s="20">
        <v>4.1666666666666666E-3</v>
      </c>
      <c r="N8" s="20">
        <v>7.6388888888888886E-3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0.15277777777777776</v>
      </c>
      <c r="AB8" s="9">
        <f>+J8+O8+Q8+U8</f>
        <v>0.13819444444444443</v>
      </c>
      <c r="AC8" s="73">
        <f>8+(8/60)</f>
        <v>8.1333333333333329</v>
      </c>
      <c r="AD8" s="8">
        <v>400</v>
      </c>
      <c r="AE8" s="97">
        <f>+AC8*AD8</f>
        <v>3253.333333333333</v>
      </c>
      <c r="AF8" s="190">
        <f>SUM(AE8:AE14)</f>
        <v>3253.333333333333</v>
      </c>
      <c r="AG8" s="9">
        <f>+K8+L8+M8+N8+R8+S8+T8+V8+W8+X8+Y8+Z8</f>
        <v>1.4583333333333334E-2</v>
      </c>
      <c r="AH8" s="73">
        <f>0+(3/60)</f>
        <v>0.05</v>
      </c>
      <c r="AI8" s="8">
        <v>400</v>
      </c>
      <c r="AJ8" s="97">
        <f>+AH8*AI8</f>
        <v>20</v>
      </c>
      <c r="AK8" s="190">
        <f>SUM(AJ8:AJ14)</f>
        <v>2193.3333333333335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1.7361111111111112E-2</v>
      </c>
      <c r="K9" s="9">
        <v>6.9444444444444447E-4</v>
      </c>
      <c r="L9" s="9"/>
      <c r="M9" s="9">
        <v>6.9444444444444447E-4</v>
      </c>
      <c r="N9" s="9">
        <v>4.1666666666666666E-3</v>
      </c>
      <c r="O9" s="9"/>
      <c r="P9" s="9"/>
      <c r="Q9" s="9"/>
      <c r="R9" s="9"/>
      <c r="S9" s="9">
        <v>2.0833333333333332E-2</v>
      </c>
      <c r="T9" s="9">
        <v>7.6388888888888886E-3</v>
      </c>
      <c r="U9" s="9"/>
      <c r="V9" s="9"/>
      <c r="W9" s="9"/>
      <c r="X9" s="9"/>
      <c r="Y9" s="9"/>
      <c r="Z9" s="9"/>
      <c r="AA9" s="9">
        <f t="shared" ref="AA9:AA21" si="0">SUM(J9:Z9)</f>
        <v>5.1388888888888887E-2</v>
      </c>
      <c r="AB9" s="9">
        <f t="shared" ref="AB9:AB14" si="1">+J9+O9+Q9+U9</f>
        <v>1.7361111111111112E-2</v>
      </c>
      <c r="AC9" s="73">
        <f t="shared" ref="AC9:AC14" si="2">0+(0/60)</f>
        <v>0</v>
      </c>
      <c r="AD9" s="8">
        <v>400</v>
      </c>
      <c r="AE9" s="97">
        <f t="shared" ref="AE9:AE14" si="3">+AC9*AD9</f>
        <v>0</v>
      </c>
      <c r="AF9" s="190"/>
      <c r="AG9" s="9">
        <f t="shared" ref="AG9:AG21" si="4">+K9+L9+M9+N9+R9+S9+T9+V9+W9+X9+Y9+Z9</f>
        <v>3.4027777777777775E-2</v>
      </c>
      <c r="AH9" s="73">
        <f>2+(3/60)</f>
        <v>2.0499999999999998</v>
      </c>
      <c r="AI9" s="8">
        <v>400</v>
      </c>
      <c r="AJ9" s="97">
        <f t="shared" ref="AJ9:AJ14" si="5">+AH9*AI9</f>
        <v>819.99999999999989</v>
      </c>
      <c r="AK9" s="190"/>
    </row>
    <row r="10" spans="1:37" x14ac:dyDescent="0.25">
      <c r="A10" s="164"/>
      <c r="B10" s="10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si="0"/>
        <v>0</v>
      </c>
      <c r="AB10" s="9">
        <f t="shared" si="1"/>
        <v>0</v>
      </c>
      <c r="AC10" s="73">
        <f t="shared" si="2"/>
        <v>0</v>
      </c>
      <c r="AD10" s="8">
        <v>401</v>
      </c>
      <c r="AE10" s="97">
        <f t="shared" si="3"/>
        <v>0</v>
      </c>
      <c r="AF10" s="190"/>
      <c r="AG10" s="9">
        <f t="shared" si="4"/>
        <v>0</v>
      </c>
      <c r="AH10" s="73">
        <f>0+(19/60)</f>
        <v>0.31666666666666665</v>
      </c>
      <c r="AI10" s="8">
        <v>400</v>
      </c>
      <c r="AJ10" s="97">
        <f t="shared" si="5"/>
        <v>126.66666666666666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3.472222222222222E-3</v>
      </c>
      <c r="N11" s="9">
        <v>2.0833333333333333E-3</v>
      </c>
      <c r="O11" s="9"/>
      <c r="P11" s="9"/>
      <c r="Q11" s="9"/>
      <c r="R11" s="9"/>
      <c r="S11" s="9">
        <v>1.9444444444444445E-2</v>
      </c>
      <c r="T11" s="9">
        <v>3.7499999999999999E-2</v>
      </c>
      <c r="U11" s="9"/>
      <c r="V11" s="9"/>
      <c r="W11" s="9"/>
      <c r="X11" s="9"/>
      <c r="Y11" s="9"/>
      <c r="Z11" s="9"/>
      <c r="AA11" s="151">
        <f t="shared" si="0"/>
        <v>6.25E-2</v>
      </c>
      <c r="AB11" s="9">
        <f t="shared" si="1"/>
        <v>0</v>
      </c>
      <c r="AC11" s="73">
        <f t="shared" si="2"/>
        <v>0</v>
      </c>
      <c r="AD11" s="8">
        <v>402</v>
      </c>
      <c r="AE11" s="97">
        <f t="shared" si="3"/>
        <v>0</v>
      </c>
      <c r="AF11" s="190"/>
      <c r="AG11" s="9">
        <f t="shared" si="4"/>
        <v>6.25E-2</v>
      </c>
      <c r="AH11" s="73">
        <f>0+(0/60)</f>
        <v>0</v>
      </c>
      <c r="AI11" s="8">
        <v>400</v>
      </c>
      <c r="AJ11" s="97">
        <f t="shared" si="5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1.3194444444444444E-2</v>
      </c>
      <c r="L12" s="9">
        <v>6.9444444444444441E-3</v>
      </c>
      <c r="M12" s="9">
        <v>9.7222222222222224E-3</v>
      </c>
      <c r="N12" s="9">
        <v>9.7222222222222224E-3</v>
      </c>
      <c r="O12" s="9"/>
      <c r="P12" s="9"/>
      <c r="Q12" s="9"/>
      <c r="R12" s="9"/>
      <c r="S12" s="9">
        <v>2.1527777777777781E-2</v>
      </c>
      <c r="T12" s="9">
        <v>3.5416666666666666E-2</v>
      </c>
      <c r="U12" s="9"/>
      <c r="V12" s="9"/>
      <c r="W12" s="9"/>
      <c r="X12" s="9"/>
      <c r="Y12" s="9"/>
      <c r="Z12" s="9"/>
      <c r="AA12" s="151">
        <f t="shared" si="0"/>
        <v>9.6527777777777782E-2</v>
      </c>
      <c r="AB12" s="9">
        <f t="shared" si="1"/>
        <v>0</v>
      </c>
      <c r="AC12" s="73">
        <f t="shared" si="2"/>
        <v>0</v>
      </c>
      <c r="AD12" s="8">
        <v>403</v>
      </c>
      <c r="AE12" s="97">
        <f t="shared" si="3"/>
        <v>0</v>
      </c>
      <c r="AF12" s="190"/>
      <c r="AG12" s="9">
        <f t="shared" si="4"/>
        <v>9.6527777777777782E-2</v>
      </c>
      <c r="AH12" s="73">
        <f>0+(50/60)</f>
        <v>0.83333333333333337</v>
      </c>
      <c r="AI12" s="8">
        <v>400</v>
      </c>
      <c r="AJ12" s="97">
        <f t="shared" si="5"/>
        <v>333.33333333333337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3.1944444444444449E-2</v>
      </c>
      <c r="K13" s="9">
        <v>1.7361111111111112E-2</v>
      </c>
      <c r="L13" s="9"/>
      <c r="M13" s="9">
        <v>8.3333333333333332E-3</v>
      </c>
      <c r="N13" s="9">
        <v>7.6388888888888886E-3</v>
      </c>
      <c r="O13" s="9"/>
      <c r="P13" s="9"/>
      <c r="Q13" s="9"/>
      <c r="R13" s="9"/>
      <c r="S13" s="9">
        <v>1.9444444444444445E-2</v>
      </c>
      <c r="T13" s="9">
        <v>2.4999999999999998E-2</v>
      </c>
      <c r="U13" s="9"/>
      <c r="V13" s="9"/>
      <c r="W13" s="9"/>
      <c r="X13" s="9"/>
      <c r="Y13" s="9"/>
      <c r="Z13" s="9"/>
      <c r="AA13" s="151">
        <f t="shared" si="0"/>
        <v>0.10972222222222222</v>
      </c>
      <c r="AB13" s="9">
        <f t="shared" si="1"/>
        <v>3.1944444444444449E-2</v>
      </c>
      <c r="AC13" s="73">
        <f t="shared" si="2"/>
        <v>0</v>
      </c>
      <c r="AD13" s="8">
        <v>450</v>
      </c>
      <c r="AE13" s="97">
        <f t="shared" si="3"/>
        <v>0</v>
      </c>
      <c r="AF13" s="190"/>
      <c r="AG13" s="9">
        <f t="shared" si="4"/>
        <v>7.7777777777777779E-2</v>
      </c>
      <c r="AH13" s="73">
        <f>1+(0/60)</f>
        <v>1</v>
      </c>
      <c r="AI13" s="8">
        <v>450</v>
      </c>
      <c r="AJ13" s="97">
        <f t="shared" si="5"/>
        <v>450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9.0972222222222218E-2</v>
      </c>
      <c r="K14" s="23">
        <v>6.9444444444444447E-4</v>
      </c>
      <c r="L14" s="23"/>
      <c r="M14" s="23">
        <v>9.0277777777777787E-3</v>
      </c>
      <c r="N14" s="23">
        <v>1.1805555555555555E-2</v>
      </c>
      <c r="O14" s="23"/>
      <c r="P14" s="23"/>
      <c r="Q14" s="23"/>
      <c r="R14" s="23"/>
      <c r="S14" s="23">
        <v>2.1527777777777781E-2</v>
      </c>
      <c r="T14" s="23"/>
      <c r="U14" s="23">
        <v>9.0277777777777787E-3</v>
      </c>
      <c r="V14" s="23"/>
      <c r="W14" s="23"/>
      <c r="X14" s="23"/>
      <c r="Y14" s="23"/>
      <c r="Z14" s="23"/>
      <c r="AA14" s="157">
        <f t="shared" si="0"/>
        <v>0.14305555555555555</v>
      </c>
      <c r="AB14" s="23">
        <f t="shared" si="1"/>
        <v>9.9999999999999992E-2</v>
      </c>
      <c r="AC14" s="100">
        <f t="shared" si="2"/>
        <v>0</v>
      </c>
      <c r="AD14" s="22">
        <v>350</v>
      </c>
      <c r="AE14" s="101">
        <f t="shared" si="3"/>
        <v>0</v>
      </c>
      <c r="AF14" s="191"/>
      <c r="AG14" s="23">
        <f t="shared" si="4"/>
        <v>4.3055555555555555E-2</v>
      </c>
      <c r="AH14" s="100">
        <f>1+(16/60)</f>
        <v>1.2666666666666666</v>
      </c>
      <c r="AI14" s="22">
        <v>350</v>
      </c>
      <c r="AJ14" s="101">
        <f t="shared" si="5"/>
        <v>443.33333333333331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0.4152777777777778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158">
        <f t="shared" si="0"/>
        <v>0.4152777777777778</v>
      </c>
      <c r="AB15" s="20">
        <f>+J15+O15+Q15+U15</f>
        <v>0.4152777777777778</v>
      </c>
      <c r="AC15" s="98">
        <f>2+(0/60)</f>
        <v>2</v>
      </c>
      <c r="AD15" s="19">
        <v>400</v>
      </c>
      <c r="AE15" s="99">
        <f>+AC15*AD15</f>
        <v>800</v>
      </c>
      <c r="AF15" s="192">
        <f>SUM(AE15:AE21)</f>
        <v>3171.6666666666665</v>
      </c>
      <c r="AG15" s="20">
        <f t="shared" si="4"/>
        <v>0</v>
      </c>
      <c r="AH15" s="98">
        <f>2+(18/60)</f>
        <v>2.2999999999999998</v>
      </c>
      <c r="AI15" s="19">
        <v>400</v>
      </c>
      <c r="AJ15" s="99">
        <f>+AH15*AI15</f>
        <v>919.99999999999989</v>
      </c>
      <c r="AK15" s="192">
        <f>SUM(AJ15:AJ21)</f>
        <v>2154.166666666667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0.23958333333333334</v>
      </c>
      <c r="K16" s="9">
        <v>1.5972222222222224E-2</v>
      </c>
      <c r="L16" s="9"/>
      <c r="M16" s="9"/>
      <c r="N16" s="9">
        <v>9.0277777777777787E-3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51">
        <f t="shared" si="0"/>
        <v>0.26458333333333339</v>
      </c>
      <c r="AB16" s="9">
        <f t="shared" ref="AB16:AB21" si="6">+J16+O16+Q16+U16</f>
        <v>0.23958333333333334</v>
      </c>
      <c r="AC16" s="73">
        <f>0+(0/60)</f>
        <v>0</v>
      </c>
      <c r="AD16" s="8">
        <v>400</v>
      </c>
      <c r="AE16" s="97">
        <f t="shared" ref="AE16:AE21" si="7">+AC16*AD16</f>
        <v>0</v>
      </c>
      <c r="AF16" s="190"/>
      <c r="AG16" s="9">
        <f t="shared" si="4"/>
        <v>2.5000000000000001E-2</v>
      </c>
      <c r="AH16" s="73">
        <f>0+(30/60)</f>
        <v>0.5</v>
      </c>
      <c r="AI16" s="8">
        <v>400</v>
      </c>
      <c r="AJ16" s="97">
        <f t="shared" ref="AJ16:AJ21" si="8">+AH16*AI16</f>
        <v>200</v>
      </c>
      <c r="AK16" s="190"/>
    </row>
    <row r="17" spans="1:37" x14ac:dyDescent="0.25">
      <c r="A17" s="164"/>
      <c r="B17" s="10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51">
        <f t="shared" si="0"/>
        <v>0</v>
      </c>
      <c r="AB17" s="9">
        <f t="shared" si="6"/>
        <v>0</v>
      </c>
      <c r="AC17" s="73">
        <f>0+(0/60)</f>
        <v>0</v>
      </c>
      <c r="AD17" s="8">
        <v>400</v>
      </c>
      <c r="AE17" s="97">
        <f t="shared" si="7"/>
        <v>0</v>
      </c>
      <c r="AF17" s="190"/>
      <c r="AG17" s="9">
        <f t="shared" si="4"/>
        <v>0</v>
      </c>
      <c r="AH17" s="73">
        <f>0+(46/60)</f>
        <v>0.76666666666666672</v>
      </c>
      <c r="AI17" s="8">
        <v>400</v>
      </c>
      <c r="AJ17" s="97">
        <f t="shared" si="8"/>
        <v>306.66666666666669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4.2361111111111106E-2</v>
      </c>
      <c r="K18" s="9">
        <v>2.0833333333333333E-3</v>
      </c>
      <c r="L18" s="9"/>
      <c r="M18" s="9">
        <v>8.3333333333333332E-3</v>
      </c>
      <c r="N18" s="9">
        <v>9.7222222222222224E-3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51">
        <f t="shared" si="0"/>
        <v>6.2499999999999993E-2</v>
      </c>
      <c r="AB18" s="9">
        <f t="shared" si="6"/>
        <v>4.2361111111111106E-2</v>
      </c>
      <c r="AC18" s="73">
        <f t="shared" ref="AC18:AC19" si="9">0+(0/60)</f>
        <v>0</v>
      </c>
      <c r="AD18" s="8">
        <v>400</v>
      </c>
      <c r="AE18" s="97">
        <f t="shared" si="7"/>
        <v>0</v>
      </c>
      <c r="AF18" s="190"/>
      <c r="AG18" s="9">
        <f t="shared" si="4"/>
        <v>2.0138888888888887E-2</v>
      </c>
      <c r="AH18" s="73">
        <f>0+(0/60)</f>
        <v>0</v>
      </c>
      <c r="AI18" s="8">
        <v>400</v>
      </c>
      <c r="AJ18" s="97">
        <f t="shared" si="8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3.7499999999999999E-2</v>
      </c>
      <c r="K19" s="9">
        <v>1.0416666666666666E-2</v>
      </c>
      <c r="L19" s="9"/>
      <c r="M19" s="9">
        <v>1.3888888888888889E-3</v>
      </c>
      <c r="N19" s="9">
        <v>7.6388888888888886E-3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51">
        <f t="shared" si="0"/>
        <v>5.6944444444444443E-2</v>
      </c>
      <c r="AB19" s="9">
        <f t="shared" si="6"/>
        <v>3.7499999999999999E-2</v>
      </c>
      <c r="AC19" s="73">
        <f t="shared" si="9"/>
        <v>0</v>
      </c>
      <c r="AD19" s="8">
        <v>400</v>
      </c>
      <c r="AE19" s="97">
        <f t="shared" si="7"/>
        <v>0</v>
      </c>
      <c r="AF19" s="190"/>
      <c r="AG19" s="9">
        <f t="shared" si="4"/>
        <v>1.9444444444444445E-2</v>
      </c>
      <c r="AH19" s="73">
        <f>0+(43/60)</f>
        <v>0.71666666666666667</v>
      </c>
      <c r="AI19" s="8">
        <v>400</v>
      </c>
      <c r="AJ19" s="97">
        <f t="shared" si="8"/>
        <v>286.66666666666669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>
        <v>4.7916666666666663E-2</v>
      </c>
      <c r="K20" s="9">
        <v>2.0833333333333333E-3</v>
      </c>
      <c r="L20" s="9"/>
      <c r="M20" s="9">
        <v>6.2499999999999995E-3</v>
      </c>
      <c r="N20" s="9">
        <v>3.472222222222222E-3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51">
        <f t="shared" si="0"/>
        <v>5.9722222222222218E-2</v>
      </c>
      <c r="AB20" s="9">
        <f t="shared" si="6"/>
        <v>4.7916666666666663E-2</v>
      </c>
      <c r="AC20" s="73">
        <f>1+(54/60)</f>
        <v>1.9</v>
      </c>
      <c r="AD20" s="8">
        <v>450</v>
      </c>
      <c r="AE20" s="97">
        <f t="shared" si="7"/>
        <v>855</v>
      </c>
      <c r="AF20" s="190"/>
      <c r="AG20" s="9">
        <f t="shared" si="4"/>
        <v>1.1805555555555555E-2</v>
      </c>
      <c r="AH20" s="73">
        <f>0+(51/60)</f>
        <v>0.85</v>
      </c>
      <c r="AI20" s="8">
        <v>450</v>
      </c>
      <c r="AJ20" s="97">
        <f t="shared" si="8"/>
        <v>382.5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>
        <v>0.15625</v>
      </c>
      <c r="K21" s="23">
        <v>1.3888888888888889E-3</v>
      </c>
      <c r="L21" s="23"/>
      <c r="M21" s="23">
        <v>1.3888888888888889E-3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157">
        <f t="shared" si="0"/>
        <v>0.15902777777777777</v>
      </c>
      <c r="AB21" s="102">
        <f t="shared" si="6"/>
        <v>0.15625</v>
      </c>
      <c r="AC21" s="77">
        <f>4+(20/60)</f>
        <v>4.333333333333333</v>
      </c>
      <c r="AD21" s="103">
        <v>350</v>
      </c>
      <c r="AE21" s="104">
        <f t="shared" si="7"/>
        <v>1516.6666666666665</v>
      </c>
      <c r="AF21" s="193"/>
      <c r="AG21" s="102">
        <f t="shared" si="4"/>
        <v>2.7777777777777779E-3</v>
      </c>
      <c r="AH21" s="73">
        <f>0+(10/60)</f>
        <v>0.16666666666666666</v>
      </c>
      <c r="AI21" s="103">
        <v>350</v>
      </c>
      <c r="AJ21" s="104">
        <f t="shared" si="8"/>
        <v>58.333333333333329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0">E8+E15</f>
        <v>0</v>
      </c>
      <c r="F22" s="26">
        <f t="shared" si="10"/>
        <v>0</v>
      </c>
      <c r="G22" s="25"/>
      <c r="H22" s="25"/>
      <c r="I22" s="25"/>
      <c r="J22" s="27">
        <f t="shared" ref="J22:Z22" si="11">J8+J15</f>
        <v>0.55347222222222225</v>
      </c>
      <c r="K22" s="27">
        <f t="shared" si="11"/>
        <v>2.7777777777777779E-3</v>
      </c>
      <c r="L22" s="27">
        <f t="shared" si="11"/>
        <v>0</v>
      </c>
      <c r="M22" s="27">
        <f t="shared" si="11"/>
        <v>4.1666666666666666E-3</v>
      </c>
      <c r="N22" s="27">
        <f t="shared" si="11"/>
        <v>7.6388888888888886E-3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>SUM(J22:Z22)</f>
        <v>0.56805555555555554</v>
      </c>
      <c r="AB22" s="188" t="s">
        <v>52</v>
      </c>
      <c r="AC22" s="188"/>
      <c r="AD22" s="188"/>
      <c r="AE22" s="188"/>
      <c r="AF22" s="105">
        <f>+AF15+AF8</f>
        <v>6425</v>
      </c>
      <c r="AG22" s="188" t="s">
        <v>53</v>
      </c>
      <c r="AH22" s="188"/>
      <c r="AI22" s="188"/>
      <c r="AJ22" s="188"/>
      <c r="AK22" s="105">
        <f>+AK15+AK8</f>
        <v>4347.5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0"/>
        <v>0</v>
      </c>
      <c r="F23" s="12">
        <f t="shared" si="10"/>
        <v>0</v>
      </c>
      <c r="G23" s="11"/>
      <c r="H23" s="11"/>
      <c r="I23" s="11"/>
      <c r="J23" s="13">
        <f t="shared" ref="J23:Z23" si="12">J9+J16</f>
        <v>0.25694444444444448</v>
      </c>
      <c r="K23" s="13">
        <f t="shared" si="12"/>
        <v>1.666666666666667E-2</v>
      </c>
      <c r="L23" s="13">
        <f t="shared" si="12"/>
        <v>0</v>
      </c>
      <c r="M23" s="13">
        <f t="shared" si="12"/>
        <v>6.9444444444444447E-4</v>
      </c>
      <c r="N23" s="13">
        <f t="shared" si="12"/>
        <v>1.3194444444444446E-2</v>
      </c>
      <c r="O23" s="13">
        <f t="shared" si="12"/>
        <v>0</v>
      </c>
      <c r="P23" s="13">
        <f t="shared" si="12"/>
        <v>0</v>
      </c>
      <c r="Q23" s="13">
        <f t="shared" si="12"/>
        <v>0</v>
      </c>
      <c r="R23" s="13">
        <f t="shared" si="12"/>
        <v>0</v>
      </c>
      <c r="S23" s="13">
        <f t="shared" si="12"/>
        <v>2.0833333333333332E-2</v>
      </c>
      <c r="T23" s="13">
        <f t="shared" si="12"/>
        <v>7.6388888888888886E-3</v>
      </c>
      <c r="U23" s="13">
        <f t="shared" si="12"/>
        <v>0</v>
      </c>
      <c r="V23" s="13">
        <f t="shared" si="12"/>
        <v>0</v>
      </c>
      <c r="W23" s="13">
        <f t="shared" si="12"/>
        <v>0</v>
      </c>
      <c r="X23" s="13">
        <f t="shared" si="12"/>
        <v>0</v>
      </c>
      <c r="Y23" s="13">
        <f t="shared" si="12"/>
        <v>0</v>
      </c>
      <c r="Z23" s="13">
        <f t="shared" si="12"/>
        <v>0</v>
      </c>
      <c r="AA23" s="13">
        <f t="shared" ref="AA23" si="13">SUM(J23:Z23)</f>
        <v>0.31597222222222221</v>
      </c>
    </row>
    <row r="24" spans="1:37" s="5" customFormat="1" x14ac:dyDescent="0.25">
      <c r="A24" s="168"/>
      <c r="B24" s="110" t="s">
        <v>59</v>
      </c>
      <c r="C24" s="11"/>
      <c r="D24" s="11"/>
      <c r="E24" s="12">
        <f t="shared" si="10"/>
        <v>0</v>
      </c>
      <c r="F24" s="12">
        <f t="shared" si="10"/>
        <v>0</v>
      </c>
      <c r="G24" s="11"/>
      <c r="H24" s="11"/>
      <c r="I24" s="11"/>
      <c r="J24" s="13">
        <f t="shared" ref="J24:Z24" si="14">J10+J17</f>
        <v>0</v>
      </c>
      <c r="K24" s="13">
        <f t="shared" si="14"/>
        <v>0</v>
      </c>
      <c r="L24" s="13">
        <f t="shared" si="14"/>
        <v>0</v>
      </c>
      <c r="M24" s="13">
        <f t="shared" si="14"/>
        <v>0</v>
      </c>
      <c r="N24" s="13">
        <f t="shared" si="14"/>
        <v>0</v>
      </c>
      <c r="O24" s="13">
        <f t="shared" si="14"/>
        <v>0</v>
      </c>
      <c r="P24" s="13">
        <f t="shared" si="14"/>
        <v>0</v>
      </c>
      <c r="Q24" s="13">
        <f t="shared" si="14"/>
        <v>0</v>
      </c>
      <c r="R24" s="13">
        <f t="shared" si="14"/>
        <v>0</v>
      </c>
      <c r="S24" s="13">
        <f t="shared" si="14"/>
        <v>0</v>
      </c>
      <c r="T24" s="13">
        <f t="shared" si="14"/>
        <v>0</v>
      </c>
      <c r="U24" s="13">
        <f t="shared" si="14"/>
        <v>0</v>
      </c>
      <c r="V24" s="13">
        <f t="shared" si="14"/>
        <v>0</v>
      </c>
      <c r="W24" s="13">
        <f t="shared" si="14"/>
        <v>0</v>
      </c>
      <c r="X24" s="13">
        <f t="shared" si="14"/>
        <v>0</v>
      </c>
      <c r="Y24" s="13">
        <f t="shared" si="14"/>
        <v>0</v>
      </c>
      <c r="Z24" s="13">
        <f t="shared" si="14"/>
        <v>0</v>
      </c>
      <c r="AA24" s="13">
        <f t="shared" ref="AA24:AA28" si="15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0"/>
        <v>0</v>
      </c>
      <c r="F25" s="12">
        <f t="shared" si="10"/>
        <v>0</v>
      </c>
      <c r="G25" s="11"/>
      <c r="H25" s="11"/>
      <c r="I25" s="11"/>
      <c r="J25" s="13">
        <f t="shared" ref="J25:Z25" si="16">J11+J18</f>
        <v>4.2361111111111106E-2</v>
      </c>
      <c r="K25" s="13">
        <f t="shared" si="16"/>
        <v>2.0833333333333333E-3</v>
      </c>
      <c r="L25" s="13">
        <f t="shared" si="16"/>
        <v>0</v>
      </c>
      <c r="M25" s="13">
        <f t="shared" si="16"/>
        <v>1.1805555555555555E-2</v>
      </c>
      <c r="N25" s="13">
        <f t="shared" si="16"/>
        <v>1.1805555555555555E-2</v>
      </c>
      <c r="O25" s="13">
        <f t="shared" si="16"/>
        <v>0</v>
      </c>
      <c r="P25" s="13">
        <f t="shared" si="16"/>
        <v>0</v>
      </c>
      <c r="Q25" s="13">
        <f t="shared" si="16"/>
        <v>0</v>
      </c>
      <c r="R25" s="13">
        <f t="shared" si="16"/>
        <v>0</v>
      </c>
      <c r="S25" s="13">
        <f t="shared" si="16"/>
        <v>1.9444444444444445E-2</v>
      </c>
      <c r="T25" s="13">
        <f t="shared" si="16"/>
        <v>3.7499999999999999E-2</v>
      </c>
      <c r="U25" s="13">
        <f t="shared" si="16"/>
        <v>0</v>
      </c>
      <c r="V25" s="13">
        <f t="shared" si="16"/>
        <v>0</v>
      </c>
      <c r="W25" s="13">
        <f t="shared" si="16"/>
        <v>0</v>
      </c>
      <c r="X25" s="13">
        <f t="shared" si="16"/>
        <v>0</v>
      </c>
      <c r="Y25" s="13">
        <f t="shared" si="16"/>
        <v>0</v>
      </c>
      <c r="Z25" s="13">
        <f t="shared" si="16"/>
        <v>0</v>
      </c>
      <c r="AA25" s="13">
        <f t="shared" si="15"/>
        <v>0.125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0"/>
        <v>0</v>
      </c>
      <c r="F26" s="12">
        <f t="shared" si="10"/>
        <v>0</v>
      </c>
      <c r="G26" s="11"/>
      <c r="H26" s="11"/>
      <c r="I26" s="11"/>
      <c r="J26" s="13">
        <f t="shared" ref="J26:Z26" si="17">J12+J19</f>
        <v>3.7499999999999999E-2</v>
      </c>
      <c r="K26" s="13">
        <f t="shared" si="17"/>
        <v>2.361111111111111E-2</v>
      </c>
      <c r="L26" s="13">
        <f t="shared" si="17"/>
        <v>6.9444444444444441E-3</v>
      </c>
      <c r="M26" s="13">
        <f t="shared" si="17"/>
        <v>1.1111111111111112E-2</v>
      </c>
      <c r="N26" s="13">
        <f t="shared" si="17"/>
        <v>1.7361111111111112E-2</v>
      </c>
      <c r="O26" s="13">
        <f t="shared" si="17"/>
        <v>0</v>
      </c>
      <c r="P26" s="13">
        <f t="shared" si="17"/>
        <v>0</v>
      </c>
      <c r="Q26" s="13">
        <f t="shared" si="17"/>
        <v>0</v>
      </c>
      <c r="R26" s="13">
        <f t="shared" si="17"/>
        <v>0</v>
      </c>
      <c r="S26" s="13">
        <f t="shared" si="17"/>
        <v>2.1527777777777781E-2</v>
      </c>
      <c r="T26" s="13">
        <f t="shared" si="17"/>
        <v>3.5416666666666666E-2</v>
      </c>
      <c r="U26" s="13">
        <f t="shared" si="17"/>
        <v>0</v>
      </c>
      <c r="V26" s="13">
        <f t="shared" si="17"/>
        <v>0</v>
      </c>
      <c r="W26" s="13">
        <f t="shared" si="17"/>
        <v>0</v>
      </c>
      <c r="X26" s="13">
        <f t="shared" si="17"/>
        <v>0</v>
      </c>
      <c r="Y26" s="13">
        <f t="shared" si="17"/>
        <v>0</v>
      </c>
      <c r="Z26" s="13">
        <f t="shared" si="17"/>
        <v>0</v>
      </c>
      <c r="AA26" s="13">
        <f t="shared" si="15"/>
        <v>0.15347222222222223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0"/>
        <v>0</v>
      </c>
      <c r="F27" s="12">
        <f t="shared" si="10"/>
        <v>0</v>
      </c>
      <c r="G27" s="11"/>
      <c r="H27" s="11"/>
      <c r="I27" s="11"/>
      <c r="J27" s="13">
        <f t="shared" ref="J27:Z27" si="18">J13+J20</f>
        <v>7.9861111111111105E-2</v>
      </c>
      <c r="K27" s="13">
        <f t="shared" si="18"/>
        <v>1.9444444444444445E-2</v>
      </c>
      <c r="L27" s="13">
        <f t="shared" si="18"/>
        <v>0</v>
      </c>
      <c r="M27" s="13">
        <f t="shared" si="18"/>
        <v>1.4583333333333334E-2</v>
      </c>
      <c r="N27" s="13">
        <f t="shared" si="18"/>
        <v>1.111111111111111E-2</v>
      </c>
      <c r="O27" s="13">
        <f t="shared" si="18"/>
        <v>0</v>
      </c>
      <c r="P27" s="13">
        <f t="shared" si="18"/>
        <v>0</v>
      </c>
      <c r="Q27" s="13">
        <f t="shared" si="18"/>
        <v>0</v>
      </c>
      <c r="R27" s="13">
        <f t="shared" si="18"/>
        <v>0</v>
      </c>
      <c r="S27" s="13">
        <f t="shared" si="18"/>
        <v>1.9444444444444445E-2</v>
      </c>
      <c r="T27" s="13">
        <f t="shared" si="18"/>
        <v>2.4999999999999998E-2</v>
      </c>
      <c r="U27" s="13">
        <f t="shared" si="18"/>
        <v>0</v>
      </c>
      <c r="V27" s="13">
        <f t="shared" si="18"/>
        <v>0</v>
      </c>
      <c r="W27" s="13">
        <f t="shared" si="18"/>
        <v>0</v>
      </c>
      <c r="X27" s="13">
        <f t="shared" si="18"/>
        <v>0</v>
      </c>
      <c r="Y27" s="13">
        <f t="shared" si="18"/>
        <v>0</v>
      </c>
      <c r="Z27" s="13">
        <f t="shared" si="18"/>
        <v>0</v>
      </c>
      <c r="AA27" s="13">
        <f t="shared" si="15"/>
        <v>0.16944444444444443</v>
      </c>
    </row>
    <row r="28" spans="1:37" s="5" customFormat="1" x14ac:dyDescent="0.25">
      <c r="A28" s="169"/>
      <c r="B28" s="111" t="s">
        <v>35</v>
      </c>
      <c r="C28" s="15"/>
      <c r="D28" s="15"/>
      <c r="E28" s="16">
        <f t="shared" si="10"/>
        <v>0</v>
      </c>
      <c r="F28" s="16">
        <f t="shared" si="10"/>
        <v>0</v>
      </c>
      <c r="G28" s="15"/>
      <c r="H28" s="15"/>
      <c r="I28" s="15"/>
      <c r="J28" s="17">
        <f t="shared" ref="J28:Z28" si="19">J14+J21</f>
        <v>0.24722222222222223</v>
      </c>
      <c r="K28" s="17">
        <f t="shared" si="19"/>
        <v>2.0833333333333333E-3</v>
      </c>
      <c r="L28" s="17">
        <f t="shared" si="19"/>
        <v>0</v>
      </c>
      <c r="M28" s="17">
        <f t="shared" si="19"/>
        <v>1.0416666666666668E-2</v>
      </c>
      <c r="N28" s="17">
        <f t="shared" si="19"/>
        <v>1.1805555555555555E-2</v>
      </c>
      <c r="O28" s="17">
        <f t="shared" si="19"/>
        <v>0</v>
      </c>
      <c r="P28" s="17">
        <f t="shared" si="19"/>
        <v>0</v>
      </c>
      <c r="Q28" s="17">
        <f t="shared" si="19"/>
        <v>0</v>
      </c>
      <c r="R28" s="17">
        <f t="shared" si="19"/>
        <v>0</v>
      </c>
      <c r="S28" s="17">
        <f t="shared" si="19"/>
        <v>2.1527777777777781E-2</v>
      </c>
      <c r="T28" s="17">
        <f t="shared" si="19"/>
        <v>0</v>
      </c>
      <c r="U28" s="17">
        <f t="shared" si="19"/>
        <v>9.0277777777777787E-3</v>
      </c>
      <c r="V28" s="17">
        <f t="shared" si="19"/>
        <v>0</v>
      </c>
      <c r="W28" s="17">
        <f t="shared" si="19"/>
        <v>0</v>
      </c>
      <c r="X28" s="17">
        <f t="shared" si="19"/>
        <v>0</v>
      </c>
      <c r="Y28" s="17">
        <f t="shared" si="19"/>
        <v>0</v>
      </c>
      <c r="Z28" s="17">
        <f t="shared" si="19"/>
        <v>0</v>
      </c>
      <c r="AA28" s="17">
        <f t="shared" si="15"/>
        <v>0.30208333333333337</v>
      </c>
    </row>
  </sheetData>
  <mergeCells count="21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  <mergeCell ref="AB22:AE22"/>
    <mergeCell ref="AG22:AJ22"/>
    <mergeCell ref="AB7:AF7"/>
    <mergeCell ref="AG7:AK7"/>
    <mergeCell ref="AF8:AF14"/>
    <mergeCell ref="AK8:AK14"/>
    <mergeCell ref="AF15:AF21"/>
    <mergeCell ref="AK15:AK2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B0F0"/>
  </sheetPr>
  <dimension ref="A3:AK30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L14" sqref="L14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45643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8.3333333333333329E-2</v>
      </c>
      <c r="K8" s="20">
        <v>2.0833333333333333E-3</v>
      </c>
      <c r="L8" s="20"/>
      <c r="M8" s="20">
        <v>5.5555555555555558E-3</v>
      </c>
      <c r="N8" s="20">
        <v>6.9444444444444441E-3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9.7916666666666666E-2</v>
      </c>
      <c r="AB8" s="9">
        <f>+J8+O8+Q8+U8</f>
        <v>8.3333333333333329E-2</v>
      </c>
      <c r="AC8" s="73">
        <f>0+(0/60)</f>
        <v>0</v>
      </c>
      <c r="AD8" s="8">
        <v>400</v>
      </c>
      <c r="AE8" s="97">
        <f>+AC8*AD8</f>
        <v>0</v>
      </c>
      <c r="AF8" s="190">
        <f>SUM(AE8:AE14)</f>
        <v>1619.35</v>
      </c>
      <c r="AG8" s="9">
        <f>+K8+L8+M8+N8+R8+S8+T8+V8+W8+X8+Y8+Z8</f>
        <v>1.4583333333333334E-2</v>
      </c>
      <c r="AH8" s="73">
        <f>0+(13/60)</f>
        <v>0.21666666666666667</v>
      </c>
      <c r="AI8" s="8">
        <v>400</v>
      </c>
      <c r="AJ8" s="97">
        <f>+AH8*AI8</f>
        <v>86.666666666666671</v>
      </c>
      <c r="AK8" s="190">
        <f>SUM(AJ8:AJ14)</f>
        <v>2788.333333333333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6.9444444444444441E-3</v>
      </c>
      <c r="K9" s="9">
        <v>2.0833333333333333E-3</v>
      </c>
      <c r="L9" s="9"/>
      <c r="M9" s="9">
        <v>6.9444444444444441E-3</v>
      </c>
      <c r="N9" s="9">
        <v>6.9444444444444441E-3</v>
      </c>
      <c r="O9" s="9">
        <v>4.1666666666666666E-3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2.7083333333333331E-2</v>
      </c>
      <c r="AB9" s="9">
        <f t="shared" ref="AB9:AB14" si="1">+J9+O9+Q9+U9</f>
        <v>1.111111111111111E-2</v>
      </c>
      <c r="AC9" s="73">
        <f>0+(5/60)</f>
        <v>8.3333333333333329E-2</v>
      </c>
      <c r="AD9" s="8">
        <v>400</v>
      </c>
      <c r="AE9" s="97">
        <f t="shared" ref="AE9:AE14" si="2">+AC9*AD9</f>
        <v>33.333333333333329</v>
      </c>
      <c r="AF9" s="190"/>
      <c r="AG9" s="9">
        <f t="shared" ref="AG9:AG21" si="3">+K9+L9+M9+N9+R9+S9+T9+V9+W9+X9+Y9+Z9</f>
        <v>1.5972222222222221E-2</v>
      </c>
      <c r="AH9" s="73">
        <f>0+(33/60)</f>
        <v>0.55000000000000004</v>
      </c>
      <c r="AI9" s="8">
        <v>400</v>
      </c>
      <c r="AJ9" s="97">
        <f t="shared" ref="AJ9:AJ14" si="4">+AH9*AI9</f>
        <v>220.00000000000003</v>
      </c>
      <c r="AK9" s="190"/>
    </row>
    <row r="10" spans="1:37" x14ac:dyDescent="0.25">
      <c r="A10" s="164"/>
      <c r="B10" s="147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5">SUM(J10:Z10)</f>
        <v>0</v>
      </c>
      <c r="AB10" s="9">
        <f t="shared" si="1"/>
        <v>0</v>
      </c>
      <c r="AC10" s="73">
        <f>2+(41/60)</f>
        <v>2.6833333333333336</v>
      </c>
      <c r="AD10" s="8">
        <v>401</v>
      </c>
      <c r="AE10" s="97">
        <f t="shared" si="2"/>
        <v>1076.0166666666667</v>
      </c>
      <c r="AF10" s="190"/>
      <c r="AG10" s="9">
        <f t="shared" si="3"/>
        <v>0</v>
      </c>
      <c r="AH10" s="73">
        <f>0+(15/60)</f>
        <v>0.25</v>
      </c>
      <c r="AI10" s="8">
        <v>400</v>
      </c>
      <c r="AJ10" s="97">
        <f t="shared" si="4"/>
        <v>100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9.0277777777777776E-2</v>
      </c>
      <c r="K11" s="9">
        <v>2.0833333333333333E-3</v>
      </c>
      <c r="L11" s="9"/>
      <c r="M11" s="9">
        <v>1.3888888888888889E-3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9.375E-2</v>
      </c>
      <c r="AB11" s="9">
        <f t="shared" si="1"/>
        <v>9.0277777777777776E-2</v>
      </c>
      <c r="AC11" s="73">
        <f t="shared" ref="AC11:AC14" si="6">0+(0/60)</f>
        <v>0</v>
      </c>
      <c r="AD11" s="8">
        <v>402</v>
      </c>
      <c r="AE11" s="97">
        <f t="shared" si="2"/>
        <v>0</v>
      </c>
      <c r="AF11" s="190"/>
      <c r="AG11" s="9">
        <f t="shared" si="3"/>
        <v>3.472222222222222E-3</v>
      </c>
      <c r="AH11" s="73">
        <f>0+(0/60)</f>
        <v>0</v>
      </c>
      <c r="AI11" s="8">
        <v>400</v>
      </c>
      <c r="AJ11" s="97">
        <f t="shared" si="4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>
        <v>1.3888888888888889E-3</v>
      </c>
      <c r="N12" s="9">
        <v>6.9444444444444441E-3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8.3333333333333332E-3</v>
      </c>
      <c r="AB12" s="9">
        <f t="shared" si="1"/>
        <v>0</v>
      </c>
      <c r="AC12" s="73">
        <f t="shared" si="6"/>
        <v>0</v>
      </c>
      <c r="AD12" s="8">
        <v>403</v>
      </c>
      <c r="AE12" s="97">
        <f t="shared" si="2"/>
        <v>0</v>
      </c>
      <c r="AF12" s="190"/>
      <c r="AG12" s="9">
        <f t="shared" si="3"/>
        <v>8.3333333333333332E-3</v>
      </c>
      <c r="AH12" s="73">
        <f>0+(0/60)</f>
        <v>0</v>
      </c>
      <c r="AI12" s="8">
        <v>400</v>
      </c>
      <c r="AJ12" s="97">
        <f t="shared" si="4"/>
        <v>0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4.1666666666666664E-2</v>
      </c>
      <c r="K13" s="9">
        <v>2.0833333333333333E-3</v>
      </c>
      <c r="L13" s="9"/>
      <c r="M13" s="9">
        <v>6.9444444444444441E-3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5.0694444444444445E-2</v>
      </c>
      <c r="AB13" s="9">
        <f t="shared" si="1"/>
        <v>4.1666666666666664E-2</v>
      </c>
      <c r="AC13" s="73">
        <f>1+(8/60)</f>
        <v>1.1333333333333333</v>
      </c>
      <c r="AD13" s="8">
        <v>450</v>
      </c>
      <c r="AE13" s="97">
        <f t="shared" si="2"/>
        <v>510</v>
      </c>
      <c r="AF13" s="190"/>
      <c r="AG13" s="9">
        <f t="shared" si="3"/>
        <v>9.0277777777777769E-3</v>
      </c>
      <c r="AH13" s="73">
        <f>0+(15/60)</f>
        <v>0.25</v>
      </c>
      <c r="AI13" s="8">
        <v>450</v>
      </c>
      <c r="AJ13" s="97">
        <f t="shared" si="4"/>
        <v>112.5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>
        <v>1.2499999999999999E-2</v>
      </c>
      <c r="L14" s="23"/>
      <c r="M14" s="23">
        <v>2.0833333333333333E-3</v>
      </c>
      <c r="N14" s="23">
        <v>6.9444444444444441E-3</v>
      </c>
      <c r="O14" s="23"/>
      <c r="P14" s="23"/>
      <c r="Q14" s="23"/>
      <c r="R14" s="23"/>
      <c r="S14" s="23"/>
      <c r="T14" s="23"/>
      <c r="U14" s="23">
        <v>5.5555555555555558E-3</v>
      </c>
      <c r="V14" s="23"/>
      <c r="W14" s="23">
        <v>7.6388888888888886E-3</v>
      </c>
      <c r="X14" s="23"/>
      <c r="Y14" s="23"/>
      <c r="Z14" s="23"/>
      <c r="AA14" s="23">
        <f t="shared" si="0"/>
        <v>3.4722222222222224E-2</v>
      </c>
      <c r="AB14" s="23">
        <f t="shared" si="1"/>
        <v>5.5555555555555558E-3</v>
      </c>
      <c r="AC14" s="100">
        <f t="shared" si="6"/>
        <v>0</v>
      </c>
      <c r="AD14" s="22">
        <v>350</v>
      </c>
      <c r="AE14" s="101">
        <f t="shared" si="2"/>
        <v>0</v>
      </c>
      <c r="AF14" s="191"/>
      <c r="AG14" s="23">
        <f t="shared" si="3"/>
        <v>2.9166666666666667E-2</v>
      </c>
      <c r="AH14" s="100">
        <f>6+(29/60)</f>
        <v>6.4833333333333334</v>
      </c>
      <c r="AI14" s="22">
        <v>350</v>
      </c>
      <c r="AJ14" s="101">
        <f t="shared" si="4"/>
        <v>2269.1666666666665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9.7916666666666666E-2</v>
      </c>
      <c r="K15" s="30">
        <v>9.0277777777777787E-3</v>
      </c>
      <c r="L15" s="30"/>
      <c r="M15" s="30">
        <v>6.9444444444444441E-3</v>
      </c>
      <c r="N15" s="30"/>
      <c r="O15" s="30"/>
      <c r="P15" s="30"/>
      <c r="Q15" s="30"/>
      <c r="R15" s="30"/>
      <c r="S15" s="30">
        <v>0.14583333333333334</v>
      </c>
      <c r="T15" s="30"/>
      <c r="U15" s="30"/>
      <c r="V15" s="30"/>
      <c r="W15" s="30"/>
      <c r="X15" s="30"/>
      <c r="Y15" s="30"/>
      <c r="Z15" s="30"/>
      <c r="AA15" s="30">
        <f t="shared" si="0"/>
        <v>0.25972222222222224</v>
      </c>
      <c r="AB15" s="20">
        <f>+J15+O15+Q15+U15</f>
        <v>9.7916666666666666E-2</v>
      </c>
      <c r="AC15" s="98">
        <f>0+(30/60)</f>
        <v>0.5</v>
      </c>
      <c r="AD15" s="19">
        <v>400</v>
      </c>
      <c r="AE15" s="99">
        <f>+AC15*AD15</f>
        <v>200</v>
      </c>
      <c r="AF15" s="192">
        <f>SUM(AE15:AE21)</f>
        <v>900</v>
      </c>
      <c r="AG15" s="20">
        <f t="shared" si="3"/>
        <v>0.16180555555555556</v>
      </c>
      <c r="AH15" s="73">
        <f>0+(0/60)</f>
        <v>0</v>
      </c>
      <c r="AI15" s="19">
        <v>400</v>
      </c>
      <c r="AJ15" s="99">
        <f>+AH15*AI15</f>
        <v>0</v>
      </c>
      <c r="AK15" s="192">
        <f>SUM(AJ15:AJ21)</f>
        <v>78.333333333333329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0.11944444444444445</v>
      </c>
      <c r="K16" s="9"/>
      <c r="L16" s="9"/>
      <c r="M16" s="9">
        <v>4.8611111111111112E-3</v>
      </c>
      <c r="N16" s="9"/>
      <c r="O16" s="9"/>
      <c r="P16" s="9"/>
      <c r="Q16" s="9"/>
      <c r="R16" s="9"/>
      <c r="S16" s="9">
        <v>0.1388888888888889</v>
      </c>
      <c r="T16" s="9"/>
      <c r="U16" s="9"/>
      <c r="V16" s="9"/>
      <c r="W16" s="9"/>
      <c r="X16" s="9"/>
      <c r="Y16" s="9"/>
      <c r="Z16" s="9"/>
      <c r="AA16" s="9">
        <f t="shared" si="0"/>
        <v>0.26319444444444445</v>
      </c>
      <c r="AB16" s="9">
        <f t="shared" ref="AB16:AB21" si="7">+J16+O16+Q16+U16</f>
        <v>0.11944444444444445</v>
      </c>
      <c r="AC16" s="73">
        <f>0+(0/60)</f>
        <v>0</v>
      </c>
      <c r="AD16" s="8">
        <v>400</v>
      </c>
      <c r="AE16" s="97">
        <f t="shared" ref="AE16:AE21" si="8">+AC16*AD16</f>
        <v>0</v>
      </c>
      <c r="AF16" s="190"/>
      <c r="AG16" s="9">
        <f t="shared" si="3"/>
        <v>0.14375000000000002</v>
      </c>
      <c r="AH16" s="73">
        <f>0+(0/60)</f>
        <v>0</v>
      </c>
      <c r="AI16" s="8">
        <v>400</v>
      </c>
      <c r="AJ16" s="97">
        <f t="shared" ref="AJ16:AJ21" si="9">+AH16*AI16</f>
        <v>0</v>
      </c>
      <c r="AK16" s="190"/>
    </row>
    <row r="17" spans="1:37" x14ac:dyDescent="0.25">
      <c r="A17" s="164"/>
      <c r="B17" s="147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10">SUM(J17:Z17)</f>
        <v>0</v>
      </c>
      <c r="AB17" s="9">
        <f t="shared" si="7"/>
        <v>0</v>
      </c>
      <c r="AC17" s="73">
        <f>0+(45/60)</f>
        <v>0.75</v>
      </c>
      <c r="AD17" s="8">
        <v>400</v>
      </c>
      <c r="AE17" s="97">
        <f t="shared" si="8"/>
        <v>300</v>
      </c>
      <c r="AF17" s="190"/>
      <c r="AG17" s="9">
        <f t="shared" si="3"/>
        <v>0</v>
      </c>
      <c r="AH17" s="73">
        <f>0+(10/60)</f>
        <v>0.16666666666666666</v>
      </c>
      <c r="AI17" s="8">
        <v>400</v>
      </c>
      <c r="AJ17" s="97">
        <f t="shared" si="9"/>
        <v>66.666666666666657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1.8749999999999999E-2</v>
      </c>
      <c r="K18" s="9">
        <v>2.7777777777777779E-3</v>
      </c>
      <c r="L18" s="9"/>
      <c r="M18" s="9">
        <v>6.9444444444444441E-3</v>
      </c>
      <c r="N18" s="9"/>
      <c r="O18" s="9"/>
      <c r="P18" s="9"/>
      <c r="Q18" s="9"/>
      <c r="R18" s="9"/>
      <c r="S18" s="9">
        <v>0.1388888888888889</v>
      </c>
      <c r="T18" s="9"/>
      <c r="U18" s="9"/>
      <c r="V18" s="9"/>
      <c r="W18" s="9"/>
      <c r="X18" s="9"/>
      <c r="Y18" s="9"/>
      <c r="Z18" s="9"/>
      <c r="AA18" s="160">
        <f t="shared" si="0"/>
        <v>0.16736111111111113</v>
      </c>
      <c r="AB18" s="9">
        <f t="shared" si="7"/>
        <v>1.8749999999999999E-2</v>
      </c>
      <c r="AC18" s="73">
        <f>0+(0/60)</f>
        <v>0</v>
      </c>
      <c r="AD18" s="8">
        <v>400</v>
      </c>
      <c r="AE18" s="97">
        <f t="shared" si="8"/>
        <v>0</v>
      </c>
      <c r="AF18" s="190"/>
      <c r="AG18" s="9">
        <f t="shared" si="3"/>
        <v>0.14861111111111111</v>
      </c>
      <c r="AH18" s="73">
        <f>0+(0/60)</f>
        <v>0</v>
      </c>
      <c r="AI18" s="8">
        <v>400</v>
      </c>
      <c r="AJ18" s="97">
        <f t="shared" si="9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8.3333333333333329E-2</v>
      </c>
      <c r="K19" s="9">
        <v>2.7777777777777779E-3</v>
      </c>
      <c r="L19" s="9"/>
      <c r="M19" s="9">
        <v>6.9444444444444441E-3</v>
      </c>
      <c r="N19" s="9"/>
      <c r="O19" s="9"/>
      <c r="P19" s="9"/>
      <c r="Q19" s="9"/>
      <c r="R19" s="9"/>
      <c r="S19" s="9">
        <v>0.1388888888888889</v>
      </c>
      <c r="T19" s="9"/>
      <c r="U19" s="9"/>
      <c r="V19" s="9"/>
      <c r="W19" s="9"/>
      <c r="X19" s="9"/>
      <c r="Y19" s="9"/>
      <c r="Z19" s="9"/>
      <c r="AA19" s="9">
        <f t="shared" si="0"/>
        <v>0.23194444444444445</v>
      </c>
      <c r="AB19" s="9">
        <f t="shared" si="7"/>
        <v>8.3333333333333329E-2</v>
      </c>
      <c r="AC19" s="73">
        <f>1+(0/60)</f>
        <v>1</v>
      </c>
      <c r="AD19" s="8">
        <v>400</v>
      </c>
      <c r="AE19" s="97">
        <f t="shared" si="8"/>
        <v>400</v>
      </c>
      <c r="AF19" s="190"/>
      <c r="AG19" s="9">
        <f t="shared" si="3"/>
        <v>0.14861111111111111</v>
      </c>
      <c r="AH19" s="73">
        <f>0+(0/60)</f>
        <v>0</v>
      </c>
      <c r="AI19" s="8">
        <v>400</v>
      </c>
      <c r="AJ19" s="97">
        <f t="shared" si="9"/>
        <v>0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>
        <v>3.4722222222222224E-2</v>
      </c>
      <c r="K20" s="9"/>
      <c r="L20" s="9"/>
      <c r="M20" s="9">
        <v>3.472222222222222E-3</v>
      </c>
      <c r="N20" s="9"/>
      <c r="O20" s="9"/>
      <c r="P20" s="9"/>
      <c r="Q20" s="9"/>
      <c r="R20" s="9"/>
      <c r="S20" s="9">
        <v>0.14583333333333334</v>
      </c>
      <c r="T20" s="9"/>
      <c r="U20" s="9"/>
      <c r="V20" s="9"/>
      <c r="W20" s="9"/>
      <c r="X20" s="9"/>
      <c r="Y20" s="9"/>
      <c r="Z20" s="9"/>
      <c r="AA20" s="9">
        <f t="shared" si="0"/>
        <v>0.18402777777777779</v>
      </c>
      <c r="AB20" s="9">
        <f t="shared" si="7"/>
        <v>3.4722222222222224E-2</v>
      </c>
      <c r="AC20" s="73">
        <f>0+(0/60)</f>
        <v>0</v>
      </c>
      <c r="AD20" s="8">
        <v>450</v>
      </c>
      <c r="AE20" s="97">
        <f t="shared" si="8"/>
        <v>0</v>
      </c>
      <c r="AF20" s="190"/>
      <c r="AG20" s="9">
        <f t="shared" si="3"/>
        <v>0.14930555555555555</v>
      </c>
      <c r="AH20" s="73">
        <f>0+(0/60)</f>
        <v>0</v>
      </c>
      <c r="AI20" s="8">
        <v>450</v>
      </c>
      <c r="AJ20" s="97">
        <f t="shared" si="9"/>
        <v>0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>
        <v>3.472222222222222E-3</v>
      </c>
      <c r="N21" s="23"/>
      <c r="O21" s="23"/>
      <c r="P21" s="23"/>
      <c r="Q21" s="23"/>
      <c r="R21" s="23"/>
      <c r="S21" s="23">
        <v>0.16666666666666666</v>
      </c>
      <c r="T21" s="23"/>
      <c r="U21" s="23"/>
      <c r="V21" s="23"/>
      <c r="W21" s="23"/>
      <c r="X21" s="23"/>
      <c r="Y21" s="23"/>
      <c r="Z21" s="23"/>
      <c r="AA21" s="23">
        <f t="shared" si="0"/>
        <v>0.17013888888888887</v>
      </c>
      <c r="AB21" s="102">
        <f t="shared" si="7"/>
        <v>0</v>
      </c>
      <c r="AC21" s="77">
        <f>0+(0/60)</f>
        <v>0</v>
      </c>
      <c r="AD21" s="103">
        <v>350</v>
      </c>
      <c r="AE21" s="104">
        <f t="shared" si="8"/>
        <v>0</v>
      </c>
      <c r="AF21" s="193"/>
      <c r="AG21" s="102">
        <f t="shared" si="3"/>
        <v>0.17013888888888887</v>
      </c>
      <c r="AH21" s="73">
        <f>0+(2/60)</f>
        <v>3.3333333333333333E-2</v>
      </c>
      <c r="AI21" s="103">
        <v>350</v>
      </c>
      <c r="AJ21" s="104">
        <f t="shared" si="9"/>
        <v>11.666666666666666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1">E8+E15</f>
        <v>0</v>
      </c>
      <c r="F22" s="26">
        <f t="shared" si="11"/>
        <v>0</v>
      </c>
      <c r="G22" s="25"/>
      <c r="H22" s="25"/>
      <c r="I22" s="25"/>
      <c r="J22" s="27">
        <f t="shared" ref="J22:Z22" si="12">J8+J15</f>
        <v>0.18124999999999999</v>
      </c>
      <c r="K22" s="27">
        <f t="shared" si="12"/>
        <v>1.1111111111111112E-2</v>
      </c>
      <c r="L22" s="27">
        <f t="shared" si="12"/>
        <v>0</v>
      </c>
      <c r="M22" s="27">
        <f t="shared" si="12"/>
        <v>1.2500000000000001E-2</v>
      </c>
      <c r="N22" s="27">
        <f t="shared" si="12"/>
        <v>6.9444444444444441E-3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0.14583333333333334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si="12"/>
        <v>0</v>
      </c>
      <c r="Z22" s="27">
        <f t="shared" si="12"/>
        <v>0</v>
      </c>
      <c r="AA22" s="27">
        <f>SUM(J22:Z22)</f>
        <v>0.3576388888888889</v>
      </c>
      <c r="AB22" s="188" t="s">
        <v>52</v>
      </c>
      <c r="AC22" s="188"/>
      <c r="AD22" s="188"/>
      <c r="AE22" s="188"/>
      <c r="AF22" s="105">
        <f>+AF15+AF8</f>
        <v>2519.35</v>
      </c>
      <c r="AG22" s="188" t="s">
        <v>53</v>
      </c>
      <c r="AH22" s="188"/>
      <c r="AI22" s="188"/>
      <c r="AJ22" s="188"/>
      <c r="AK22" s="105">
        <f>+AK15+AK8</f>
        <v>2866.6666666666665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1"/>
        <v>0</v>
      </c>
      <c r="F23" s="12">
        <f t="shared" si="11"/>
        <v>0</v>
      </c>
      <c r="G23" s="11"/>
      <c r="H23" s="11"/>
      <c r="I23" s="11"/>
      <c r="J23" s="13">
        <f t="shared" ref="J23:Z23" si="13">J9+J16</f>
        <v>0.12638888888888888</v>
      </c>
      <c r="K23" s="13">
        <f t="shared" si="13"/>
        <v>2.0833333333333333E-3</v>
      </c>
      <c r="L23" s="13">
        <f t="shared" si="13"/>
        <v>0</v>
      </c>
      <c r="M23" s="13">
        <f t="shared" si="13"/>
        <v>1.1805555555555555E-2</v>
      </c>
      <c r="N23" s="13">
        <f t="shared" si="13"/>
        <v>6.9444444444444441E-3</v>
      </c>
      <c r="O23" s="13">
        <f t="shared" si="13"/>
        <v>4.1666666666666666E-3</v>
      </c>
      <c r="P23" s="13">
        <f t="shared" si="13"/>
        <v>0</v>
      </c>
      <c r="Q23" s="13">
        <f t="shared" si="13"/>
        <v>0</v>
      </c>
      <c r="R23" s="13">
        <f t="shared" si="13"/>
        <v>0</v>
      </c>
      <c r="S23" s="13">
        <f t="shared" si="13"/>
        <v>0.1388888888888889</v>
      </c>
      <c r="T23" s="13">
        <f t="shared" si="13"/>
        <v>0</v>
      </c>
      <c r="U23" s="13">
        <f t="shared" si="13"/>
        <v>0</v>
      </c>
      <c r="V23" s="13">
        <f t="shared" si="13"/>
        <v>0</v>
      </c>
      <c r="W23" s="13">
        <f t="shared" si="13"/>
        <v>0</v>
      </c>
      <c r="X23" s="13">
        <f t="shared" si="13"/>
        <v>0</v>
      </c>
      <c r="Y23" s="13">
        <f t="shared" si="13"/>
        <v>0</v>
      </c>
      <c r="Z23" s="13">
        <f t="shared" si="13"/>
        <v>0</v>
      </c>
      <c r="AA23" s="13">
        <f t="shared" ref="AA23:AA28" si="14">SUM(J23:Z23)</f>
        <v>0.2902777777777778</v>
      </c>
    </row>
    <row r="24" spans="1:37" s="5" customFormat="1" x14ac:dyDescent="0.25">
      <c r="A24" s="168"/>
      <c r="B24" s="148" t="s">
        <v>59</v>
      </c>
      <c r="C24" s="11"/>
      <c r="D24" s="11"/>
      <c r="E24" s="12">
        <f t="shared" si="11"/>
        <v>0</v>
      </c>
      <c r="F24" s="12">
        <f t="shared" si="11"/>
        <v>0</v>
      </c>
      <c r="G24" s="11"/>
      <c r="H24" s="11"/>
      <c r="I24" s="11"/>
      <c r="J24" s="13">
        <f t="shared" ref="J24:Z24" si="15">J10+J17</f>
        <v>0</v>
      </c>
      <c r="K24" s="13">
        <f t="shared" si="15"/>
        <v>0</v>
      </c>
      <c r="L24" s="13">
        <f t="shared" si="15"/>
        <v>0</v>
      </c>
      <c r="M24" s="13">
        <f t="shared" si="15"/>
        <v>0</v>
      </c>
      <c r="N24" s="13">
        <f t="shared" si="15"/>
        <v>0</v>
      </c>
      <c r="O24" s="13">
        <f t="shared" si="15"/>
        <v>0</v>
      </c>
      <c r="P24" s="13">
        <f t="shared" si="15"/>
        <v>0</v>
      </c>
      <c r="Q24" s="13">
        <f t="shared" si="15"/>
        <v>0</v>
      </c>
      <c r="R24" s="13">
        <f t="shared" si="15"/>
        <v>0</v>
      </c>
      <c r="S24" s="13">
        <f t="shared" si="15"/>
        <v>0</v>
      </c>
      <c r="T24" s="13">
        <f t="shared" si="15"/>
        <v>0</v>
      </c>
      <c r="U24" s="13">
        <f t="shared" si="15"/>
        <v>0</v>
      </c>
      <c r="V24" s="13">
        <f t="shared" si="15"/>
        <v>0</v>
      </c>
      <c r="W24" s="13">
        <f t="shared" si="15"/>
        <v>0</v>
      </c>
      <c r="X24" s="13">
        <f t="shared" si="15"/>
        <v>0</v>
      </c>
      <c r="Y24" s="13">
        <f t="shared" si="15"/>
        <v>0</v>
      </c>
      <c r="Z24" s="13">
        <f t="shared" si="15"/>
        <v>0</v>
      </c>
      <c r="AA24" s="13">
        <f t="shared" ref="AA24" si="16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1"/>
        <v>0</v>
      </c>
      <c r="F25" s="12">
        <f t="shared" si="11"/>
        <v>0</v>
      </c>
      <c r="G25" s="11"/>
      <c r="H25" s="11"/>
      <c r="I25" s="11"/>
      <c r="J25" s="13">
        <f t="shared" ref="J25:Z25" si="17">J11+J18</f>
        <v>0.10902777777777778</v>
      </c>
      <c r="K25" s="13">
        <f t="shared" si="17"/>
        <v>4.8611111111111112E-3</v>
      </c>
      <c r="L25" s="13">
        <f t="shared" si="17"/>
        <v>0</v>
      </c>
      <c r="M25" s="13">
        <f t="shared" si="17"/>
        <v>8.3333333333333332E-3</v>
      </c>
      <c r="N25" s="13">
        <f t="shared" si="17"/>
        <v>0</v>
      </c>
      <c r="O25" s="13">
        <f t="shared" si="17"/>
        <v>0</v>
      </c>
      <c r="P25" s="13">
        <f t="shared" si="17"/>
        <v>0</v>
      </c>
      <c r="Q25" s="13">
        <f t="shared" si="17"/>
        <v>0</v>
      </c>
      <c r="R25" s="13">
        <f t="shared" si="17"/>
        <v>0</v>
      </c>
      <c r="S25" s="13">
        <f t="shared" si="17"/>
        <v>0.1388888888888889</v>
      </c>
      <c r="T25" s="13">
        <f t="shared" si="17"/>
        <v>0</v>
      </c>
      <c r="U25" s="13">
        <f t="shared" si="17"/>
        <v>0</v>
      </c>
      <c r="V25" s="13">
        <f t="shared" si="17"/>
        <v>0</v>
      </c>
      <c r="W25" s="13">
        <f t="shared" si="17"/>
        <v>0</v>
      </c>
      <c r="X25" s="13">
        <f t="shared" si="17"/>
        <v>0</v>
      </c>
      <c r="Y25" s="13">
        <f t="shared" si="17"/>
        <v>0</v>
      </c>
      <c r="Z25" s="13">
        <f t="shared" si="17"/>
        <v>0</v>
      </c>
      <c r="AA25" s="13">
        <f t="shared" si="14"/>
        <v>0.26111111111111113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1"/>
        <v>0</v>
      </c>
      <c r="F26" s="12">
        <f t="shared" si="11"/>
        <v>0</v>
      </c>
      <c r="G26" s="11"/>
      <c r="H26" s="11"/>
      <c r="I26" s="11"/>
      <c r="J26" s="13">
        <f t="shared" ref="J26:Z26" si="18">J12+J19</f>
        <v>8.3333333333333329E-2</v>
      </c>
      <c r="K26" s="13">
        <f t="shared" si="18"/>
        <v>2.7777777777777779E-3</v>
      </c>
      <c r="L26" s="13">
        <f t="shared" si="18"/>
        <v>0</v>
      </c>
      <c r="M26" s="13">
        <f t="shared" si="18"/>
        <v>8.3333333333333332E-3</v>
      </c>
      <c r="N26" s="13">
        <f t="shared" si="18"/>
        <v>6.9444444444444441E-3</v>
      </c>
      <c r="O26" s="13">
        <f t="shared" si="18"/>
        <v>0</v>
      </c>
      <c r="P26" s="13">
        <f t="shared" si="18"/>
        <v>0</v>
      </c>
      <c r="Q26" s="13">
        <f t="shared" si="18"/>
        <v>0</v>
      </c>
      <c r="R26" s="13">
        <f t="shared" si="18"/>
        <v>0</v>
      </c>
      <c r="S26" s="13">
        <f t="shared" si="18"/>
        <v>0.1388888888888889</v>
      </c>
      <c r="T26" s="13">
        <f t="shared" si="18"/>
        <v>0</v>
      </c>
      <c r="U26" s="13">
        <f t="shared" si="18"/>
        <v>0</v>
      </c>
      <c r="V26" s="13">
        <f t="shared" si="18"/>
        <v>0</v>
      </c>
      <c r="W26" s="13">
        <f t="shared" si="18"/>
        <v>0</v>
      </c>
      <c r="X26" s="13">
        <f t="shared" si="18"/>
        <v>0</v>
      </c>
      <c r="Y26" s="13">
        <f t="shared" si="18"/>
        <v>0</v>
      </c>
      <c r="Z26" s="13">
        <f t="shared" si="18"/>
        <v>0</v>
      </c>
      <c r="AA26" s="13">
        <f t="shared" si="14"/>
        <v>0.24027777777777778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1"/>
        <v>0</v>
      </c>
      <c r="F27" s="12">
        <f t="shared" si="11"/>
        <v>0</v>
      </c>
      <c r="G27" s="11"/>
      <c r="H27" s="11"/>
      <c r="I27" s="11"/>
      <c r="J27" s="13">
        <f t="shared" ref="J27:Z27" si="19">J13+J20</f>
        <v>7.6388888888888895E-2</v>
      </c>
      <c r="K27" s="13">
        <f t="shared" si="19"/>
        <v>2.0833333333333333E-3</v>
      </c>
      <c r="L27" s="13">
        <f t="shared" si="19"/>
        <v>0</v>
      </c>
      <c r="M27" s="13">
        <f t="shared" si="19"/>
        <v>1.0416666666666666E-2</v>
      </c>
      <c r="N27" s="13">
        <f t="shared" si="19"/>
        <v>0</v>
      </c>
      <c r="O27" s="13">
        <f t="shared" si="19"/>
        <v>0</v>
      </c>
      <c r="P27" s="13">
        <f t="shared" si="19"/>
        <v>0</v>
      </c>
      <c r="Q27" s="13">
        <f t="shared" si="19"/>
        <v>0</v>
      </c>
      <c r="R27" s="13">
        <f t="shared" si="19"/>
        <v>0</v>
      </c>
      <c r="S27" s="13">
        <f t="shared" si="19"/>
        <v>0.14583333333333334</v>
      </c>
      <c r="T27" s="13">
        <f t="shared" si="19"/>
        <v>0</v>
      </c>
      <c r="U27" s="13">
        <f t="shared" si="19"/>
        <v>0</v>
      </c>
      <c r="V27" s="13">
        <f t="shared" si="19"/>
        <v>0</v>
      </c>
      <c r="W27" s="13">
        <f t="shared" si="19"/>
        <v>0</v>
      </c>
      <c r="X27" s="13">
        <f t="shared" si="19"/>
        <v>0</v>
      </c>
      <c r="Y27" s="13">
        <f t="shared" si="19"/>
        <v>0</v>
      </c>
      <c r="Z27" s="13">
        <f t="shared" si="19"/>
        <v>0</v>
      </c>
      <c r="AA27" s="13">
        <f t="shared" si="14"/>
        <v>0.23472222222222225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1"/>
        <v>0</v>
      </c>
      <c r="F28" s="16">
        <f t="shared" si="11"/>
        <v>0</v>
      </c>
      <c r="G28" s="15"/>
      <c r="H28" s="15"/>
      <c r="I28" s="15"/>
      <c r="J28" s="17">
        <f t="shared" ref="J28:Z28" si="20">J14+J21</f>
        <v>0</v>
      </c>
      <c r="K28" s="17">
        <f t="shared" si="20"/>
        <v>1.2499999999999999E-2</v>
      </c>
      <c r="L28" s="17">
        <f t="shared" si="20"/>
        <v>0</v>
      </c>
      <c r="M28" s="17">
        <f t="shared" si="20"/>
        <v>5.5555555555555549E-3</v>
      </c>
      <c r="N28" s="17">
        <f t="shared" si="20"/>
        <v>6.9444444444444441E-3</v>
      </c>
      <c r="O28" s="17">
        <f t="shared" si="20"/>
        <v>0</v>
      </c>
      <c r="P28" s="17">
        <f t="shared" si="20"/>
        <v>0</v>
      </c>
      <c r="Q28" s="17">
        <f t="shared" si="20"/>
        <v>0</v>
      </c>
      <c r="R28" s="17">
        <f t="shared" si="20"/>
        <v>0</v>
      </c>
      <c r="S28" s="17">
        <f t="shared" si="20"/>
        <v>0.16666666666666666</v>
      </c>
      <c r="T28" s="17">
        <f t="shared" si="20"/>
        <v>0</v>
      </c>
      <c r="U28" s="17">
        <f t="shared" si="20"/>
        <v>5.5555555555555558E-3</v>
      </c>
      <c r="V28" s="17">
        <f t="shared" si="20"/>
        <v>0</v>
      </c>
      <c r="W28" s="17">
        <f t="shared" si="20"/>
        <v>7.6388888888888886E-3</v>
      </c>
      <c r="X28" s="17">
        <f t="shared" si="20"/>
        <v>0</v>
      </c>
      <c r="Y28" s="17">
        <f t="shared" si="20"/>
        <v>0</v>
      </c>
      <c r="Z28" s="17">
        <f t="shared" si="20"/>
        <v>0</v>
      </c>
      <c r="AA28" s="17">
        <f t="shared" si="14"/>
        <v>0.2048611111111111</v>
      </c>
    </row>
    <row r="30" spans="1:37" x14ac:dyDescent="0.25">
      <c r="R30" s="1">
        <f>15*20</f>
        <v>300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B0F0"/>
  </sheetPr>
  <dimension ref="A3:AK28"/>
  <sheetViews>
    <sheetView topLeftCell="A4" zoomScaleNormal="100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V18" sqref="V18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27" width="9.140625" style="1"/>
    <col min="28" max="37" width="0" style="1" hidden="1" customWidth="1"/>
    <col min="38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45644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0.10625</v>
      </c>
      <c r="K8" s="20"/>
      <c r="L8" s="20"/>
      <c r="M8" s="20">
        <v>1.3888888888888889E-3</v>
      </c>
      <c r="N8" s="20"/>
      <c r="O8" s="20">
        <v>1.5277777777777777E-2</v>
      </c>
      <c r="P8" s="20"/>
      <c r="Q8" s="20"/>
      <c r="R8" s="20"/>
      <c r="S8" s="20"/>
      <c r="T8" s="20">
        <v>2.6388888888888889E-2</v>
      </c>
      <c r="U8" s="20"/>
      <c r="V8" s="20"/>
      <c r="W8" s="20"/>
      <c r="X8" s="20"/>
      <c r="Y8" s="20"/>
      <c r="Z8" s="20"/>
      <c r="AA8" s="20">
        <f>SUM(J8:Z8)</f>
        <v>0.14930555555555555</v>
      </c>
      <c r="AB8" s="9">
        <f>+J8+O8+Q8+U8</f>
        <v>0.12152777777777778</v>
      </c>
      <c r="AC8" s="73">
        <f>0+(0/60)</f>
        <v>0</v>
      </c>
      <c r="AD8" s="8">
        <v>400</v>
      </c>
      <c r="AE8" s="97">
        <f>+AC8*AD8</f>
        <v>0</v>
      </c>
      <c r="AF8" s="190">
        <f>SUM(AE8:AE14)</f>
        <v>3437.0166666666669</v>
      </c>
      <c r="AG8" s="9">
        <f>+K8+L8+M8+N8+R8+S8+T8+V8+W8+X8+Y8+Z8</f>
        <v>2.7777777777777776E-2</v>
      </c>
      <c r="AH8" s="73">
        <f>5+(25/60)</f>
        <v>5.416666666666667</v>
      </c>
      <c r="AI8" s="8">
        <v>400</v>
      </c>
      <c r="AJ8" s="97">
        <f>+AH8*AI8</f>
        <v>2166.666666666667</v>
      </c>
      <c r="AK8" s="190">
        <f>SUM(AJ8:AJ14)</f>
        <v>14237.500000000002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0.21388888888888891</v>
      </c>
      <c r="K9" s="9"/>
      <c r="L9" s="9"/>
      <c r="M9" s="9">
        <v>5.5555555555555558E-3</v>
      </c>
      <c r="N9" s="9">
        <v>6.9444444444444441E-3</v>
      </c>
      <c r="O9" s="9"/>
      <c r="P9" s="9"/>
      <c r="Q9" s="9"/>
      <c r="R9" s="9"/>
      <c r="S9" s="9"/>
      <c r="T9" s="9">
        <v>1.0416666666666666E-2</v>
      </c>
      <c r="U9" s="9"/>
      <c r="V9" s="9"/>
      <c r="W9" s="9"/>
      <c r="X9" s="9"/>
      <c r="Y9" s="9"/>
      <c r="Z9" s="9"/>
      <c r="AA9" s="9">
        <f t="shared" ref="AA9:AA21" si="0">SUM(J9:Z9)</f>
        <v>0.23680555555555557</v>
      </c>
      <c r="AB9" s="9">
        <f t="shared" ref="AB9:AB14" si="1">+J9+O9+Q9+U9</f>
        <v>0.21388888888888891</v>
      </c>
      <c r="AC9" s="73">
        <f>3+(15/60)</f>
        <v>3.25</v>
      </c>
      <c r="AD9" s="8">
        <v>400</v>
      </c>
      <c r="AE9" s="97">
        <f t="shared" ref="AE9:AE14" si="2">+AC9*AD9</f>
        <v>1300</v>
      </c>
      <c r="AF9" s="190"/>
      <c r="AG9" s="9">
        <f t="shared" ref="AG9:AG21" si="3">+K9+L9+M9+N9+R9+S9+T9+V9+W9+X9+Y9+Z9</f>
        <v>2.2916666666666669E-2</v>
      </c>
      <c r="AH9" s="73">
        <f>14+(37/60)</f>
        <v>14.616666666666667</v>
      </c>
      <c r="AI9" s="8">
        <v>400</v>
      </c>
      <c r="AJ9" s="97">
        <f t="shared" ref="AJ9:AJ14" si="4">+AH9*AI9</f>
        <v>5846.666666666667</v>
      </c>
      <c r="AK9" s="190"/>
    </row>
    <row r="10" spans="1:3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5">SUM(J10:Z10)</f>
        <v>0</v>
      </c>
      <c r="AB10" s="9">
        <f t="shared" si="1"/>
        <v>0</v>
      </c>
      <c r="AC10" s="73">
        <f>2+(48/60)</f>
        <v>2.8</v>
      </c>
      <c r="AD10" s="8">
        <v>401</v>
      </c>
      <c r="AE10" s="97">
        <f t="shared" si="2"/>
        <v>1122.8</v>
      </c>
      <c r="AF10" s="190"/>
      <c r="AG10" s="9">
        <f t="shared" si="3"/>
        <v>0</v>
      </c>
      <c r="AH10" s="73">
        <f>3+(47/60)</f>
        <v>3.7833333333333332</v>
      </c>
      <c r="AI10" s="8">
        <v>400</v>
      </c>
      <c r="AJ10" s="97">
        <f t="shared" si="4"/>
        <v>1513.3333333333333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>
        <v>4.8611111111111112E-3</v>
      </c>
      <c r="N11" s="9">
        <v>3.472222222222222E-3</v>
      </c>
      <c r="O11" s="9"/>
      <c r="P11" s="9"/>
      <c r="Q11" s="9"/>
      <c r="R11" s="9">
        <v>2.0833333333333332E-2</v>
      </c>
      <c r="S11" s="9"/>
      <c r="T11" s="9">
        <v>7.7083333333333337E-2</v>
      </c>
      <c r="U11" s="9"/>
      <c r="V11" s="9"/>
      <c r="W11" s="9"/>
      <c r="X11" s="9"/>
      <c r="Y11" s="9"/>
      <c r="Z11" s="9"/>
      <c r="AA11" s="9">
        <f t="shared" si="0"/>
        <v>0.10625000000000001</v>
      </c>
      <c r="AB11" s="9">
        <f t="shared" si="1"/>
        <v>0</v>
      </c>
      <c r="AC11" s="73">
        <f t="shared" ref="AC11:AC14" si="6">0+(0/60)</f>
        <v>0</v>
      </c>
      <c r="AD11" s="8">
        <v>402</v>
      </c>
      <c r="AE11" s="97">
        <f t="shared" si="2"/>
        <v>0</v>
      </c>
      <c r="AF11" s="190"/>
      <c r="AG11" s="9">
        <f t="shared" si="3"/>
        <v>0.10625000000000001</v>
      </c>
      <c r="AH11" s="73">
        <f>0+(0/60)</f>
        <v>0</v>
      </c>
      <c r="AI11" s="8">
        <v>400</v>
      </c>
      <c r="AJ11" s="97">
        <f t="shared" si="4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>
        <v>6.9444444444444447E-4</v>
      </c>
      <c r="N12" s="9">
        <v>2.7777777777777779E-3</v>
      </c>
      <c r="O12" s="9"/>
      <c r="P12" s="9"/>
      <c r="Q12" s="9"/>
      <c r="R12" s="9">
        <v>1.9444444444444445E-2</v>
      </c>
      <c r="S12" s="9"/>
      <c r="T12" s="9">
        <v>6.5972222222222224E-2</v>
      </c>
      <c r="U12" s="9"/>
      <c r="V12" s="9"/>
      <c r="W12" s="9">
        <v>4.5138888888888888E-2</v>
      </c>
      <c r="X12" s="9"/>
      <c r="Y12" s="9"/>
      <c r="Z12" s="9"/>
      <c r="AA12" s="9">
        <f t="shared" si="0"/>
        <v>0.13402777777777777</v>
      </c>
      <c r="AB12" s="9">
        <f t="shared" si="1"/>
        <v>0</v>
      </c>
      <c r="AC12" s="73">
        <f>2+(31/60)</f>
        <v>2.5166666666666666</v>
      </c>
      <c r="AD12" s="8">
        <v>403</v>
      </c>
      <c r="AE12" s="97">
        <f t="shared" si="2"/>
        <v>1014.2166666666667</v>
      </c>
      <c r="AF12" s="190"/>
      <c r="AG12" s="9">
        <f t="shared" si="3"/>
        <v>0.13402777777777777</v>
      </c>
      <c r="AH12" s="73">
        <f>5+(32/60)</f>
        <v>5.5333333333333332</v>
      </c>
      <c r="AI12" s="8">
        <v>400</v>
      </c>
      <c r="AJ12" s="97">
        <f t="shared" si="4"/>
        <v>2213.3333333333335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6.2499999999999995E-3</v>
      </c>
      <c r="N13" s="9">
        <v>6.9444444444444441E-3</v>
      </c>
      <c r="O13" s="9"/>
      <c r="P13" s="9"/>
      <c r="Q13" s="9"/>
      <c r="R13" s="9">
        <v>2.0833333333333332E-2</v>
      </c>
      <c r="S13" s="9"/>
      <c r="T13" s="9">
        <v>6.1111111111111116E-2</v>
      </c>
      <c r="U13" s="9"/>
      <c r="V13" s="9"/>
      <c r="W13" s="9"/>
      <c r="X13" s="9"/>
      <c r="Y13" s="9"/>
      <c r="Z13" s="9"/>
      <c r="AA13" s="9">
        <f t="shared" si="0"/>
        <v>9.5138888888888884E-2</v>
      </c>
      <c r="AB13" s="9">
        <f t="shared" si="1"/>
        <v>0</v>
      </c>
      <c r="AC13" s="73">
        <f t="shared" si="6"/>
        <v>0</v>
      </c>
      <c r="AD13" s="8">
        <v>450</v>
      </c>
      <c r="AE13" s="97">
        <f t="shared" si="2"/>
        <v>0</v>
      </c>
      <c r="AF13" s="190"/>
      <c r="AG13" s="9">
        <f t="shared" si="3"/>
        <v>9.5138888888888884E-2</v>
      </c>
      <c r="AH13" s="73">
        <f>5+(33/60)</f>
        <v>5.55</v>
      </c>
      <c r="AI13" s="8">
        <v>450</v>
      </c>
      <c r="AJ13" s="97">
        <f t="shared" si="4"/>
        <v>2497.5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8.2638888888888887E-2</v>
      </c>
      <c r="K14" s="23"/>
      <c r="L14" s="23"/>
      <c r="M14" s="23">
        <v>2.7777777777777779E-3</v>
      </c>
      <c r="N14" s="23">
        <v>3.472222222222222E-3</v>
      </c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8.8888888888888892E-2</v>
      </c>
      <c r="AB14" s="23">
        <f t="shared" si="1"/>
        <v>8.2638888888888887E-2</v>
      </c>
      <c r="AC14" s="100">
        <f t="shared" si="6"/>
        <v>0</v>
      </c>
      <c r="AD14" s="22">
        <v>350</v>
      </c>
      <c r="AE14" s="101">
        <f t="shared" si="2"/>
        <v>0</v>
      </c>
      <c r="AF14" s="191"/>
      <c r="AG14" s="23">
        <f t="shared" si="3"/>
        <v>6.2500000000000003E-3</v>
      </c>
      <c r="AH14" s="100">
        <f>0+(0/60)</f>
        <v>0</v>
      </c>
      <c r="AI14" s="22">
        <v>350</v>
      </c>
      <c r="AJ14" s="101">
        <f t="shared" si="4"/>
        <v>0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>
        <v>1.0416666666666666E-2</v>
      </c>
      <c r="K15" s="30"/>
      <c r="L15" s="30"/>
      <c r="M15" s="30"/>
      <c r="N15" s="30"/>
      <c r="O15" s="30"/>
      <c r="P15" s="30"/>
      <c r="Q15" s="30"/>
      <c r="R15" s="30"/>
      <c r="S15" s="30">
        <v>0.21180555555555555</v>
      </c>
      <c r="T15" s="30">
        <v>6.25E-2</v>
      </c>
      <c r="U15" s="30"/>
      <c r="V15" s="30"/>
      <c r="W15" s="30"/>
      <c r="X15" s="30"/>
      <c r="Y15" s="30"/>
      <c r="Z15" s="30"/>
      <c r="AA15" s="30">
        <f t="shared" si="0"/>
        <v>0.28472222222222221</v>
      </c>
      <c r="AB15" s="20">
        <f>+J15+O15+Q15+U15</f>
        <v>1.0416666666666666E-2</v>
      </c>
      <c r="AC15" s="98">
        <f>3+(7/60)</f>
        <v>3.1166666666666667</v>
      </c>
      <c r="AD15" s="19">
        <v>400</v>
      </c>
      <c r="AE15" s="99">
        <f>+AC15*AD15</f>
        <v>1246.6666666666667</v>
      </c>
      <c r="AF15" s="192">
        <f>SUM(AE15:AE21)</f>
        <v>1246.6666666666667</v>
      </c>
      <c r="AG15" s="20">
        <f t="shared" si="3"/>
        <v>0.27430555555555558</v>
      </c>
      <c r="AH15" s="73">
        <f>1+(23/60)</f>
        <v>1.3833333333333333</v>
      </c>
      <c r="AI15" s="19">
        <v>400</v>
      </c>
      <c r="AJ15" s="99">
        <f>+AH15*AI15</f>
        <v>553.33333333333337</v>
      </c>
      <c r="AK15" s="192">
        <f>SUM(AJ15:AJ21)</f>
        <v>4613.3333333333339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>
        <v>0.21180555555555555</v>
      </c>
      <c r="T16" s="9">
        <v>6.25E-2</v>
      </c>
      <c r="U16" s="9"/>
      <c r="V16" s="9"/>
      <c r="W16" s="9"/>
      <c r="X16" s="9"/>
      <c r="Y16" s="9"/>
      <c r="Z16" s="9"/>
      <c r="AA16" s="9">
        <f t="shared" si="0"/>
        <v>0.27430555555555558</v>
      </c>
      <c r="AB16" s="9">
        <f t="shared" ref="AB16:AB21" si="7">+J16+O16+Q16+U16</f>
        <v>0</v>
      </c>
      <c r="AC16" s="73">
        <f t="shared" ref="AC16:AC21" si="8">0+(0/60)</f>
        <v>0</v>
      </c>
      <c r="AD16" s="8">
        <v>400</v>
      </c>
      <c r="AE16" s="97">
        <f t="shared" ref="AE16:AE21" si="9">+AC16*AD16</f>
        <v>0</v>
      </c>
      <c r="AF16" s="190"/>
      <c r="AG16" s="9">
        <f t="shared" si="3"/>
        <v>0.27430555555555558</v>
      </c>
      <c r="AH16" s="73">
        <f>1+(54/60)</f>
        <v>1.9</v>
      </c>
      <c r="AI16" s="8">
        <v>400</v>
      </c>
      <c r="AJ16" s="97">
        <f t="shared" ref="AJ16:AJ21" si="10">+AH16*AI16</f>
        <v>760</v>
      </c>
      <c r="AK16" s="190"/>
    </row>
    <row r="17" spans="1:3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11">SUM(J17:Z17)</f>
        <v>0</v>
      </c>
      <c r="AB17" s="9">
        <f t="shared" si="7"/>
        <v>0</v>
      </c>
      <c r="AC17" s="73">
        <f t="shared" si="8"/>
        <v>0</v>
      </c>
      <c r="AD17" s="8">
        <v>400</v>
      </c>
      <c r="AE17" s="97">
        <f t="shared" si="9"/>
        <v>0</v>
      </c>
      <c r="AF17" s="190"/>
      <c r="AG17" s="9">
        <f t="shared" si="3"/>
        <v>0</v>
      </c>
      <c r="AH17" s="73">
        <f>2+(10/60)</f>
        <v>2.1666666666666665</v>
      </c>
      <c r="AI17" s="8">
        <v>400</v>
      </c>
      <c r="AJ17" s="97">
        <f t="shared" si="10"/>
        <v>866.66666666666663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7.6388888888888895E-2</v>
      </c>
      <c r="K18" s="9"/>
      <c r="L18" s="9"/>
      <c r="M18" s="9"/>
      <c r="N18" s="9"/>
      <c r="O18" s="9"/>
      <c r="P18" s="9"/>
      <c r="Q18" s="9"/>
      <c r="R18" s="9"/>
      <c r="S18" s="9">
        <v>0.21180555555555555</v>
      </c>
      <c r="T18" s="9">
        <v>6.25E-2</v>
      </c>
      <c r="U18" s="9"/>
      <c r="V18" s="9"/>
      <c r="W18" s="9"/>
      <c r="X18" s="9"/>
      <c r="Y18" s="9"/>
      <c r="Z18" s="9"/>
      <c r="AA18" s="9">
        <f t="shared" si="0"/>
        <v>0.35069444444444442</v>
      </c>
      <c r="AB18" s="9">
        <f t="shared" si="7"/>
        <v>7.6388888888888895E-2</v>
      </c>
      <c r="AC18" s="73">
        <f t="shared" si="8"/>
        <v>0</v>
      </c>
      <c r="AD18" s="8">
        <v>400</v>
      </c>
      <c r="AE18" s="97">
        <f t="shared" si="9"/>
        <v>0</v>
      </c>
      <c r="AF18" s="190"/>
      <c r="AG18" s="9">
        <f t="shared" si="3"/>
        <v>0.27430555555555558</v>
      </c>
      <c r="AH18" s="73">
        <f>0+(0/60)</f>
        <v>0</v>
      </c>
      <c r="AI18" s="8">
        <v>400</v>
      </c>
      <c r="AJ18" s="97">
        <f t="shared" si="10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>
        <v>1.0416666666666666E-2</v>
      </c>
      <c r="K19" s="9">
        <v>1.3888888888888888E-2</v>
      </c>
      <c r="L19" s="9"/>
      <c r="M19" s="9"/>
      <c r="N19" s="9"/>
      <c r="O19" s="9"/>
      <c r="P19" s="9"/>
      <c r="Q19" s="9"/>
      <c r="R19" s="9"/>
      <c r="S19" s="9">
        <v>0.21180555555555555</v>
      </c>
      <c r="T19" s="9">
        <v>6.25E-2</v>
      </c>
      <c r="U19" s="9"/>
      <c r="V19" s="9"/>
      <c r="W19" s="9"/>
      <c r="X19" s="9"/>
      <c r="Y19" s="9"/>
      <c r="Z19" s="9"/>
      <c r="AA19" s="160">
        <f t="shared" si="0"/>
        <v>0.2986111111111111</v>
      </c>
      <c r="AB19" s="9">
        <f t="shared" si="7"/>
        <v>1.0416666666666666E-2</v>
      </c>
      <c r="AC19" s="73">
        <f t="shared" si="8"/>
        <v>0</v>
      </c>
      <c r="AD19" s="8">
        <v>400</v>
      </c>
      <c r="AE19" s="97">
        <f t="shared" si="9"/>
        <v>0</v>
      </c>
      <c r="AF19" s="190"/>
      <c r="AG19" s="9">
        <f t="shared" si="3"/>
        <v>0.28819444444444442</v>
      </c>
      <c r="AH19" s="73">
        <f>2+(29/60)</f>
        <v>2.4833333333333334</v>
      </c>
      <c r="AI19" s="8">
        <v>400</v>
      </c>
      <c r="AJ19" s="97">
        <f t="shared" si="10"/>
        <v>993.33333333333337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>
        <v>2.0833333333333332E-2</v>
      </c>
      <c r="K20" s="9"/>
      <c r="L20" s="9"/>
      <c r="M20" s="9"/>
      <c r="N20" s="9"/>
      <c r="O20" s="9"/>
      <c r="P20" s="9"/>
      <c r="Q20" s="9"/>
      <c r="R20" s="9"/>
      <c r="S20" s="9">
        <v>0.21180555555555555</v>
      </c>
      <c r="T20" s="9">
        <v>6.25E-2</v>
      </c>
      <c r="U20" s="9"/>
      <c r="V20" s="9"/>
      <c r="W20" s="9"/>
      <c r="X20" s="9"/>
      <c r="Y20" s="9"/>
      <c r="Z20" s="9"/>
      <c r="AA20" s="9">
        <f t="shared" si="0"/>
        <v>0.2951388888888889</v>
      </c>
      <c r="AB20" s="9">
        <f t="shared" si="7"/>
        <v>2.0833333333333332E-2</v>
      </c>
      <c r="AC20" s="73">
        <f t="shared" si="8"/>
        <v>0</v>
      </c>
      <c r="AD20" s="8">
        <v>450</v>
      </c>
      <c r="AE20" s="97">
        <f t="shared" si="9"/>
        <v>0</v>
      </c>
      <c r="AF20" s="190"/>
      <c r="AG20" s="9">
        <f t="shared" si="3"/>
        <v>0.27430555555555558</v>
      </c>
      <c r="AH20" s="73">
        <f>1+(48/60)</f>
        <v>1.8</v>
      </c>
      <c r="AI20" s="8">
        <v>450</v>
      </c>
      <c r="AJ20" s="97">
        <f t="shared" si="10"/>
        <v>810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>
        <v>0.21180555555555555</v>
      </c>
      <c r="T21" s="23">
        <v>6.25E-2</v>
      </c>
      <c r="U21" s="23"/>
      <c r="V21" s="23"/>
      <c r="W21" s="23"/>
      <c r="X21" s="23"/>
      <c r="Y21" s="23"/>
      <c r="Z21" s="23"/>
      <c r="AA21" s="23">
        <f t="shared" si="0"/>
        <v>0.27430555555555558</v>
      </c>
      <c r="AB21" s="102">
        <f t="shared" si="7"/>
        <v>0</v>
      </c>
      <c r="AC21" s="77">
        <f t="shared" si="8"/>
        <v>0</v>
      </c>
      <c r="AD21" s="103">
        <v>350</v>
      </c>
      <c r="AE21" s="104">
        <f t="shared" si="9"/>
        <v>0</v>
      </c>
      <c r="AF21" s="193"/>
      <c r="AG21" s="102">
        <f t="shared" si="3"/>
        <v>0.27430555555555558</v>
      </c>
      <c r="AH21" s="73">
        <f>1+(48/60)</f>
        <v>1.8</v>
      </c>
      <c r="AI21" s="103">
        <v>350</v>
      </c>
      <c r="AJ21" s="104">
        <f t="shared" si="10"/>
        <v>630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2">E8+E15</f>
        <v>0</v>
      </c>
      <c r="F22" s="26">
        <f t="shared" si="12"/>
        <v>0</v>
      </c>
      <c r="G22" s="25"/>
      <c r="H22" s="25"/>
      <c r="I22" s="25"/>
      <c r="J22" s="27">
        <f t="shared" ref="J22:Z22" si="13">J8+J15</f>
        <v>0.11666666666666667</v>
      </c>
      <c r="K22" s="27">
        <f t="shared" si="13"/>
        <v>0</v>
      </c>
      <c r="L22" s="27">
        <f t="shared" si="13"/>
        <v>0</v>
      </c>
      <c r="M22" s="27">
        <f t="shared" si="13"/>
        <v>1.3888888888888889E-3</v>
      </c>
      <c r="N22" s="27">
        <f t="shared" si="13"/>
        <v>0</v>
      </c>
      <c r="O22" s="27">
        <f t="shared" si="13"/>
        <v>1.5277777777777777E-2</v>
      </c>
      <c r="P22" s="27">
        <f t="shared" si="13"/>
        <v>0</v>
      </c>
      <c r="Q22" s="27">
        <f t="shared" si="13"/>
        <v>0</v>
      </c>
      <c r="R22" s="27">
        <f t="shared" si="13"/>
        <v>0</v>
      </c>
      <c r="S22" s="27">
        <f t="shared" si="13"/>
        <v>0.21180555555555555</v>
      </c>
      <c r="T22" s="27">
        <f t="shared" si="13"/>
        <v>8.8888888888888892E-2</v>
      </c>
      <c r="U22" s="27">
        <f t="shared" si="13"/>
        <v>0</v>
      </c>
      <c r="V22" s="27">
        <f t="shared" si="13"/>
        <v>0</v>
      </c>
      <c r="W22" s="27">
        <f t="shared" si="13"/>
        <v>0</v>
      </c>
      <c r="X22" s="27">
        <f t="shared" si="13"/>
        <v>0</v>
      </c>
      <c r="Y22" s="27">
        <f t="shared" si="13"/>
        <v>0</v>
      </c>
      <c r="Z22" s="27">
        <f t="shared" si="13"/>
        <v>0</v>
      </c>
      <c r="AA22" s="27">
        <f>SUM(J22:Z22)</f>
        <v>0.43402777777777779</v>
      </c>
      <c r="AB22" s="188" t="s">
        <v>52</v>
      </c>
      <c r="AC22" s="188"/>
      <c r="AD22" s="188"/>
      <c r="AE22" s="188"/>
      <c r="AF22" s="105">
        <f>+AF15+AF8</f>
        <v>4683.6833333333334</v>
      </c>
      <c r="AG22" s="188" t="s">
        <v>53</v>
      </c>
      <c r="AH22" s="188"/>
      <c r="AI22" s="188"/>
      <c r="AJ22" s="188"/>
      <c r="AK22" s="105">
        <f>+AK15+AK8</f>
        <v>18850.833333333336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2"/>
        <v>0</v>
      </c>
      <c r="F23" s="12">
        <f t="shared" si="12"/>
        <v>0</v>
      </c>
      <c r="G23" s="11"/>
      <c r="H23" s="11"/>
      <c r="I23" s="11"/>
      <c r="J23" s="13">
        <f t="shared" ref="J23:Z23" si="14">J9+J16</f>
        <v>0.21388888888888891</v>
      </c>
      <c r="K23" s="13">
        <f t="shared" si="14"/>
        <v>0</v>
      </c>
      <c r="L23" s="13">
        <f t="shared" si="14"/>
        <v>0</v>
      </c>
      <c r="M23" s="13">
        <f t="shared" si="14"/>
        <v>5.5555555555555558E-3</v>
      </c>
      <c r="N23" s="13">
        <f t="shared" si="14"/>
        <v>6.9444444444444441E-3</v>
      </c>
      <c r="O23" s="13">
        <f t="shared" si="14"/>
        <v>0</v>
      </c>
      <c r="P23" s="13">
        <f t="shared" si="14"/>
        <v>0</v>
      </c>
      <c r="Q23" s="13">
        <f t="shared" si="14"/>
        <v>0</v>
      </c>
      <c r="R23" s="13">
        <f t="shared" si="14"/>
        <v>0</v>
      </c>
      <c r="S23" s="13">
        <f t="shared" si="14"/>
        <v>0.21180555555555555</v>
      </c>
      <c r="T23" s="13">
        <f t="shared" si="14"/>
        <v>7.2916666666666671E-2</v>
      </c>
      <c r="U23" s="13">
        <f t="shared" si="14"/>
        <v>0</v>
      </c>
      <c r="V23" s="13">
        <f t="shared" si="14"/>
        <v>0</v>
      </c>
      <c r="W23" s="13">
        <f t="shared" si="14"/>
        <v>0</v>
      </c>
      <c r="X23" s="13">
        <f t="shared" si="14"/>
        <v>0</v>
      </c>
      <c r="Y23" s="13">
        <f t="shared" si="14"/>
        <v>0</v>
      </c>
      <c r="Z23" s="13">
        <f t="shared" si="14"/>
        <v>0</v>
      </c>
      <c r="AA23" s="13">
        <f t="shared" ref="AA23" si="15">SUM(J23:Z23)</f>
        <v>0.51111111111111107</v>
      </c>
    </row>
    <row r="24" spans="1:37" s="5" customFormat="1" x14ac:dyDescent="0.25">
      <c r="A24" s="168"/>
      <c r="B24" s="150" t="s">
        <v>59</v>
      </c>
      <c r="C24" s="11"/>
      <c r="D24" s="11"/>
      <c r="E24" s="12">
        <f t="shared" si="12"/>
        <v>0</v>
      </c>
      <c r="F24" s="12">
        <f t="shared" si="12"/>
        <v>0</v>
      </c>
      <c r="G24" s="11"/>
      <c r="H24" s="11"/>
      <c r="I24" s="11"/>
      <c r="J24" s="13">
        <f t="shared" ref="J24:Z24" si="16">J10+J17</f>
        <v>0</v>
      </c>
      <c r="K24" s="13">
        <f t="shared" si="16"/>
        <v>0</v>
      </c>
      <c r="L24" s="13">
        <f t="shared" si="16"/>
        <v>0</v>
      </c>
      <c r="M24" s="13">
        <f t="shared" si="16"/>
        <v>0</v>
      </c>
      <c r="N24" s="13">
        <f t="shared" si="16"/>
        <v>0</v>
      </c>
      <c r="O24" s="13">
        <f t="shared" si="16"/>
        <v>0</v>
      </c>
      <c r="P24" s="13">
        <f t="shared" si="16"/>
        <v>0</v>
      </c>
      <c r="Q24" s="13">
        <f t="shared" si="16"/>
        <v>0</v>
      </c>
      <c r="R24" s="13">
        <f t="shared" si="16"/>
        <v>0</v>
      </c>
      <c r="S24" s="13">
        <f t="shared" si="16"/>
        <v>0</v>
      </c>
      <c r="T24" s="13">
        <f t="shared" si="16"/>
        <v>0</v>
      </c>
      <c r="U24" s="13">
        <f t="shared" si="16"/>
        <v>0</v>
      </c>
      <c r="V24" s="13">
        <f t="shared" si="16"/>
        <v>0</v>
      </c>
      <c r="W24" s="13">
        <f t="shared" si="16"/>
        <v>0</v>
      </c>
      <c r="X24" s="13">
        <f t="shared" si="16"/>
        <v>0</v>
      </c>
      <c r="Y24" s="13">
        <f t="shared" si="16"/>
        <v>0</v>
      </c>
      <c r="Z24" s="13">
        <f t="shared" si="16"/>
        <v>0</v>
      </c>
      <c r="AA24" s="13">
        <f t="shared" ref="AA24:AA28" si="17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2"/>
        <v>0</v>
      </c>
      <c r="F25" s="12">
        <f t="shared" si="12"/>
        <v>0</v>
      </c>
      <c r="G25" s="11"/>
      <c r="H25" s="11"/>
      <c r="I25" s="11"/>
      <c r="J25" s="13">
        <f t="shared" ref="J25:Z25" si="18">J11+J18</f>
        <v>7.6388888888888895E-2</v>
      </c>
      <c r="K25" s="13">
        <f t="shared" si="18"/>
        <v>0</v>
      </c>
      <c r="L25" s="13">
        <f t="shared" si="18"/>
        <v>0</v>
      </c>
      <c r="M25" s="13">
        <f t="shared" si="18"/>
        <v>4.8611111111111112E-3</v>
      </c>
      <c r="N25" s="13">
        <f t="shared" si="18"/>
        <v>3.472222222222222E-3</v>
      </c>
      <c r="O25" s="13">
        <f t="shared" si="18"/>
        <v>0</v>
      </c>
      <c r="P25" s="13">
        <f t="shared" si="18"/>
        <v>0</v>
      </c>
      <c r="Q25" s="13">
        <f t="shared" si="18"/>
        <v>0</v>
      </c>
      <c r="R25" s="13">
        <f t="shared" si="18"/>
        <v>2.0833333333333332E-2</v>
      </c>
      <c r="S25" s="13">
        <f t="shared" si="18"/>
        <v>0.21180555555555555</v>
      </c>
      <c r="T25" s="13">
        <f t="shared" si="18"/>
        <v>0.13958333333333334</v>
      </c>
      <c r="U25" s="13">
        <f t="shared" si="18"/>
        <v>0</v>
      </c>
      <c r="V25" s="13">
        <f t="shared" si="18"/>
        <v>0</v>
      </c>
      <c r="W25" s="13">
        <f t="shared" si="18"/>
        <v>0</v>
      </c>
      <c r="X25" s="13">
        <f t="shared" si="18"/>
        <v>0</v>
      </c>
      <c r="Y25" s="13">
        <f t="shared" si="18"/>
        <v>0</v>
      </c>
      <c r="Z25" s="13">
        <f t="shared" si="18"/>
        <v>0</v>
      </c>
      <c r="AA25" s="13">
        <f t="shared" si="17"/>
        <v>0.45694444444444443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2"/>
        <v>0</v>
      </c>
      <c r="F26" s="12">
        <f t="shared" si="12"/>
        <v>0</v>
      </c>
      <c r="G26" s="11"/>
      <c r="H26" s="11"/>
      <c r="I26" s="11"/>
      <c r="J26" s="13">
        <f t="shared" ref="J26:Z26" si="19">J12+J19</f>
        <v>1.0416666666666666E-2</v>
      </c>
      <c r="K26" s="13">
        <f t="shared" si="19"/>
        <v>1.3888888888888888E-2</v>
      </c>
      <c r="L26" s="13">
        <f t="shared" si="19"/>
        <v>0</v>
      </c>
      <c r="M26" s="13">
        <f t="shared" si="19"/>
        <v>6.9444444444444447E-4</v>
      </c>
      <c r="N26" s="13">
        <f t="shared" si="19"/>
        <v>2.7777777777777779E-3</v>
      </c>
      <c r="O26" s="13">
        <f t="shared" si="19"/>
        <v>0</v>
      </c>
      <c r="P26" s="13">
        <f t="shared" si="19"/>
        <v>0</v>
      </c>
      <c r="Q26" s="13">
        <f t="shared" si="19"/>
        <v>0</v>
      </c>
      <c r="R26" s="13">
        <f t="shared" si="19"/>
        <v>1.9444444444444445E-2</v>
      </c>
      <c r="S26" s="13">
        <f t="shared" si="19"/>
        <v>0.21180555555555555</v>
      </c>
      <c r="T26" s="13">
        <f t="shared" si="19"/>
        <v>0.12847222222222221</v>
      </c>
      <c r="U26" s="13">
        <f t="shared" si="19"/>
        <v>0</v>
      </c>
      <c r="V26" s="13">
        <f t="shared" si="19"/>
        <v>0</v>
      </c>
      <c r="W26" s="13">
        <f t="shared" si="19"/>
        <v>4.5138888888888888E-2</v>
      </c>
      <c r="X26" s="13">
        <f t="shared" si="19"/>
        <v>0</v>
      </c>
      <c r="Y26" s="13">
        <f t="shared" si="19"/>
        <v>0</v>
      </c>
      <c r="Z26" s="13">
        <f t="shared" si="19"/>
        <v>0</v>
      </c>
      <c r="AA26" s="13">
        <f t="shared" si="17"/>
        <v>0.43263888888888885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2"/>
        <v>0</v>
      </c>
      <c r="F27" s="12">
        <f t="shared" si="12"/>
        <v>0</v>
      </c>
      <c r="G27" s="11"/>
      <c r="H27" s="11"/>
      <c r="I27" s="11"/>
      <c r="J27" s="13">
        <f t="shared" ref="J27:Z27" si="20">J13+J20</f>
        <v>2.0833333333333332E-2</v>
      </c>
      <c r="K27" s="13">
        <f t="shared" si="20"/>
        <v>0</v>
      </c>
      <c r="L27" s="13">
        <f t="shared" si="20"/>
        <v>0</v>
      </c>
      <c r="M27" s="13">
        <f t="shared" si="20"/>
        <v>6.2499999999999995E-3</v>
      </c>
      <c r="N27" s="13">
        <f t="shared" si="20"/>
        <v>6.9444444444444441E-3</v>
      </c>
      <c r="O27" s="13">
        <f t="shared" si="20"/>
        <v>0</v>
      </c>
      <c r="P27" s="13">
        <f t="shared" si="20"/>
        <v>0</v>
      </c>
      <c r="Q27" s="13">
        <f t="shared" si="20"/>
        <v>0</v>
      </c>
      <c r="R27" s="13">
        <f t="shared" si="20"/>
        <v>2.0833333333333332E-2</v>
      </c>
      <c r="S27" s="13">
        <f t="shared" si="20"/>
        <v>0.21180555555555555</v>
      </c>
      <c r="T27" s="13">
        <f t="shared" si="20"/>
        <v>0.12361111111111112</v>
      </c>
      <c r="U27" s="13">
        <f t="shared" si="20"/>
        <v>0</v>
      </c>
      <c r="V27" s="13">
        <f t="shared" si="20"/>
        <v>0</v>
      </c>
      <c r="W27" s="13">
        <f t="shared" si="20"/>
        <v>0</v>
      </c>
      <c r="X27" s="13">
        <f t="shared" si="20"/>
        <v>0</v>
      </c>
      <c r="Y27" s="13">
        <f t="shared" si="20"/>
        <v>0</v>
      </c>
      <c r="Z27" s="13">
        <f t="shared" si="20"/>
        <v>0</v>
      </c>
      <c r="AA27" s="13">
        <f t="shared" si="17"/>
        <v>0.39027777777777778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2"/>
        <v>0</v>
      </c>
      <c r="F28" s="16">
        <f t="shared" si="12"/>
        <v>0</v>
      </c>
      <c r="G28" s="15"/>
      <c r="H28" s="15"/>
      <c r="I28" s="15"/>
      <c r="J28" s="17">
        <f t="shared" ref="J28:Z28" si="21">J14+J21</f>
        <v>8.2638888888888887E-2</v>
      </c>
      <c r="K28" s="17">
        <f t="shared" si="21"/>
        <v>0</v>
      </c>
      <c r="L28" s="17">
        <f t="shared" si="21"/>
        <v>0</v>
      </c>
      <c r="M28" s="17">
        <f t="shared" si="21"/>
        <v>2.7777777777777779E-3</v>
      </c>
      <c r="N28" s="17">
        <f t="shared" si="21"/>
        <v>3.472222222222222E-3</v>
      </c>
      <c r="O28" s="17">
        <f t="shared" si="21"/>
        <v>0</v>
      </c>
      <c r="P28" s="17">
        <f t="shared" si="21"/>
        <v>0</v>
      </c>
      <c r="Q28" s="17">
        <f t="shared" si="21"/>
        <v>0</v>
      </c>
      <c r="R28" s="17">
        <f t="shared" si="21"/>
        <v>0</v>
      </c>
      <c r="S28" s="17">
        <f t="shared" si="21"/>
        <v>0.21180555555555555</v>
      </c>
      <c r="T28" s="17">
        <f t="shared" si="21"/>
        <v>6.25E-2</v>
      </c>
      <c r="U28" s="17">
        <f t="shared" si="21"/>
        <v>0</v>
      </c>
      <c r="V28" s="17">
        <f t="shared" si="21"/>
        <v>0</v>
      </c>
      <c r="W28" s="17">
        <f t="shared" si="21"/>
        <v>0</v>
      </c>
      <c r="X28" s="17">
        <f t="shared" si="21"/>
        <v>0</v>
      </c>
      <c r="Y28" s="17">
        <f t="shared" si="21"/>
        <v>0</v>
      </c>
      <c r="Z28" s="17">
        <f t="shared" si="21"/>
        <v>0</v>
      </c>
      <c r="AA28" s="17">
        <f t="shared" si="17"/>
        <v>0.36319444444444443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B0F0"/>
  </sheetPr>
  <dimension ref="A3:AA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M20" sqref="M20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45645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50">
        <v>6.6666666666666666E-2</v>
      </c>
      <c r="K8" s="50"/>
      <c r="L8" s="50"/>
      <c r="M8" s="50">
        <v>4.1666666666666666E-3</v>
      </c>
      <c r="N8" s="50"/>
      <c r="O8" s="50"/>
      <c r="P8" s="50"/>
      <c r="Q8" s="50"/>
      <c r="R8" s="50"/>
      <c r="S8" s="50"/>
      <c r="T8" s="50">
        <v>7.4305555555555555E-2</v>
      </c>
      <c r="U8" s="50"/>
      <c r="V8" s="50"/>
      <c r="W8" s="50"/>
      <c r="X8" s="50"/>
      <c r="Y8" s="50"/>
      <c r="Z8" s="50"/>
      <c r="AA8" s="50">
        <f>SUM(J8:Z8)</f>
        <v>0.14513888888888887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51"/>
      <c r="K9" s="51"/>
      <c r="L9" s="51"/>
      <c r="M9" s="51">
        <v>2.7777777777777779E-3</v>
      </c>
      <c r="N9" s="51">
        <v>5.5555555555555558E-3</v>
      </c>
      <c r="O9" s="51"/>
      <c r="P9" s="51"/>
      <c r="Q9" s="51"/>
      <c r="R9" s="51"/>
      <c r="S9" s="51"/>
      <c r="T9" s="51">
        <v>7.5694444444444439E-2</v>
      </c>
      <c r="U9" s="51"/>
      <c r="V9" s="51"/>
      <c r="W9" s="51"/>
      <c r="X9" s="51"/>
      <c r="Y9" s="51"/>
      <c r="Z9" s="51"/>
      <c r="AA9" s="51">
        <f t="shared" ref="AA9:AA21" si="0">SUM(J9:Z9)</f>
        <v>8.4027777777777771E-2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51">
        <v>0.17847222222222223</v>
      </c>
      <c r="K11" s="51"/>
      <c r="L11" s="51"/>
      <c r="M11" s="51"/>
      <c r="N11" s="51">
        <v>6.9444444444444441E-3</v>
      </c>
      <c r="O11" s="51"/>
      <c r="P11" s="51"/>
      <c r="Q11" s="51"/>
      <c r="R11" s="51"/>
      <c r="S11" s="51"/>
      <c r="T11" s="51">
        <v>6.9444444444444434E-2</v>
      </c>
      <c r="U11" s="51"/>
      <c r="V11" s="51"/>
      <c r="W11" s="51"/>
      <c r="X11" s="51"/>
      <c r="Y11" s="51"/>
      <c r="Z11" s="51"/>
      <c r="AA11" s="51">
        <f t="shared" si="0"/>
        <v>0.25486111111111109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51"/>
      <c r="K12" s="51">
        <v>2.7777777777777779E-3</v>
      </c>
      <c r="L12" s="51"/>
      <c r="M12" s="51">
        <v>4.8611111111111112E-3</v>
      </c>
      <c r="N12" s="51">
        <v>6.9444444444444441E-3</v>
      </c>
      <c r="O12" s="51"/>
      <c r="P12" s="51"/>
      <c r="Q12" s="51"/>
      <c r="R12" s="51"/>
      <c r="S12" s="51"/>
      <c r="T12" s="51">
        <v>3.1944444444444449E-2</v>
      </c>
      <c r="U12" s="51">
        <v>1.8749999999999999E-2</v>
      </c>
      <c r="V12" s="51"/>
      <c r="W12" s="51"/>
      <c r="X12" s="51"/>
      <c r="Y12" s="51"/>
      <c r="Z12" s="51"/>
      <c r="AA12" s="51">
        <f t="shared" si="0"/>
        <v>6.5277777777777782E-2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51">
        <v>0.10486111111111111</v>
      </c>
      <c r="K13" s="51">
        <v>4.1666666666666666E-3</v>
      </c>
      <c r="L13" s="51"/>
      <c r="M13" s="51">
        <v>6.9444444444444447E-4</v>
      </c>
      <c r="N13" s="51">
        <v>4.8611111111111112E-3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>
        <f t="shared" si="0"/>
        <v>0.11458333333333333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52"/>
      <c r="K14" s="52">
        <v>8.3333333333333332E-3</v>
      </c>
      <c r="L14" s="52"/>
      <c r="M14" s="52">
        <v>6.9444444444444441E-3</v>
      </c>
      <c r="N14" s="52">
        <v>5.5555555555555558E-3</v>
      </c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>
        <f t="shared" si="0"/>
        <v>2.0833333333333332E-2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49">
        <v>0.39166666666666666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>
        <f t="shared" si="0"/>
        <v>0.39166666666666666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51"/>
      <c r="K16" s="51">
        <v>6.2499999999999995E-3</v>
      </c>
      <c r="L16" s="51">
        <v>9.0277777777777787E-3</v>
      </c>
      <c r="M16" s="51">
        <v>5.5555555555555558E-3</v>
      </c>
      <c r="N16" s="51">
        <v>5.5555555555555558E-3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>
        <f t="shared" si="0"/>
        <v>2.6388888888888892E-2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51">
        <v>7.8472222222222221E-2</v>
      </c>
      <c r="K18" s="51"/>
      <c r="L18" s="51"/>
      <c r="M18" s="51"/>
      <c r="N18" s="51">
        <v>6.9444444444444447E-4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>
        <f t="shared" si="0"/>
        <v>7.9166666666666663E-2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51"/>
      <c r="K19" s="51">
        <v>8.3333333333333332E-3</v>
      </c>
      <c r="L19" s="51"/>
      <c r="M19" s="51">
        <v>6.9444444444444447E-4</v>
      </c>
      <c r="N19" s="51">
        <v>6.9444444444444441E-3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>
        <f t="shared" si="0"/>
        <v>1.5972222222222221E-2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51">
        <v>0.29444444444444445</v>
      </c>
      <c r="K20" s="51"/>
      <c r="L20" s="51"/>
      <c r="M20" s="51">
        <v>1.3888888888888889E-3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>
        <f t="shared" si="0"/>
        <v>0.29583333333333334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52">
        <v>0.30277777777777776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>
        <f t="shared" si="0"/>
        <v>0.30277777777777776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46">
        <f t="shared" ref="J22:Z22" si="4">J8+J15</f>
        <v>0.45833333333333331</v>
      </c>
      <c r="K22" s="46">
        <f t="shared" si="4"/>
        <v>0</v>
      </c>
      <c r="L22" s="46">
        <f t="shared" si="4"/>
        <v>0</v>
      </c>
      <c r="M22" s="46">
        <f t="shared" si="4"/>
        <v>4.1666666666666666E-3</v>
      </c>
      <c r="N22" s="46">
        <f t="shared" si="4"/>
        <v>0</v>
      </c>
      <c r="O22" s="46">
        <f t="shared" si="4"/>
        <v>0</v>
      </c>
      <c r="P22" s="46">
        <f t="shared" si="4"/>
        <v>0</v>
      </c>
      <c r="Q22" s="46">
        <f t="shared" si="4"/>
        <v>0</v>
      </c>
      <c r="R22" s="46">
        <f t="shared" si="4"/>
        <v>0</v>
      </c>
      <c r="S22" s="46">
        <f t="shared" si="4"/>
        <v>0</v>
      </c>
      <c r="T22" s="46">
        <f t="shared" si="4"/>
        <v>7.4305555555555555E-2</v>
      </c>
      <c r="U22" s="46">
        <f t="shared" si="4"/>
        <v>0</v>
      </c>
      <c r="V22" s="46">
        <f t="shared" si="4"/>
        <v>0</v>
      </c>
      <c r="W22" s="46">
        <f t="shared" si="4"/>
        <v>0</v>
      </c>
      <c r="X22" s="46">
        <f t="shared" si="4"/>
        <v>0</v>
      </c>
      <c r="Y22" s="46">
        <f t="shared" si="4"/>
        <v>0</v>
      </c>
      <c r="Z22" s="46">
        <f t="shared" si="4"/>
        <v>0</v>
      </c>
      <c r="AA22" s="46">
        <f>SUM(J22:Z22)</f>
        <v>0.53680555555555554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47">
        <f t="shared" ref="J23:Z23" si="5">J9+J16</f>
        <v>0</v>
      </c>
      <c r="K23" s="47">
        <f t="shared" si="5"/>
        <v>6.2499999999999995E-3</v>
      </c>
      <c r="L23" s="47">
        <f t="shared" si="5"/>
        <v>9.0277777777777787E-3</v>
      </c>
      <c r="M23" s="47">
        <f t="shared" si="5"/>
        <v>8.3333333333333332E-3</v>
      </c>
      <c r="N23" s="47">
        <f t="shared" si="5"/>
        <v>1.1111111111111112E-2</v>
      </c>
      <c r="O23" s="47">
        <f t="shared" si="5"/>
        <v>0</v>
      </c>
      <c r="P23" s="47">
        <f t="shared" si="5"/>
        <v>0</v>
      </c>
      <c r="Q23" s="47">
        <f t="shared" si="5"/>
        <v>0</v>
      </c>
      <c r="R23" s="47">
        <f t="shared" si="5"/>
        <v>0</v>
      </c>
      <c r="S23" s="47">
        <f t="shared" si="5"/>
        <v>0</v>
      </c>
      <c r="T23" s="47">
        <f t="shared" si="5"/>
        <v>7.5694444444444439E-2</v>
      </c>
      <c r="U23" s="47">
        <f t="shared" si="5"/>
        <v>0</v>
      </c>
      <c r="V23" s="47">
        <f t="shared" si="5"/>
        <v>0</v>
      </c>
      <c r="W23" s="47">
        <f t="shared" si="5"/>
        <v>0</v>
      </c>
      <c r="X23" s="47">
        <f t="shared" si="5"/>
        <v>0</v>
      </c>
      <c r="Y23" s="47">
        <f t="shared" si="5"/>
        <v>0</v>
      </c>
      <c r="Z23" s="47">
        <f t="shared" si="5"/>
        <v>0</v>
      </c>
      <c r="AA23" s="47">
        <f t="shared" ref="AA23" si="6">SUM(J23:Z23)</f>
        <v>0.11041666666666666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47">
        <f t="shared" ref="J24:Z24" si="7">J10+J17</f>
        <v>0</v>
      </c>
      <c r="K24" s="47">
        <f t="shared" si="7"/>
        <v>0</v>
      </c>
      <c r="L24" s="47">
        <f t="shared" si="7"/>
        <v>0</v>
      </c>
      <c r="M24" s="47">
        <f t="shared" si="7"/>
        <v>0</v>
      </c>
      <c r="N24" s="47">
        <f t="shared" si="7"/>
        <v>0</v>
      </c>
      <c r="O24" s="47">
        <f t="shared" si="7"/>
        <v>0</v>
      </c>
      <c r="P24" s="47">
        <f t="shared" si="7"/>
        <v>0</v>
      </c>
      <c r="Q24" s="47">
        <f t="shared" si="7"/>
        <v>0</v>
      </c>
      <c r="R24" s="47">
        <f t="shared" si="7"/>
        <v>0</v>
      </c>
      <c r="S24" s="47">
        <f t="shared" si="7"/>
        <v>0</v>
      </c>
      <c r="T24" s="47">
        <f t="shared" si="7"/>
        <v>0</v>
      </c>
      <c r="U24" s="47">
        <f t="shared" si="7"/>
        <v>0</v>
      </c>
      <c r="V24" s="47">
        <f t="shared" si="7"/>
        <v>0</v>
      </c>
      <c r="W24" s="47">
        <f t="shared" si="7"/>
        <v>0</v>
      </c>
      <c r="X24" s="47">
        <f t="shared" si="7"/>
        <v>0</v>
      </c>
      <c r="Y24" s="47">
        <f t="shared" si="7"/>
        <v>0</v>
      </c>
      <c r="Z24" s="47">
        <f t="shared" si="7"/>
        <v>0</v>
      </c>
      <c r="AA24" s="47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47">
        <f t="shared" ref="J25:Z25" si="9">J11+J18</f>
        <v>0.25694444444444442</v>
      </c>
      <c r="K25" s="47">
        <f t="shared" si="9"/>
        <v>0</v>
      </c>
      <c r="L25" s="47">
        <f t="shared" si="9"/>
        <v>0</v>
      </c>
      <c r="M25" s="47">
        <f t="shared" si="9"/>
        <v>0</v>
      </c>
      <c r="N25" s="47">
        <f t="shared" si="9"/>
        <v>7.6388888888888886E-3</v>
      </c>
      <c r="O25" s="47">
        <f t="shared" si="9"/>
        <v>0</v>
      </c>
      <c r="P25" s="47">
        <f t="shared" si="9"/>
        <v>0</v>
      </c>
      <c r="Q25" s="47">
        <f t="shared" si="9"/>
        <v>0</v>
      </c>
      <c r="R25" s="47">
        <f t="shared" si="9"/>
        <v>0</v>
      </c>
      <c r="S25" s="47">
        <f t="shared" si="9"/>
        <v>0</v>
      </c>
      <c r="T25" s="47">
        <f t="shared" si="9"/>
        <v>6.9444444444444434E-2</v>
      </c>
      <c r="U25" s="47">
        <f t="shared" si="9"/>
        <v>0</v>
      </c>
      <c r="V25" s="47">
        <f t="shared" si="9"/>
        <v>0</v>
      </c>
      <c r="W25" s="47">
        <f t="shared" si="9"/>
        <v>0</v>
      </c>
      <c r="X25" s="47">
        <f t="shared" si="9"/>
        <v>0</v>
      </c>
      <c r="Y25" s="47">
        <f t="shared" si="9"/>
        <v>0</v>
      </c>
      <c r="Z25" s="47">
        <f t="shared" si="9"/>
        <v>0</v>
      </c>
      <c r="AA25" s="47">
        <f t="shared" si="8"/>
        <v>0.3340277777777777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47">
        <f t="shared" ref="J26:Z26" si="10">J12+J19</f>
        <v>0</v>
      </c>
      <c r="K26" s="47">
        <f t="shared" si="10"/>
        <v>1.1111111111111112E-2</v>
      </c>
      <c r="L26" s="47">
        <f t="shared" si="10"/>
        <v>0</v>
      </c>
      <c r="M26" s="47">
        <f t="shared" si="10"/>
        <v>5.5555555555555558E-3</v>
      </c>
      <c r="N26" s="47">
        <f t="shared" si="10"/>
        <v>1.3888888888888888E-2</v>
      </c>
      <c r="O26" s="47">
        <f t="shared" si="10"/>
        <v>0</v>
      </c>
      <c r="P26" s="47">
        <f t="shared" si="10"/>
        <v>0</v>
      </c>
      <c r="Q26" s="47">
        <f t="shared" si="10"/>
        <v>0</v>
      </c>
      <c r="R26" s="47">
        <f t="shared" si="10"/>
        <v>0</v>
      </c>
      <c r="S26" s="47">
        <f t="shared" si="10"/>
        <v>0</v>
      </c>
      <c r="T26" s="47">
        <f t="shared" si="10"/>
        <v>3.1944444444444449E-2</v>
      </c>
      <c r="U26" s="47">
        <f t="shared" si="10"/>
        <v>1.8749999999999999E-2</v>
      </c>
      <c r="V26" s="47">
        <f t="shared" si="10"/>
        <v>0</v>
      </c>
      <c r="W26" s="47">
        <f t="shared" si="10"/>
        <v>0</v>
      </c>
      <c r="X26" s="47">
        <f t="shared" si="10"/>
        <v>0</v>
      </c>
      <c r="Y26" s="47">
        <f t="shared" si="10"/>
        <v>0</v>
      </c>
      <c r="Z26" s="47">
        <f t="shared" si="10"/>
        <v>0</v>
      </c>
      <c r="AA26" s="47">
        <f t="shared" si="8"/>
        <v>8.1250000000000003E-2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47">
        <f t="shared" ref="J27:Z27" si="11">J13+J20</f>
        <v>0.39930555555555558</v>
      </c>
      <c r="K27" s="47">
        <f t="shared" si="11"/>
        <v>4.1666666666666666E-3</v>
      </c>
      <c r="L27" s="47">
        <f t="shared" si="11"/>
        <v>0</v>
      </c>
      <c r="M27" s="47">
        <f t="shared" si="11"/>
        <v>2.0833333333333333E-3</v>
      </c>
      <c r="N27" s="47">
        <f t="shared" si="11"/>
        <v>4.8611111111111112E-3</v>
      </c>
      <c r="O27" s="47">
        <f t="shared" si="11"/>
        <v>0</v>
      </c>
      <c r="P27" s="47">
        <f t="shared" si="11"/>
        <v>0</v>
      </c>
      <c r="Q27" s="47">
        <f t="shared" si="11"/>
        <v>0</v>
      </c>
      <c r="R27" s="47">
        <f t="shared" si="11"/>
        <v>0</v>
      </c>
      <c r="S27" s="47">
        <f t="shared" si="11"/>
        <v>0</v>
      </c>
      <c r="T27" s="47">
        <f t="shared" si="11"/>
        <v>0</v>
      </c>
      <c r="U27" s="47">
        <f t="shared" si="11"/>
        <v>0</v>
      </c>
      <c r="V27" s="47">
        <f t="shared" si="11"/>
        <v>0</v>
      </c>
      <c r="W27" s="47">
        <f t="shared" si="11"/>
        <v>0</v>
      </c>
      <c r="X27" s="47">
        <f t="shared" si="11"/>
        <v>0</v>
      </c>
      <c r="Y27" s="47">
        <f t="shared" si="11"/>
        <v>0</v>
      </c>
      <c r="Z27" s="47">
        <f t="shared" si="11"/>
        <v>0</v>
      </c>
      <c r="AA27" s="47">
        <f t="shared" si="8"/>
        <v>0.41041666666666665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48">
        <f t="shared" ref="J28:Z28" si="12">J14+J21</f>
        <v>0.30277777777777776</v>
      </c>
      <c r="K28" s="48">
        <f t="shared" si="12"/>
        <v>8.3333333333333332E-3</v>
      </c>
      <c r="L28" s="48">
        <f t="shared" si="12"/>
        <v>0</v>
      </c>
      <c r="M28" s="48">
        <f t="shared" si="12"/>
        <v>6.9444444444444441E-3</v>
      </c>
      <c r="N28" s="48">
        <f t="shared" si="12"/>
        <v>5.5555555555555558E-3</v>
      </c>
      <c r="O28" s="48">
        <f t="shared" si="12"/>
        <v>0</v>
      </c>
      <c r="P28" s="48">
        <f t="shared" si="12"/>
        <v>0</v>
      </c>
      <c r="Q28" s="48">
        <f t="shared" si="12"/>
        <v>0</v>
      </c>
      <c r="R28" s="48">
        <f t="shared" si="12"/>
        <v>0</v>
      </c>
      <c r="S28" s="48">
        <f t="shared" si="12"/>
        <v>0</v>
      </c>
      <c r="T28" s="48">
        <f t="shared" si="12"/>
        <v>0</v>
      </c>
      <c r="U28" s="48">
        <f t="shared" si="12"/>
        <v>0</v>
      </c>
      <c r="V28" s="48">
        <f t="shared" si="12"/>
        <v>0</v>
      </c>
      <c r="W28" s="48">
        <f t="shared" si="12"/>
        <v>0</v>
      </c>
      <c r="X28" s="48">
        <f t="shared" si="12"/>
        <v>0</v>
      </c>
      <c r="Y28" s="48">
        <f t="shared" si="12"/>
        <v>0</v>
      </c>
      <c r="Z28" s="48">
        <f t="shared" si="12"/>
        <v>0</v>
      </c>
      <c r="AA28" s="48">
        <f t="shared" si="8"/>
        <v>0.32361111111111107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B0F0"/>
  </sheetPr>
  <dimension ref="A3:AA28"/>
  <sheetViews>
    <sheetView topLeftCell="A4" zoomScale="115" zoomScaleNormal="115" workbookViewId="0">
      <pane xSplit="2" ySplit="4" topLeftCell="M8" activePane="bottomRight" state="frozen"/>
      <selection activeCell="A5" sqref="A5:A6"/>
      <selection pane="topRight" activeCell="A5" sqref="A5:A6"/>
      <selection pane="bottomLeft" activeCell="A5" sqref="A5:A6"/>
      <selection pane="bottomRight" activeCell="X25" sqref="X25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45646</v>
      </c>
    </row>
    <row r="6" spans="1:27" s="3" customForma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76.5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64</v>
      </c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0.35833333333333334</v>
      </c>
      <c r="K8" s="20"/>
      <c r="L8" s="20"/>
      <c r="M8" s="20"/>
      <c r="N8" s="20"/>
      <c r="O8" s="20"/>
      <c r="P8" s="20"/>
      <c r="Q8" s="20"/>
      <c r="R8" s="20"/>
      <c r="S8" s="20">
        <v>4.1666666666666664E-2</v>
      </c>
      <c r="T8" s="20"/>
      <c r="U8" s="20"/>
      <c r="V8" s="20"/>
      <c r="W8" s="20"/>
      <c r="X8" s="20"/>
      <c r="Y8" s="20"/>
      <c r="Z8" s="20"/>
      <c r="AA8" s="20">
        <f>SUM(J8:Z8)</f>
        <v>0.4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2.9861111111111113E-2</v>
      </c>
      <c r="K9" s="9"/>
      <c r="L9" s="9"/>
      <c r="M9" s="9">
        <v>1.3888888888888888E-2</v>
      </c>
      <c r="N9" s="9"/>
      <c r="O9" s="9">
        <v>1.3888888888888888E-2</v>
      </c>
      <c r="P9" s="9"/>
      <c r="Q9" s="9"/>
      <c r="R9" s="9"/>
      <c r="S9" s="9">
        <v>4.1666666666666664E-2</v>
      </c>
      <c r="T9" s="9"/>
      <c r="U9" s="9"/>
      <c r="V9" s="9"/>
      <c r="W9" s="9"/>
      <c r="X9" s="9"/>
      <c r="Y9" s="9"/>
      <c r="Z9" s="9">
        <v>1.8055555555555557E-2</v>
      </c>
      <c r="AA9" s="9">
        <f t="shared" ref="AA9:AA21" si="0">SUM(J9:Z9)</f>
        <v>0.11736111111111111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5.4166666666666669E-2</v>
      </c>
      <c r="K11" s="9"/>
      <c r="L11" s="9"/>
      <c r="M11" s="9">
        <v>1.5277777777777777E-2</v>
      </c>
      <c r="N11" s="9"/>
      <c r="O11" s="9"/>
      <c r="P11" s="9"/>
      <c r="Q11" s="9"/>
      <c r="R11" s="9"/>
      <c r="S11" s="9">
        <v>4.1666666666666664E-2</v>
      </c>
      <c r="T11" s="9"/>
      <c r="U11" s="9"/>
      <c r="V11" s="9"/>
      <c r="W11" s="9"/>
      <c r="X11" s="9"/>
      <c r="Y11" s="9"/>
      <c r="Z11" s="9">
        <v>1.3888888888888888E-2</v>
      </c>
      <c r="AA11" s="9">
        <f t="shared" si="0"/>
        <v>0.125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1.1111111111111112E-2</v>
      </c>
      <c r="L12" s="9">
        <v>1.4583333333333332E-2</v>
      </c>
      <c r="M12" s="9">
        <v>1.3888888888888888E-2</v>
      </c>
      <c r="N12" s="9"/>
      <c r="O12" s="9"/>
      <c r="P12" s="9"/>
      <c r="Q12" s="9"/>
      <c r="R12" s="9"/>
      <c r="S12" s="9">
        <v>4.1666666666666664E-2</v>
      </c>
      <c r="T12" s="9"/>
      <c r="U12" s="9"/>
      <c r="V12" s="9"/>
      <c r="W12" s="9"/>
      <c r="X12" s="9"/>
      <c r="Y12" s="9"/>
      <c r="Z12" s="9">
        <v>1.1111111111111112E-2</v>
      </c>
      <c r="AA12" s="9">
        <f t="shared" si="0"/>
        <v>9.2361111111111102E-2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>
        <v>0.375</v>
      </c>
      <c r="K13" s="9"/>
      <c r="L13" s="9"/>
      <c r="M13" s="9"/>
      <c r="N13" s="9"/>
      <c r="O13" s="9"/>
      <c r="P13" s="9"/>
      <c r="Q13" s="9"/>
      <c r="R13" s="9"/>
      <c r="S13" s="9">
        <v>4.1666666666666664E-2</v>
      </c>
      <c r="T13" s="9"/>
      <c r="U13" s="9"/>
      <c r="V13" s="9"/>
      <c r="W13" s="9"/>
      <c r="X13" s="9"/>
      <c r="Y13" s="9"/>
      <c r="Z13" s="9"/>
      <c r="AA13" s="9">
        <f t="shared" si="0"/>
        <v>0.41666666666666669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0.375</v>
      </c>
      <c r="K14" s="23"/>
      <c r="L14" s="23"/>
      <c r="M14" s="23"/>
      <c r="N14" s="23"/>
      <c r="O14" s="23"/>
      <c r="P14" s="23"/>
      <c r="Q14" s="23"/>
      <c r="R14" s="23"/>
      <c r="S14" s="23">
        <v>4.1666666666666664E-2</v>
      </c>
      <c r="T14" s="23"/>
      <c r="U14" s="23"/>
      <c r="V14" s="23"/>
      <c r="W14" s="23"/>
      <c r="X14" s="23"/>
      <c r="Y14" s="23"/>
      <c r="Z14" s="23"/>
      <c r="AA14" s="23">
        <f t="shared" si="0"/>
        <v>0.41666666666666669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>
        <v>6.2499999999999995E-3</v>
      </c>
      <c r="O15" s="30"/>
      <c r="P15" s="30"/>
      <c r="Q15" s="30"/>
      <c r="R15" s="30"/>
      <c r="S15" s="30">
        <v>0.18402777777777779</v>
      </c>
      <c r="T15" s="30">
        <v>0.17013888888888887</v>
      </c>
      <c r="U15" s="30"/>
      <c r="V15" s="30"/>
      <c r="W15" s="30"/>
      <c r="X15" s="30"/>
      <c r="Y15" s="30"/>
      <c r="Z15" s="30"/>
      <c r="AA15" s="30">
        <f t="shared" si="0"/>
        <v>0.36041666666666666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>
        <v>6.9444444444444441E-3</v>
      </c>
      <c r="O16" s="9"/>
      <c r="P16" s="9"/>
      <c r="Q16" s="9"/>
      <c r="R16" s="9"/>
      <c r="S16" s="9">
        <v>0.18402777777777779</v>
      </c>
      <c r="T16" s="9">
        <v>6.5972222222222224E-2</v>
      </c>
      <c r="U16" s="9"/>
      <c r="V16" s="9"/>
      <c r="W16" s="9"/>
      <c r="X16" s="9"/>
      <c r="Y16" s="9"/>
      <c r="Z16" s="9"/>
      <c r="AA16" s="9">
        <f t="shared" si="0"/>
        <v>0.25694444444444448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>
        <v>0.18402777777777779</v>
      </c>
      <c r="T18" s="9"/>
      <c r="U18" s="9"/>
      <c r="V18" s="9"/>
      <c r="W18" s="9">
        <v>0.23263888888888887</v>
      </c>
      <c r="X18" s="9"/>
      <c r="Y18" s="9"/>
      <c r="Z18" s="9"/>
      <c r="AA18" s="9">
        <f t="shared" si="0"/>
        <v>0.41666666666666663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>
        <v>0.18402777777777779</v>
      </c>
      <c r="T19" s="9"/>
      <c r="U19" s="9"/>
      <c r="V19" s="9"/>
      <c r="W19" s="9">
        <v>0.23263888888888887</v>
      </c>
      <c r="X19" s="9"/>
      <c r="Y19" s="9"/>
      <c r="Z19" s="9"/>
      <c r="AA19" s="9">
        <f t="shared" si="0"/>
        <v>0.41666666666666663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>
        <v>0.18402777777777779</v>
      </c>
      <c r="T20" s="9"/>
      <c r="U20" s="9"/>
      <c r="V20" s="9"/>
      <c r="W20" s="9">
        <v>0.23263888888888887</v>
      </c>
      <c r="X20" s="9"/>
      <c r="Y20" s="9"/>
      <c r="Z20" s="9"/>
      <c r="AA20" s="9">
        <f t="shared" si="0"/>
        <v>0.41666666666666663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>
        <v>0.23263888888888887</v>
      </c>
      <c r="K21" s="23"/>
      <c r="L21" s="23"/>
      <c r="M21" s="23"/>
      <c r="N21" s="23"/>
      <c r="O21" s="23"/>
      <c r="P21" s="23"/>
      <c r="Q21" s="23"/>
      <c r="R21" s="23"/>
      <c r="S21" s="23">
        <v>0.18402777777777779</v>
      </c>
      <c r="T21" s="23"/>
      <c r="U21" s="23"/>
      <c r="V21" s="23"/>
      <c r="W21" s="23"/>
      <c r="X21" s="23"/>
      <c r="Y21" s="23"/>
      <c r="Z21" s="23"/>
      <c r="AA21" s="23">
        <f t="shared" si="0"/>
        <v>0.41666666666666663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0.35833333333333334</v>
      </c>
      <c r="K22" s="27">
        <f t="shared" si="4"/>
        <v>0</v>
      </c>
      <c r="L22" s="27">
        <f t="shared" si="4"/>
        <v>0</v>
      </c>
      <c r="M22" s="27">
        <f t="shared" si="4"/>
        <v>0</v>
      </c>
      <c r="N22" s="27">
        <f t="shared" si="4"/>
        <v>6.2499999999999995E-3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0.22569444444444445</v>
      </c>
      <c r="T22" s="27">
        <f t="shared" si="4"/>
        <v>0.17013888888888887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0.76041666666666663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2.9861111111111113E-2</v>
      </c>
      <c r="K23" s="13">
        <f t="shared" si="5"/>
        <v>0</v>
      </c>
      <c r="L23" s="13">
        <f t="shared" si="5"/>
        <v>0</v>
      </c>
      <c r="M23" s="13">
        <f t="shared" si="5"/>
        <v>1.3888888888888888E-2</v>
      </c>
      <c r="N23" s="13">
        <f t="shared" si="5"/>
        <v>6.9444444444444441E-3</v>
      </c>
      <c r="O23" s="13">
        <f t="shared" si="5"/>
        <v>1.3888888888888888E-2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0.22569444444444445</v>
      </c>
      <c r="T23" s="13">
        <f t="shared" si="5"/>
        <v>6.5972222222222224E-2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1.8055555555555557E-2</v>
      </c>
      <c r="AA23" s="13">
        <f t="shared" ref="AA23" si="6">SUM(J23:Z23)</f>
        <v>0.3743055555555555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5.4166666666666669E-2</v>
      </c>
      <c r="K25" s="13">
        <f t="shared" si="9"/>
        <v>0</v>
      </c>
      <c r="L25" s="13">
        <f t="shared" si="9"/>
        <v>0</v>
      </c>
      <c r="M25" s="13">
        <f t="shared" si="9"/>
        <v>1.5277777777777777E-2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0.22569444444444445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0.23263888888888887</v>
      </c>
      <c r="X25" s="13">
        <f t="shared" si="9"/>
        <v>0</v>
      </c>
      <c r="Y25" s="13">
        <f t="shared" si="9"/>
        <v>0</v>
      </c>
      <c r="Z25" s="13">
        <f t="shared" si="9"/>
        <v>1.3888888888888888E-2</v>
      </c>
      <c r="AA25" s="13">
        <f t="shared" si="8"/>
        <v>0.54166666666666663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1.1111111111111112E-2</v>
      </c>
      <c r="L26" s="13">
        <f t="shared" si="10"/>
        <v>1.4583333333333332E-2</v>
      </c>
      <c r="M26" s="13">
        <f t="shared" si="10"/>
        <v>1.3888888888888888E-2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0.22569444444444445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0.23263888888888887</v>
      </c>
      <c r="X26" s="13">
        <f t="shared" si="10"/>
        <v>0</v>
      </c>
      <c r="Y26" s="13">
        <f t="shared" si="10"/>
        <v>0</v>
      </c>
      <c r="Z26" s="13">
        <f t="shared" si="10"/>
        <v>1.1111111111111112E-2</v>
      </c>
      <c r="AA26" s="13">
        <f t="shared" si="8"/>
        <v>0.50902777777777775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0.375</v>
      </c>
      <c r="K27" s="13">
        <f t="shared" si="11"/>
        <v>0</v>
      </c>
      <c r="L27" s="13">
        <f t="shared" si="11"/>
        <v>0</v>
      </c>
      <c r="M27" s="13">
        <f t="shared" si="11"/>
        <v>0</v>
      </c>
      <c r="N27" s="13">
        <f t="shared" si="11"/>
        <v>0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0.22569444444444445</v>
      </c>
      <c r="T27" s="13">
        <f t="shared" si="11"/>
        <v>0</v>
      </c>
      <c r="U27" s="13">
        <f t="shared" si="11"/>
        <v>0</v>
      </c>
      <c r="V27" s="13">
        <f t="shared" si="11"/>
        <v>0</v>
      </c>
      <c r="W27" s="13">
        <f t="shared" si="11"/>
        <v>0.23263888888888887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0.83333333333333326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0.60763888888888884</v>
      </c>
      <c r="K28" s="17">
        <f t="shared" si="12"/>
        <v>0</v>
      </c>
      <c r="L28" s="17">
        <f t="shared" si="12"/>
        <v>0</v>
      </c>
      <c r="M28" s="17">
        <f t="shared" si="12"/>
        <v>0</v>
      </c>
      <c r="N28" s="17">
        <f t="shared" si="12"/>
        <v>0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0.22569444444444445</v>
      </c>
      <c r="T28" s="17">
        <f t="shared" si="12"/>
        <v>0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0.83333333333333326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B0F0"/>
  </sheetPr>
  <dimension ref="A3:AK28"/>
  <sheetViews>
    <sheetView topLeftCell="A4" zoomScale="115" zoomScaleNormal="115" workbookViewId="0">
      <pane xSplit="2" ySplit="4" topLeftCell="J15" activePane="bottomRight" state="frozen"/>
      <selection activeCell="A5" sqref="A5:A6"/>
      <selection pane="topRight" activeCell="A5" sqref="A5:A6"/>
      <selection pane="bottomLeft" activeCell="A5" sqref="A5:A6"/>
      <selection pane="bottomRight" activeCell="K19" sqref="K19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45647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>
        <v>2.7777777777777779E-3</v>
      </c>
      <c r="L8" s="20"/>
      <c r="M8" s="20">
        <v>3.472222222222222E-3</v>
      </c>
      <c r="N8" s="20">
        <v>6.9444444444444441E-3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1.3194444444444444E-2</v>
      </c>
      <c r="AB8" s="9">
        <f>+J8+O8+Q8+U8</f>
        <v>0</v>
      </c>
      <c r="AC8" s="73">
        <f>0+(0/60)</f>
        <v>0</v>
      </c>
      <c r="AD8" s="8">
        <v>400</v>
      </c>
      <c r="AE8" s="97">
        <f>+AC8*AD8</f>
        <v>0</v>
      </c>
      <c r="AF8" s="190">
        <f>SUM(AE8:AE14)</f>
        <v>458.33333333333331</v>
      </c>
      <c r="AG8" s="9">
        <f>+K8+L8+M8+N8+R8+S8+T8+V8+W8+X8+Y8+Z8</f>
        <v>1.3194444444444444E-2</v>
      </c>
      <c r="AH8" s="73">
        <f>3+(31/60)</f>
        <v>3.5166666666666666</v>
      </c>
      <c r="AI8" s="8">
        <v>400</v>
      </c>
      <c r="AJ8" s="97">
        <f>+AH8*AI8</f>
        <v>1406.6666666666667</v>
      </c>
      <c r="AK8" s="190">
        <f>SUM(AJ8:AJ14)</f>
        <v>6234.1666666666661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>
        <v>2.0833333333333333E-3</v>
      </c>
      <c r="L9" s="9"/>
      <c r="M9" s="9">
        <v>3.472222222222222E-3</v>
      </c>
      <c r="N9" s="9">
        <v>3.472222222222222E-3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9.0277777777777769E-3</v>
      </c>
      <c r="AB9" s="9">
        <f t="shared" ref="AB9:AB14" si="1">+J9+O9+Q9+U9</f>
        <v>0</v>
      </c>
      <c r="AC9" s="73">
        <f t="shared" ref="AC9:AC12" si="2">0+(0/60)</f>
        <v>0</v>
      </c>
      <c r="AD9" s="8">
        <v>400</v>
      </c>
      <c r="AE9" s="97">
        <f t="shared" ref="AE9:AE14" si="3">+AC9*AD9</f>
        <v>0</v>
      </c>
      <c r="AF9" s="190"/>
      <c r="AG9" s="9">
        <f t="shared" ref="AG9:AG21" si="4">+K9+L9+M9+N9+R9+S9+T9+V9+W9+X9+Y9+Z9</f>
        <v>9.0277777777777769E-3</v>
      </c>
      <c r="AH9" s="73">
        <f>2+(49/60)</f>
        <v>2.8166666666666664</v>
      </c>
      <c r="AI9" s="8">
        <v>400</v>
      </c>
      <c r="AJ9" s="97">
        <f t="shared" ref="AJ9:AJ14" si="5">+AH9*AI9</f>
        <v>1126.6666666666665</v>
      </c>
      <c r="AK9" s="190"/>
    </row>
    <row r="10" spans="1:3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6">SUM(J10:Z10)</f>
        <v>0</v>
      </c>
      <c r="AB10" s="9">
        <f t="shared" si="1"/>
        <v>0</v>
      </c>
      <c r="AC10" s="73">
        <f t="shared" si="2"/>
        <v>0</v>
      </c>
      <c r="AD10" s="8">
        <v>401</v>
      </c>
      <c r="AE10" s="97">
        <f t="shared" si="3"/>
        <v>0</v>
      </c>
      <c r="AF10" s="190"/>
      <c r="AG10" s="9">
        <f t="shared" si="4"/>
        <v>0</v>
      </c>
      <c r="AH10" s="73">
        <f>0+(33/60)</f>
        <v>0.55000000000000004</v>
      </c>
      <c r="AI10" s="8">
        <v>400</v>
      </c>
      <c r="AJ10" s="97">
        <f t="shared" si="5"/>
        <v>220.00000000000003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20"/>
      <c r="K11" s="20">
        <v>2.7777777777777779E-3</v>
      </c>
      <c r="L11" s="20"/>
      <c r="M11" s="20">
        <v>3.472222222222222E-3</v>
      </c>
      <c r="N11" s="20">
        <v>3.472222222222222E-3</v>
      </c>
      <c r="O11" s="20"/>
      <c r="P11" s="20"/>
      <c r="Q11" s="20"/>
      <c r="R11" s="20"/>
      <c r="S11" s="20"/>
      <c r="T11" s="20"/>
      <c r="U11" s="20"/>
      <c r="V11" s="20"/>
      <c r="W11" s="9"/>
      <c r="X11" s="9"/>
      <c r="Y11" s="9"/>
      <c r="Z11" s="9"/>
      <c r="AA11" s="9">
        <f t="shared" si="0"/>
        <v>9.7222222222222224E-3</v>
      </c>
      <c r="AB11" s="9">
        <f t="shared" si="1"/>
        <v>0</v>
      </c>
      <c r="AC11" s="73">
        <f t="shared" si="2"/>
        <v>0</v>
      </c>
      <c r="AD11" s="8">
        <v>402</v>
      </c>
      <c r="AE11" s="97">
        <f t="shared" si="3"/>
        <v>0</v>
      </c>
      <c r="AF11" s="190"/>
      <c r="AG11" s="9">
        <f t="shared" si="4"/>
        <v>9.7222222222222224E-3</v>
      </c>
      <c r="AH11" s="73">
        <f>0+(0/60)</f>
        <v>0</v>
      </c>
      <c r="AI11" s="8">
        <v>400</v>
      </c>
      <c r="AJ11" s="97">
        <f t="shared" si="5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4.1666666666666664E-2</v>
      </c>
      <c r="K12" s="9"/>
      <c r="L12" s="9"/>
      <c r="M12" s="9">
        <v>6.2499999999999995E-3</v>
      </c>
      <c r="N12" s="9">
        <v>6.9444444444444441E-3</v>
      </c>
      <c r="O12" s="9">
        <v>1.6666666666666666E-2</v>
      </c>
      <c r="P12" s="9"/>
      <c r="Q12" s="9"/>
      <c r="R12" s="9"/>
      <c r="S12" s="20"/>
      <c r="T12" s="9"/>
      <c r="U12" s="9">
        <v>8.3333333333333332E-3</v>
      </c>
      <c r="V12" s="9"/>
      <c r="W12" s="9"/>
      <c r="X12" s="9"/>
      <c r="Y12" s="9"/>
      <c r="Z12" s="9"/>
      <c r="AA12" s="9">
        <f t="shared" si="0"/>
        <v>7.9861111111111105E-2</v>
      </c>
      <c r="AB12" s="9">
        <f t="shared" si="1"/>
        <v>6.6666666666666666E-2</v>
      </c>
      <c r="AC12" s="73">
        <f t="shared" si="2"/>
        <v>0</v>
      </c>
      <c r="AD12" s="8">
        <v>403</v>
      </c>
      <c r="AE12" s="97">
        <f t="shared" si="3"/>
        <v>0</v>
      </c>
      <c r="AF12" s="190"/>
      <c r="AG12" s="9">
        <f t="shared" si="4"/>
        <v>1.3194444444444443E-2</v>
      </c>
      <c r="AH12" s="73">
        <f>2+(42/60)</f>
        <v>2.7</v>
      </c>
      <c r="AI12" s="8">
        <v>400</v>
      </c>
      <c r="AJ12" s="97">
        <f t="shared" si="5"/>
        <v>1080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>
        <v>3.472222222222222E-3</v>
      </c>
      <c r="L13" s="9"/>
      <c r="M13" s="9">
        <v>3.472222222222222E-3</v>
      </c>
      <c r="N13" s="9">
        <v>6.9444444444444441E-3</v>
      </c>
      <c r="O13" s="9"/>
      <c r="P13" s="9"/>
      <c r="Q13" s="9"/>
      <c r="R13" s="9"/>
      <c r="S13" s="20"/>
      <c r="T13" s="9"/>
      <c r="U13" s="9"/>
      <c r="V13" s="9">
        <v>3.6111111111111115E-2</v>
      </c>
      <c r="W13" s="9"/>
      <c r="X13" s="9"/>
      <c r="Y13" s="9"/>
      <c r="Z13" s="9"/>
      <c r="AA13" s="9">
        <f t="shared" si="0"/>
        <v>0.05</v>
      </c>
      <c r="AB13" s="9">
        <f t="shared" si="1"/>
        <v>0</v>
      </c>
      <c r="AC13" s="73">
        <f>0+(30/60)</f>
        <v>0.5</v>
      </c>
      <c r="AD13" s="8">
        <v>450</v>
      </c>
      <c r="AE13" s="97">
        <f t="shared" si="3"/>
        <v>225</v>
      </c>
      <c r="AF13" s="190"/>
      <c r="AG13" s="9">
        <f t="shared" si="4"/>
        <v>0.05</v>
      </c>
      <c r="AH13" s="73">
        <f>2+(57/60)</f>
        <v>2.95</v>
      </c>
      <c r="AI13" s="8">
        <v>450</v>
      </c>
      <c r="AJ13" s="97">
        <f t="shared" si="5"/>
        <v>1327.5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9">
        <v>0.23611111111111113</v>
      </c>
      <c r="K14" s="9">
        <v>7.6388888888888886E-3</v>
      </c>
      <c r="L14" s="9"/>
      <c r="M14" s="9"/>
      <c r="N14" s="9"/>
      <c r="O14" s="9"/>
      <c r="P14" s="9">
        <v>8.3333333333333332E-3</v>
      </c>
      <c r="Q14" s="9"/>
      <c r="R14" s="9"/>
      <c r="S14" s="9"/>
      <c r="T14" s="9"/>
      <c r="U14" s="9"/>
      <c r="V14" s="23">
        <v>2.0833333333333332E-2</v>
      </c>
      <c r="W14" s="23">
        <v>3.3333333333333333E-2</v>
      </c>
      <c r="X14" s="23"/>
      <c r="Y14" s="23"/>
      <c r="Z14" s="23"/>
      <c r="AA14" s="23">
        <f t="shared" si="0"/>
        <v>0.30625000000000002</v>
      </c>
      <c r="AB14" s="23">
        <f t="shared" si="1"/>
        <v>0.23611111111111113</v>
      </c>
      <c r="AC14" s="100">
        <f>0+(40/60)</f>
        <v>0.66666666666666663</v>
      </c>
      <c r="AD14" s="22">
        <v>350</v>
      </c>
      <c r="AE14" s="101">
        <f t="shared" si="3"/>
        <v>233.33333333333331</v>
      </c>
      <c r="AF14" s="191"/>
      <c r="AG14" s="23">
        <f t="shared" si="4"/>
        <v>6.1805555555555558E-2</v>
      </c>
      <c r="AH14" s="100">
        <f>3+(4/60)</f>
        <v>3.0666666666666669</v>
      </c>
      <c r="AI14" s="22">
        <v>350</v>
      </c>
      <c r="AJ14" s="101">
        <f t="shared" si="5"/>
        <v>1073.3333333333335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20"/>
      <c r="K15" s="30"/>
      <c r="L15" s="30"/>
      <c r="M15" s="30"/>
      <c r="N15" s="30"/>
      <c r="O15" s="30"/>
      <c r="P15" s="30"/>
      <c r="Q15" s="30"/>
      <c r="R15" s="30"/>
      <c r="S15" s="30">
        <v>0.17013888888888887</v>
      </c>
      <c r="T15" s="30">
        <v>4.1666666666666664E-2</v>
      </c>
      <c r="U15" s="30"/>
      <c r="V15" s="30"/>
      <c r="W15" s="30">
        <v>4.8611111111111112E-2</v>
      </c>
      <c r="X15" s="30"/>
      <c r="Y15" s="30"/>
      <c r="Z15" s="30"/>
      <c r="AA15" s="30">
        <f t="shared" si="0"/>
        <v>0.26041666666666663</v>
      </c>
      <c r="AB15" s="20">
        <f>+J15+O15+Q15+U15</f>
        <v>0</v>
      </c>
      <c r="AC15" s="98">
        <f>0+(0/60)</f>
        <v>0</v>
      </c>
      <c r="AD15" s="19">
        <v>400</v>
      </c>
      <c r="AE15" s="99">
        <f>+AC15*AD15</f>
        <v>0</v>
      </c>
      <c r="AF15" s="192">
        <f>SUM(AE15:AE21)</f>
        <v>2466.6666666666665</v>
      </c>
      <c r="AG15" s="20">
        <f t="shared" si="4"/>
        <v>0.26041666666666663</v>
      </c>
      <c r="AH15" s="73">
        <f>0+(12/60)</f>
        <v>0.2</v>
      </c>
      <c r="AI15" s="19">
        <v>400</v>
      </c>
      <c r="AJ15" s="99">
        <f>+AH15*AI15</f>
        <v>80</v>
      </c>
      <c r="AK15" s="192">
        <f>SUM(AJ15:AJ21)</f>
        <v>2823.333333333333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>
        <v>1.0416666666666666E-2</v>
      </c>
      <c r="R16" s="9"/>
      <c r="S16" s="9">
        <v>0.17013888888888887</v>
      </c>
      <c r="T16" s="9">
        <v>4.8611111111111112E-2</v>
      </c>
      <c r="U16" s="9"/>
      <c r="V16" s="9"/>
      <c r="W16" s="9"/>
      <c r="X16" s="9"/>
      <c r="Y16" s="9"/>
      <c r="Z16" s="9"/>
      <c r="AA16" s="9">
        <f t="shared" si="0"/>
        <v>0.22916666666666663</v>
      </c>
      <c r="AB16" s="9">
        <f t="shared" ref="AB16:AB21" si="7">+J16+O16+Q16+U16</f>
        <v>1.0416666666666666E-2</v>
      </c>
      <c r="AC16" s="73">
        <f>2+(48/60)</f>
        <v>2.8</v>
      </c>
      <c r="AD16" s="8">
        <v>400</v>
      </c>
      <c r="AE16" s="97">
        <f t="shared" ref="AE16:AE21" si="8">+AC16*AD16</f>
        <v>1120</v>
      </c>
      <c r="AF16" s="190"/>
      <c r="AG16" s="9">
        <f t="shared" si="4"/>
        <v>0.21874999999999997</v>
      </c>
      <c r="AH16" s="73">
        <f>0+(1/60)</f>
        <v>1.6666666666666666E-2</v>
      </c>
      <c r="AI16" s="8">
        <v>400</v>
      </c>
      <c r="AJ16" s="97">
        <f t="shared" ref="AJ16:AJ21" si="9">+AH16*AI16</f>
        <v>6.666666666666667</v>
      </c>
      <c r="AK16" s="190"/>
    </row>
    <row r="17" spans="1:3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10">SUM(J17:Z17)</f>
        <v>0</v>
      </c>
      <c r="AB17" s="9">
        <f t="shared" si="7"/>
        <v>0</v>
      </c>
      <c r="AC17" s="73">
        <f>2+(11/60)</f>
        <v>2.1833333333333331</v>
      </c>
      <c r="AD17" s="8">
        <v>400</v>
      </c>
      <c r="AE17" s="97">
        <f t="shared" si="8"/>
        <v>873.33333333333326</v>
      </c>
      <c r="AF17" s="190"/>
      <c r="AG17" s="9">
        <f t="shared" si="4"/>
        <v>0</v>
      </c>
      <c r="AH17" s="73">
        <f>1+(16/60)</f>
        <v>1.2666666666666666</v>
      </c>
      <c r="AI17" s="8">
        <v>400</v>
      </c>
      <c r="AJ17" s="97">
        <f t="shared" si="9"/>
        <v>506.66666666666663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>
        <v>0.17013888888888887</v>
      </c>
      <c r="T18" s="9">
        <v>4.8611111111111112E-2</v>
      </c>
      <c r="U18" s="9"/>
      <c r="V18" s="9"/>
      <c r="W18" s="9">
        <v>4.8611111111111112E-2</v>
      </c>
      <c r="X18" s="9"/>
      <c r="Y18" s="9"/>
      <c r="Z18" s="9"/>
      <c r="AA18" s="9">
        <f t="shared" si="0"/>
        <v>0.2673611111111111</v>
      </c>
      <c r="AB18" s="9">
        <f t="shared" si="7"/>
        <v>0</v>
      </c>
      <c r="AC18" s="73">
        <f t="shared" ref="AC18:AC21" si="11">0+(0/60)</f>
        <v>0</v>
      </c>
      <c r="AD18" s="8">
        <v>400</v>
      </c>
      <c r="AE18" s="97">
        <f t="shared" si="8"/>
        <v>0</v>
      </c>
      <c r="AF18" s="190"/>
      <c r="AG18" s="9">
        <f t="shared" si="4"/>
        <v>0.2673611111111111</v>
      </c>
      <c r="AH18" s="73">
        <f>0+(0/60)</f>
        <v>0</v>
      </c>
      <c r="AI18" s="8">
        <v>400</v>
      </c>
      <c r="AJ18" s="97">
        <f t="shared" si="9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2.4305555555555556E-2</v>
      </c>
      <c r="L19" s="9"/>
      <c r="M19" s="9"/>
      <c r="N19" s="9"/>
      <c r="O19" s="9"/>
      <c r="P19" s="9"/>
      <c r="Q19" s="9"/>
      <c r="R19" s="9"/>
      <c r="S19" s="9">
        <v>0.17013888888888887</v>
      </c>
      <c r="T19" s="9">
        <v>2.4305555555555556E-2</v>
      </c>
      <c r="U19" s="9"/>
      <c r="V19" s="9"/>
      <c r="W19" s="9">
        <v>0.10416666666666667</v>
      </c>
      <c r="X19" s="9">
        <v>1.5972222222222224E-2</v>
      </c>
      <c r="Y19" s="9"/>
      <c r="Z19" s="9"/>
      <c r="AA19" s="9">
        <f t="shared" si="0"/>
        <v>0.33888888888888885</v>
      </c>
      <c r="AB19" s="9">
        <f t="shared" si="7"/>
        <v>0</v>
      </c>
      <c r="AC19" s="73">
        <f>1+(11/60)</f>
        <v>1.1833333333333333</v>
      </c>
      <c r="AD19" s="8">
        <v>400</v>
      </c>
      <c r="AE19" s="97">
        <f t="shared" si="8"/>
        <v>473.33333333333331</v>
      </c>
      <c r="AF19" s="190"/>
      <c r="AG19" s="9">
        <f t="shared" si="4"/>
        <v>0.33888888888888885</v>
      </c>
      <c r="AH19" s="73">
        <f>0+(32/60)</f>
        <v>0.53333333333333333</v>
      </c>
      <c r="AI19" s="8">
        <v>400</v>
      </c>
      <c r="AJ19" s="97">
        <f t="shared" si="9"/>
        <v>213.33333333333334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>
        <v>0.17013888888888887</v>
      </c>
      <c r="T20" s="9">
        <v>2.4305555555555556E-2</v>
      </c>
      <c r="U20" s="9"/>
      <c r="V20" s="9"/>
      <c r="W20" s="9">
        <v>0.10069444444444443</v>
      </c>
      <c r="X20" s="9"/>
      <c r="Y20" s="9"/>
      <c r="Z20" s="9"/>
      <c r="AA20" s="9">
        <f t="shared" si="0"/>
        <v>0.29513888888888884</v>
      </c>
      <c r="AB20" s="9">
        <f t="shared" si="7"/>
        <v>0</v>
      </c>
      <c r="AC20" s="73">
        <f t="shared" si="11"/>
        <v>0</v>
      </c>
      <c r="AD20" s="8">
        <v>450</v>
      </c>
      <c r="AE20" s="97">
        <f t="shared" si="8"/>
        <v>0</v>
      </c>
      <c r="AF20" s="190"/>
      <c r="AG20" s="9">
        <f t="shared" si="4"/>
        <v>0.29513888888888884</v>
      </c>
      <c r="AH20" s="73">
        <f>0+(6/60)</f>
        <v>0.1</v>
      </c>
      <c r="AI20" s="8">
        <v>450</v>
      </c>
      <c r="AJ20" s="97">
        <f t="shared" si="9"/>
        <v>45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>
        <v>4.5833333333333337E-2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>
        <v>0.22847222222222222</v>
      </c>
      <c r="W21" s="23"/>
      <c r="X21" s="23"/>
      <c r="Y21" s="23"/>
      <c r="Z21" s="23"/>
      <c r="AA21" s="23">
        <f t="shared" si="0"/>
        <v>0.27430555555555558</v>
      </c>
      <c r="AB21" s="102">
        <f t="shared" si="7"/>
        <v>4.5833333333333337E-2</v>
      </c>
      <c r="AC21" s="77">
        <f t="shared" si="11"/>
        <v>0</v>
      </c>
      <c r="AD21" s="103">
        <v>350</v>
      </c>
      <c r="AE21" s="104">
        <f t="shared" si="8"/>
        <v>0</v>
      </c>
      <c r="AF21" s="193"/>
      <c r="AG21" s="102">
        <f t="shared" si="4"/>
        <v>0.22847222222222222</v>
      </c>
      <c r="AH21" s="73">
        <f>5+(38/60)</f>
        <v>5.6333333333333329</v>
      </c>
      <c r="AI21" s="103">
        <v>350</v>
      </c>
      <c r="AJ21" s="104">
        <f t="shared" si="9"/>
        <v>1971.6666666666665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2">E8+E15</f>
        <v>0</v>
      </c>
      <c r="F22" s="26">
        <f t="shared" si="12"/>
        <v>0</v>
      </c>
      <c r="G22" s="25"/>
      <c r="H22" s="25"/>
      <c r="I22" s="25"/>
      <c r="J22" s="27">
        <f t="shared" ref="J22:Z22" si="13">J8+J15</f>
        <v>0</v>
      </c>
      <c r="K22" s="27">
        <f t="shared" si="13"/>
        <v>2.7777777777777779E-3</v>
      </c>
      <c r="L22" s="27">
        <f t="shared" si="13"/>
        <v>0</v>
      </c>
      <c r="M22" s="27">
        <f t="shared" si="13"/>
        <v>3.472222222222222E-3</v>
      </c>
      <c r="N22" s="27">
        <f t="shared" si="13"/>
        <v>6.9444444444444441E-3</v>
      </c>
      <c r="O22" s="27">
        <f t="shared" si="13"/>
        <v>0</v>
      </c>
      <c r="P22" s="27">
        <f t="shared" si="13"/>
        <v>0</v>
      </c>
      <c r="Q22" s="27">
        <f t="shared" si="13"/>
        <v>0</v>
      </c>
      <c r="R22" s="27">
        <f t="shared" si="13"/>
        <v>0</v>
      </c>
      <c r="S22" s="27">
        <f t="shared" si="13"/>
        <v>0.17013888888888887</v>
      </c>
      <c r="T22" s="27">
        <f t="shared" si="13"/>
        <v>4.1666666666666664E-2</v>
      </c>
      <c r="U22" s="27">
        <f t="shared" si="13"/>
        <v>0</v>
      </c>
      <c r="V22" s="27">
        <f t="shared" si="13"/>
        <v>0</v>
      </c>
      <c r="W22" s="27">
        <f t="shared" si="13"/>
        <v>4.8611111111111112E-2</v>
      </c>
      <c r="X22" s="27">
        <f t="shared" si="13"/>
        <v>0</v>
      </c>
      <c r="Y22" s="27">
        <f t="shared" si="13"/>
        <v>0</v>
      </c>
      <c r="Z22" s="27">
        <f t="shared" si="13"/>
        <v>0</v>
      </c>
      <c r="AA22" s="27">
        <f>SUM(J22:Z22)</f>
        <v>0.27361111111111108</v>
      </c>
      <c r="AB22" s="188" t="s">
        <v>52</v>
      </c>
      <c r="AC22" s="188"/>
      <c r="AD22" s="188"/>
      <c r="AE22" s="188"/>
      <c r="AF22" s="105">
        <f>+AF15+AF8</f>
        <v>2925</v>
      </c>
      <c r="AG22" s="188" t="s">
        <v>53</v>
      </c>
      <c r="AH22" s="188"/>
      <c r="AI22" s="188"/>
      <c r="AJ22" s="188"/>
      <c r="AK22" s="105">
        <f>+AK15+AK8</f>
        <v>9057.5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2"/>
        <v>0</v>
      </c>
      <c r="F23" s="12">
        <f t="shared" si="12"/>
        <v>0</v>
      </c>
      <c r="G23" s="11"/>
      <c r="H23" s="11"/>
      <c r="I23" s="11"/>
      <c r="J23" s="13">
        <f t="shared" ref="J23:Z23" si="14">J9+J16</f>
        <v>0</v>
      </c>
      <c r="K23" s="13">
        <f t="shared" si="14"/>
        <v>2.0833333333333333E-3</v>
      </c>
      <c r="L23" s="13">
        <f t="shared" si="14"/>
        <v>0</v>
      </c>
      <c r="M23" s="13">
        <f t="shared" si="14"/>
        <v>3.472222222222222E-3</v>
      </c>
      <c r="N23" s="13">
        <f t="shared" si="14"/>
        <v>3.472222222222222E-3</v>
      </c>
      <c r="O23" s="13">
        <f t="shared" si="14"/>
        <v>0</v>
      </c>
      <c r="P23" s="13">
        <f t="shared" si="14"/>
        <v>0</v>
      </c>
      <c r="Q23" s="13">
        <f t="shared" si="14"/>
        <v>1.0416666666666666E-2</v>
      </c>
      <c r="R23" s="13">
        <f t="shared" si="14"/>
        <v>0</v>
      </c>
      <c r="S23" s="13">
        <f t="shared" si="14"/>
        <v>0.17013888888888887</v>
      </c>
      <c r="T23" s="13">
        <f t="shared" si="14"/>
        <v>4.8611111111111112E-2</v>
      </c>
      <c r="U23" s="13">
        <f t="shared" si="14"/>
        <v>0</v>
      </c>
      <c r="V23" s="13">
        <f t="shared" si="14"/>
        <v>0</v>
      </c>
      <c r="W23" s="13">
        <f t="shared" si="14"/>
        <v>0</v>
      </c>
      <c r="X23" s="13">
        <f t="shared" si="14"/>
        <v>0</v>
      </c>
      <c r="Y23" s="13">
        <f t="shared" si="14"/>
        <v>0</v>
      </c>
      <c r="Z23" s="13">
        <f t="shared" si="14"/>
        <v>0</v>
      </c>
      <c r="AA23" s="13">
        <f t="shared" ref="AA23" si="15">SUM(J23:Z23)</f>
        <v>0.23819444444444443</v>
      </c>
    </row>
    <row r="24" spans="1:37" s="5" customFormat="1" x14ac:dyDescent="0.25">
      <c r="A24" s="168"/>
      <c r="B24" s="150" t="s">
        <v>59</v>
      </c>
      <c r="C24" s="11"/>
      <c r="D24" s="11"/>
      <c r="E24" s="12">
        <f t="shared" si="12"/>
        <v>0</v>
      </c>
      <c r="F24" s="12">
        <f t="shared" si="12"/>
        <v>0</v>
      </c>
      <c r="G24" s="11"/>
      <c r="H24" s="11"/>
      <c r="I24" s="11"/>
      <c r="J24" s="13">
        <f t="shared" ref="J24:Z24" si="16">J10+J17</f>
        <v>0</v>
      </c>
      <c r="K24" s="13">
        <f t="shared" si="16"/>
        <v>0</v>
      </c>
      <c r="L24" s="13">
        <f t="shared" si="16"/>
        <v>0</v>
      </c>
      <c r="M24" s="13">
        <f t="shared" si="16"/>
        <v>0</v>
      </c>
      <c r="N24" s="13">
        <f t="shared" si="16"/>
        <v>0</v>
      </c>
      <c r="O24" s="13">
        <f t="shared" si="16"/>
        <v>0</v>
      </c>
      <c r="P24" s="13">
        <f t="shared" si="16"/>
        <v>0</v>
      </c>
      <c r="Q24" s="13">
        <f t="shared" si="16"/>
        <v>0</v>
      </c>
      <c r="R24" s="13">
        <f t="shared" si="16"/>
        <v>0</v>
      </c>
      <c r="S24" s="13">
        <f t="shared" si="16"/>
        <v>0</v>
      </c>
      <c r="T24" s="13">
        <f t="shared" si="16"/>
        <v>0</v>
      </c>
      <c r="U24" s="13">
        <f t="shared" si="16"/>
        <v>0</v>
      </c>
      <c r="V24" s="13">
        <f t="shared" si="16"/>
        <v>0</v>
      </c>
      <c r="W24" s="13">
        <f t="shared" si="16"/>
        <v>0</v>
      </c>
      <c r="X24" s="13">
        <f t="shared" si="16"/>
        <v>0</v>
      </c>
      <c r="Y24" s="13">
        <f t="shared" si="16"/>
        <v>0</v>
      </c>
      <c r="Z24" s="13">
        <f t="shared" si="16"/>
        <v>0</v>
      </c>
      <c r="AA24" s="13">
        <f t="shared" ref="AA24:AA28" si="17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2"/>
        <v>0</v>
      </c>
      <c r="F25" s="12">
        <f t="shared" si="12"/>
        <v>0</v>
      </c>
      <c r="G25" s="11"/>
      <c r="H25" s="11"/>
      <c r="I25" s="11"/>
      <c r="J25" s="13">
        <f t="shared" ref="J25:Z25" si="18">J11+J18</f>
        <v>0</v>
      </c>
      <c r="K25" s="13">
        <f t="shared" si="18"/>
        <v>2.7777777777777779E-3</v>
      </c>
      <c r="L25" s="13">
        <f t="shared" si="18"/>
        <v>0</v>
      </c>
      <c r="M25" s="13">
        <f t="shared" si="18"/>
        <v>3.472222222222222E-3</v>
      </c>
      <c r="N25" s="13">
        <f t="shared" si="18"/>
        <v>3.472222222222222E-3</v>
      </c>
      <c r="O25" s="13">
        <f t="shared" si="18"/>
        <v>0</v>
      </c>
      <c r="P25" s="13">
        <f t="shared" si="18"/>
        <v>0</v>
      </c>
      <c r="Q25" s="13">
        <f t="shared" si="18"/>
        <v>0</v>
      </c>
      <c r="R25" s="13">
        <f t="shared" si="18"/>
        <v>0</v>
      </c>
      <c r="S25" s="13">
        <f t="shared" si="18"/>
        <v>0.17013888888888887</v>
      </c>
      <c r="T25" s="13">
        <f t="shared" si="18"/>
        <v>4.8611111111111112E-2</v>
      </c>
      <c r="U25" s="13">
        <f t="shared" si="18"/>
        <v>0</v>
      </c>
      <c r="V25" s="13">
        <f t="shared" si="18"/>
        <v>0</v>
      </c>
      <c r="W25" s="13">
        <f t="shared" si="18"/>
        <v>4.8611111111111112E-2</v>
      </c>
      <c r="X25" s="13">
        <f t="shared" si="18"/>
        <v>0</v>
      </c>
      <c r="Y25" s="13">
        <f t="shared" si="18"/>
        <v>0</v>
      </c>
      <c r="Z25" s="13">
        <f t="shared" si="18"/>
        <v>0</v>
      </c>
      <c r="AA25" s="13">
        <f t="shared" si="17"/>
        <v>0.27708333333333329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2"/>
        <v>0</v>
      </c>
      <c r="F26" s="12">
        <f t="shared" si="12"/>
        <v>0</v>
      </c>
      <c r="G26" s="11"/>
      <c r="H26" s="11"/>
      <c r="I26" s="11"/>
      <c r="J26" s="13">
        <f t="shared" ref="J26:Z26" si="19">J12+J19</f>
        <v>4.1666666666666664E-2</v>
      </c>
      <c r="K26" s="13">
        <f t="shared" si="19"/>
        <v>2.4305555555555556E-2</v>
      </c>
      <c r="L26" s="13">
        <f t="shared" si="19"/>
        <v>0</v>
      </c>
      <c r="M26" s="13">
        <f t="shared" si="19"/>
        <v>6.2499999999999995E-3</v>
      </c>
      <c r="N26" s="13">
        <f t="shared" si="19"/>
        <v>6.9444444444444441E-3</v>
      </c>
      <c r="O26" s="13">
        <f t="shared" si="19"/>
        <v>1.6666666666666666E-2</v>
      </c>
      <c r="P26" s="13">
        <f t="shared" si="19"/>
        <v>0</v>
      </c>
      <c r="Q26" s="13">
        <f t="shared" si="19"/>
        <v>0</v>
      </c>
      <c r="R26" s="13">
        <f t="shared" si="19"/>
        <v>0</v>
      </c>
      <c r="S26" s="13">
        <f t="shared" si="19"/>
        <v>0.17013888888888887</v>
      </c>
      <c r="T26" s="13">
        <f t="shared" si="19"/>
        <v>2.4305555555555556E-2</v>
      </c>
      <c r="U26" s="13">
        <f t="shared" si="19"/>
        <v>8.3333333333333332E-3</v>
      </c>
      <c r="V26" s="13">
        <f t="shared" si="19"/>
        <v>0</v>
      </c>
      <c r="W26" s="13">
        <f t="shared" si="19"/>
        <v>0.10416666666666667</v>
      </c>
      <c r="X26" s="13">
        <f t="shared" si="19"/>
        <v>1.5972222222222224E-2</v>
      </c>
      <c r="Y26" s="13">
        <f t="shared" si="19"/>
        <v>0</v>
      </c>
      <c r="Z26" s="13">
        <f t="shared" si="19"/>
        <v>0</v>
      </c>
      <c r="AA26" s="13">
        <f t="shared" si="17"/>
        <v>0.41875000000000007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2"/>
        <v>0</v>
      </c>
      <c r="F27" s="12">
        <f t="shared" si="12"/>
        <v>0</v>
      </c>
      <c r="G27" s="11"/>
      <c r="H27" s="11"/>
      <c r="I27" s="11"/>
      <c r="J27" s="13">
        <f t="shared" ref="J27:Z27" si="20">J13+J20</f>
        <v>0</v>
      </c>
      <c r="K27" s="13">
        <f t="shared" si="20"/>
        <v>3.472222222222222E-3</v>
      </c>
      <c r="L27" s="13">
        <f t="shared" si="20"/>
        <v>0</v>
      </c>
      <c r="M27" s="13">
        <f t="shared" si="20"/>
        <v>3.472222222222222E-3</v>
      </c>
      <c r="N27" s="13">
        <f t="shared" si="20"/>
        <v>6.9444444444444441E-3</v>
      </c>
      <c r="O27" s="13">
        <f t="shared" si="20"/>
        <v>0</v>
      </c>
      <c r="P27" s="13">
        <f t="shared" si="20"/>
        <v>0</v>
      </c>
      <c r="Q27" s="13">
        <f t="shared" si="20"/>
        <v>0</v>
      </c>
      <c r="R27" s="13">
        <f t="shared" si="20"/>
        <v>0</v>
      </c>
      <c r="S27" s="13">
        <f t="shared" si="20"/>
        <v>0.17013888888888887</v>
      </c>
      <c r="T27" s="13">
        <f t="shared" si="20"/>
        <v>2.4305555555555556E-2</v>
      </c>
      <c r="U27" s="13">
        <f t="shared" si="20"/>
        <v>0</v>
      </c>
      <c r="V27" s="13">
        <f t="shared" si="20"/>
        <v>3.6111111111111115E-2</v>
      </c>
      <c r="W27" s="13">
        <f t="shared" si="20"/>
        <v>0.10069444444444443</v>
      </c>
      <c r="X27" s="13">
        <f t="shared" si="20"/>
        <v>0</v>
      </c>
      <c r="Y27" s="13">
        <f t="shared" si="20"/>
        <v>0</v>
      </c>
      <c r="Z27" s="13">
        <f t="shared" si="20"/>
        <v>0</v>
      </c>
      <c r="AA27" s="13">
        <f t="shared" si="17"/>
        <v>0.34513888888888888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2"/>
        <v>0</v>
      </c>
      <c r="F28" s="16">
        <f t="shared" si="12"/>
        <v>0</v>
      </c>
      <c r="G28" s="15"/>
      <c r="H28" s="15"/>
      <c r="I28" s="15"/>
      <c r="J28" s="17">
        <f t="shared" ref="J28:Z28" si="21">J14+J21</f>
        <v>0.28194444444444444</v>
      </c>
      <c r="K28" s="17">
        <f t="shared" si="21"/>
        <v>7.6388888888888886E-3</v>
      </c>
      <c r="L28" s="17">
        <f t="shared" si="21"/>
        <v>0</v>
      </c>
      <c r="M28" s="17">
        <f t="shared" si="21"/>
        <v>0</v>
      </c>
      <c r="N28" s="17">
        <f t="shared" si="21"/>
        <v>0</v>
      </c>
      <c r="O28" s="17">
        <f t="shared" si="21"/>
        <v>0</v>
      </c>
      <c r="P28" s="17">
        <f t="shared" si="21"/>
        <v>8.3333333333333332E-3</v>
      </c>
      <c r="Q28" s="17">
        <f t="shared" si="21"/>
        <v>0</v>
      </c>
      <c r="R28" s="17">
        <f t="shared" si="21"/>
        <v>0</v>
      </c>
      <c r="S28" s="17">
        <f t="shared" si="21"/>
        <v>0</v>
      </c>
      <c r="T28" s="17">
        <f t="shared" si="21"/>
        <v>0</v>
      </c>
      <c r="U28" s="17">
        <f t="shared" si="21"/>
        <v>0</v>
      </c>
      <c r="V28" s="17">
        <f t="shared" si="21"/>
        <v>0.24930555555555556</v>
      </c>
      <c r="W28" s="17">
        <f t="shared" si="21"/>
        <v>3.3333333333333333E-2</v>
      </c>
      <c r="X28" s="17">
        <f t="shared" si="21"/>
        <v>0</v>
      </c>
      <c r="Y28" s="17">
        <f t="shared" si="21"/>
        <v>0</v>
      </c>
      <c r="Z28" s="17">
        <f t="shared" si="21"/>
        <v>0</v>
      </c>
      <c r="AA28" s="17">
        <f t="shared" si="17"/>
        <v>0.5805555555555556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B0F0"/>
  </sheetPr>
  <dimension ref="A3:AA28"/>
  <sheetViews>
    <sheetView topLeftCell="A4" zoomScale="110" zoomScaleNormal="110" workbookViewId="0">
      <pane xSplit="2" ySplit="4" topLeftCell="J14" activePane="bottomRight" state="frozen"/>
      <selection activeCell="A5" sqref="A5:A6"/>
      <selection pane="topRight" activeCell="A5" sqref="A5:A6"/>
      <selection pane="bottomLeft" activeCell="A5" sqref="A5:A6"/>
      <selection pane="bottomRight" activeCell="N19" sqref="N19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45648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9">
        <v>4.8611111111111112E-3</v>
      </c>
      <c r="L8" s="9"/>
      <c r="M8" s="9">
        <v>3.472222222222222E-3</v>
      </c>
      <c r="N8" s="9">
        <v>3.472222222222222E-3</v>
      </c>
      <c r="O8" s="20"/>
      <c r="P8" s="20"/>
      <c r="Q8" s="20"/>
      <c r="R8" s="20"/>
      <c r="S8" s="20">
        <v>1.3888888888888888E-2</v>
      </c>
      <c r="T8" s="20">
        <v>2.7777777777777776E-2</v>
      </c>
      <c r="U8" s="20"/>
      <c r="V8" s="20"/>
      <c r="W8" s="20"/>
      <c r="X8" s="20"/>
      <c r="Y8" s="20"/>
      <c r="Z8" s="20"/>
      <c r="AA8" s="20">
        <f>SUM(J8:Z8)</f>
        <v>5.347222222222222E-2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>
        <v>2.0833333333333333E-3</v>
      </c>
      <c r="N9" s="9">
        <v>6.9444444444444441E-3</v>
      </c>
      <c r="O9" s="9"/>
      <c r="P9" s="9"/>
      <c r="Q9" s="9"/>
      <c r="R9" s="9"/>
      <c r="S9" s="9">
        <v>1.3888888888888888E-2</v>
      </c>
      <c r="T9" s="9">
        <v>4.5138888888888888E-2</v>
      </c>
      <c r="U9" s="9"/>
      <c r="V9" s="9"/>
      <c r="W9" s="9"/>
      <c r="X9" s="9"/>
      <c r="Y9" s="9"/>
      <c r="Z9" s="9"/>
      <c r="AA9" s="9">
        <f t="shared" ref="AA9:AA21" si="0">SUM(J9:Z9)</f>
        <v>6.805555555555555E-2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>
        <v>6.9444444444444441E-3</v>
      </c>
      <c r="M11" s="9">
        <v>6.2499999999999995E-3</v>
      </c>
      <c r="N11" s="9">
        <v>5.5555555555555558E-3</v>
      </c>
      <c r="O11" s="9"/>
      <c r="P11" s="9"/>
      <c r="Q11" s="9"/>
      <c r="R11" s="9"/>
      <c r="S11" s="9">
        <v>1.3888888888888888E-2</v>
      </c>
      <c r="T11" s="9">
        <v>2.013888888888889E-2</v>
      </c>
      <c r="U11" s="9"/>
      <c r="V11" s="9"/>
      <c r="W11" s="9"/>
      <c r="X11" s="9"/>
      <c r="Y11" s="9"/>
      <c r="Z11" s="9"/>
      <c r="AA11" s="9">
        <f t="shared" si="0"/>
        <v>5.2777777777777771E-2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>
        <v>3.472222222222222E-3</v>
      </c>
      <c r="N12" s="9">
        <v>6.9444444444444441E-3</v>
      </c>
      <c r="O12" s="9"/>
      <c r="P12" s="9"/>
      <c r="Q12" s="9"/>
      <c r="R12" s="9"/>
      <c r="S12" s="9">
        <v>1.3888888888888888E-2</v>
      </c>
      <c r="T12" s="9">
        <v>9.0972222222222218E-2</v>
      </c>
      <c r="U12" s="9">
        <v>9.0277777777777787E-3</v>
      </c>
      <c r="V12" s="9"/>
      <c r="W12" s="9"/>
      <c r="X12" s="9"/>
      <c r="Y12" s="9"/>
      <c r="Z12" s="9"/>
      <c r="AA12" s="9">
        <f t="shared" si="0"/>
        <v>0.12430555555555554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6.9444444444444441E-3</v>
      </c>
      <c r="N13" s="9">
        <v>4.1666666666666666E-3</v>
      </c>
      <c r="O13" s="9"/>
      <c r="P13" s="9"/>
      <c r="Q13" s="9"/>
      <c r="R13" s="9"/>
      <c r="S13" s="9">
        <v>1.3888888888888888E-2</v>
      </c>
      <c r="T13" s="9">
        <v>9.0277777777777776E-2</v>
      </c>
      <c r="U13" s="9">
        <v>2.7777777777777779E-3</v>
      </c>
      <c r="V13" s="9"/>
      <c r="W13" s="9"/>
      <c r="X13" s="9"/>
      <c r="Y13" s="9"/>
      <c r="Z13" s="9"/>
      <c r="AA13" s="9">
        <f t="shared" si="0"/>
        <v>0.11805555555555555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9"/>
      <c r="P14" s="23"/>
      <c r="Q14" s="23"/>
      <c r="R14" s="23"/>
      <c r="S14" s="23"/>
      <c r="T14" s="23"/>
      <c r="U14" s="23"/>
      <c r="V14" s="23">
        <v>0.22222222222222221</v>
      </c>
      <c r="W14" s="23"/>
      <c r="X14" s="23"/>
      <c r="Y14" s="23"/>
      <c r="Z14" s="23"/>
      <c r="AA14" s="23">
        <f t="shared" si="0"/>
        <v>0.22222222222222221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>
        <v>6.2499999999999995E-3</v>
      </c>
      <c r="N15" s="30">
        <v>6.9444444444444441E-3</v>
      </c>
      <c r="O15" s="9"/>
      <c r="P15" s="30"/>
      <c r="Q15" s="30"/>
      <c r="R15" s="30"/>
      <c r="S15" s="30"/>
      <c r="T15" s="30"/>
      <c r="U15" s="30"/>
      <c r="V15" s="30"/>
      <c r="W15" s="30">
        <v>3.9583333333333331E-2</v>
      </c>
      <c r="X15" s="30"/>
      <c r="Y15" s="30"/>
      <c r="Z15" s="30"/>
      <c r="AA15" s="30">
        <f t="shared" si="0"/>
        <v>5.2777777777777771E-2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>
        <v>4.1666666666666666E-3</v>
      </c>
      <c r="N16" s="9">
        <v>6.9444444444444441E-3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1.111111111111111E-2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0.17083333333333331</v>
      </c>
      <c r="K18" s="9"/>
      <c r="L18" s="9"/>
      <c r="M18" s="9">
        <v>4.8611111111111112E-3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0.17569444444444443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>
        <v>1.3888888888888889E-3</v>
      </c>
      <c r="N19" s="9">
        <v>6.9444444444444441E-3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8.3333333333333332E-3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>
        <v>6.2499999999999995E-3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1.3194444444444443E-2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>
        <v>8.3333333333333329E-2</v>
      </c>
      <c r="K21" s="23"/>
      <c r="L21" s="23"/>
      <c r="M21" s="23">
        <v>4.1666666666666666E-3</v>
      </c>
      <c r="N21" s="23"/>
      <c r="O21" s="9"/>
      <c r="P21" s="23"/>
      <c r="Q21" s="23"/>
      <c r="R21" s="23"/>
      <c r="S21" s="23"/>
      <c r="T21" s="23"/>
      <c r="U21" s="23"/>
      <c r="V21" s="23">
        <v>1.2499999999999999E-2</v>
      </c>
      <c r="W21" s="23"/>
      <c r="X21" s="23"/>
      <c r="Y21" s="23"/>
      <c r="Z21" s="23"/>
      <c r="AA21" s="23">
        <f t="shared" si="0"/>
        <v>9.9999999999999992E-2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" si="4">J8+J15</f>
        <v>0</v>
      </c>
      <c r="K22" s="27">
        <f>K8+K15</f>
        <v>4.8611111111111112E-3</v>
      </c>
      <c r="L22" s="27">
        <f t="shared" ref="L22:Z22" si="5">L8+L15</f>
        <v>0</v>
      </c>
      <c r="M22" s="27">
        <f t="shared" si="5"/>
        <v>9.7222222222222224E-3</v>
      </c>
      <c r="N22" s="27">
        <f t="shared" si="5"/>
        <v>1.0416666666666666E-2</v>
      </c>
      <c r="O22" s="27">
        <f t="shared" si="5"/>
        <v>0</v>
      </c>
      <c r="P22" s="27">
        <f t="shared" si="5"/>
        <v>0</v>
      </c>
      <c r="Q22" s="27">
        <f t="shared" si="5"/>
        <v>0</v>
      </c>
      <c r="R22" s="27">
        <f t="shared" si="5"/>
        <v>0</v>
      </c>
      <c r="S22" s="27">
        <f t="shared" si="5"/>
        <v>1.3888888888888888E-2</v>
      </c>
      <c r="T22" s="27">
        <f t="shared" si="5"/>
        <v>2.7777777777777776E-2</v>
      </c>
      <c r="U22" s="27">
        <f t="shared" si="5"/>
        <v>0</v>
      </c>
      <c r="V22" s="27">
        <f t="shared" si="5"/>
        <v>0</v>
      </c>
      <c r="W22" s="27">
        <f t="shared" si="5"/>
        <v>3.9583333333333331E-2</v>
      </c>
      <c r="X22" s="27">
        <f t="shared" si="5"/>
        <v>0</v>
      </c>
      <c r="Y22" s="27">
        <f t="shared" si="5"/>
        <v>0</v>
      </c>
      <c r="Z22" s="27">
        <f t="shared" si="5"/>
        <v>0</v>
      </c>
      <c r="AA22" s="27">
        <f>SUM(J22:Z22)</f>
        <v>0.10625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27">
        <f>J9+J16</f>
        <v>0</v>
      </c>
      <c r="K23" s="27">
        <f t="shared" ref="K23:Z23" si="6">K9+K16</f>
        <v>0</v>
      </c>
      <c r="L23" s="27">
        <f t="shared" si="6"/>
        <v>0</v>
      </c>
      <c r="M23" s="27">
        <f t="shared" si="6"/>
        <v>6.2500000000000003E-3</v>
      </c>
      <c r="N23" s="27">
        <f t="shared" si="6"/>
        <v>1.3888888888888888E-2</v>
      </c>
      <c r="O23" s="27">
        <f t="shared" si="6"/>
        <v>0</v>
      </c>
      <c r="P23" s="27">
        <f t="shared" si="6"/>
        <v>0</v>
      </c>
      <c r="Q23" s="27">
        <f t="shared" si="6"/>
        <v>0</v>
      </c>
      <c r="R23" s="27">
        <f t="shared" si="6"/>
        <v>0</v>
      </c>
      <c r="S23" s="27">
        <f t="shared" si="6"/>
        <v>1.3888888888888888E-2</v>
      </c>
      <c r="T23" s="27">
        <f t="shared" si="6"/>
        <v>4.5138888888888888E-2</v>
      </c>
      <c r="U23" s="27">
        <f t="shared" si="6"/>
        <v>0</v>
      </c>
      <c r="V23" s="27">
        <f t="shared" si="6"/>
        <v>0</v>
      </c>
      <c r="W23" s="27">
        <f t="shared" si="6"/>
        <v>0</v>
      </c>
      <c r="X23" s="27">
        <f t="shared" si="6"/>
        <v>0</v>
      </c>
      <c r="Y23" s="27">
        <f t="shared" si="6"/>
        <v>0</v>
      </c>
      <c r="Z23" s="27">
        <f t="shared" si="6"/>
        <v>0</v>
      </c>
      <c r="AA23" s="13">
        <f t="shared" ref="AA23" si="7">SUM(J23:Z23)</f>
        <v>7.9166666666666663E-2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27">
        <f t="shared" ref="J24:Z24" si="8">J10+J17</f>
        <v>0</v>
      </c>
      <c r="K24" s="27">
        <f t="shared" si="8"/>
        <v>0</v>
      </c>
      <c r="L24" s="27">
        <f t="shared" si="8"/>
        <v>0</v>
      </c>
      <c r="M24" s="27">
        <f t="shared" si="8"/>
        <v>0</v>
      </c>
      <c r="N24" s="27">
        <f t="shared" si="8"/>
        <v>0</v>
      </c>
      <c r="O24" s="27">
        <f t="shared" si="8"/>
        <v>0</v>
      </c>
      <c r="P24" s="27">
        <f t="shared" si="8"/>
        <v>0</v>
      </c>
      <c r="Q24" s="27">
        <f t="shared" si="8"/>
        <v>0</v>
      </c>
      <c r="R24" s="27">
        <f t="shared" si="8"/>
        <v>0</v>
      </c>
      <c r="S24" s="27">
        <f t="shared" si="8"/>
        <v>0</v>
      </c>
      <c r="T24" s="27">
        <f t="shared" si="8"/>
        <v>0</v>
      </c>
      <c r="U24" s="27">
        <f t="shared" si="8"/>
        <v>0</v>
      </c>
      <c r="V24" s="27">
        <f t="shared" si="8"/>
        <v>0</v>
      </c>
      <c r="W24" s="27">
        <f t="shared" si="8"/>
        <v>0</v>
      </c>
      <c r="X24" s="27">
        <f t="shared" si="8"/>
        <v>0</v>
      </c>
      <c r="Y24" s="27">
        <f t="shared" si="8"/>
        <v>0</v>
      </c>
      <c r="Z24" s="27">
        <f t="shared" si="8"/>
        <v>0</v>
      </c>
      <c r="AA24" s="13">
        <f t="shared" ref="AA24:AA28" si="9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27">
        <f t="shared" ref="J25:Z25" si="10">J11+J18</f>
        <v>0.17083333333333331</v>
      </c>
      <c r="K25" s="27">
        <f t="shared" si="10"/>
        <v>0</v>
      </c>
      <c r="L25" s="27">
        <f t="shared" si="10"/>
        <v>6.9444444444444441E-3</v>
      </c>
      <c r="M25" s="27">
        <f t="shared" si="10"/>
        <v>1.111111111111111E-2</v>
      </c>
      <c r="N25" s="27">
        <f t="shared" si="10"/>
        <v>5.5555555555555558E-3</v>
      </c>
      <c r="O25" s="27">
        <f t="shared" si="10"/>
        <v>0</v>
      </c>
      <c r="P25" s="27">
        <f t="shared" si="10"/>
        <v>0</v>
      </c>
      <c r="Q25" s="27">
        <f t="shared" si="10"/>
        <v>0</v>
      </c>
      <c r="R25" s="27">
        <f t="shared" si="10"/>
        <v>0</v>
      </c>
      <c r="S25" s="27">
        <f t="shared" si="10"/>
        <v>1.3888888888888888E-2</v>
      </c>
      <c r="T25" s="27">
        <f t="shared" si="10"/>
        <v>2.013888888888889E-2</v>
      </c>
      <c r="U25" s="27">
        <f t="shared" si="10"/>
        <v>0</v>
      </c>
      <c r="V25" s="27">
        <f t="shared" si="10"/>
        <v>0</v>
      </c>
      <c r="W25" s="27">
        <f t="shared" si="10"/>
        <v>0</v>
      </c>
      <c r="X25" s="27">
        <f t="shared" si="10"/>
        <v>0</v>
      </c>
      <c r="Y25" s="27">
        <f t="shared" si="10"/>
        <v>0</v>
      </c>
      <c r="Z25" s="27">
        <f t="shared" si="10"/>
        <v>0</v>
      </c>
      <c r="AA25" s="13">
        <f t="shared" si="9"/>
        <v>0.22847222222222222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27">
        <f t="shared" ref="J26:Z26" si="11">J12+J19</f>
        <v>0</v>
      </c>
      <c r="K26" s="27">
        <f t="shared" si="11"/>
        <v>0</v>
      </c>
      <c r="L26" s="27">
        <f t="shared" si="11"/>
        <v>0</v>
      </c>
      <c r="M26" s="27">
        <f t="shared" si="11"/>
        <v>4.8611111111111112E-3</v>
      </c>
      <c r="N26" s="27">
        <f t="shared" si="11"/>
        <v>1.3888888888888888E-2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1.3888888888888888E-2</v>
      </c>
      <c r="T26" s="27">
        <f t="shared" si="11"/>
        <v>9.0972222222222218E-2</v>
      </c>
      <c r="U26" s="27">
        <f t="shared" si="11"/>
        <v>9.0277777777777787E-3</v>
      </c>
      <c r="V26" s="27">
        <f t="shared" si="11"/>
        <v>0</v>
      </c>
      <c r="W26" s="27">
        <f t="shared" si="11"/>
        <v>0</v>
      </c>
      <c r="X26" s="27">
        <f t="shared" si="11"/>
        <v>0</v>
      </c>
      <c r="Y26" s="27">
        <f t="shared" si="11"/>
        <v>0</v>
      </c>
      <c r="Z26" s="27">
        <f t="shared" si="11"/>
        <v>0</v>
      </c>
      <c r="AA26" s="13">
        <f t="shared" si="9"/>
        <v>0.13263888888888889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27">
        <f t="shared" ref="J27:Z27" si="12">J13+J20</f>
        <v>0</v>
      </c>
      <c r="K27" s="27">
        <f t="shared" si="12"/>
        <v>0</v>
      </c>
      <c r="L27" s="27">
        <f t="shared" si="12"/>
        <v>0</v>
      </c>
      <c r="M27" s="27">
        <f t="shared" si="12"/>
        <v>1.3194444444444443E-2</v>
      </c>
      <c r="N27" s="27">
        <f t="shared" si="12"/>
        <v>1.111111111111111E-2</v>
      </c>
      <c r="O27" s="27">
        <f t="shared" si="12"/>
        <v>0</v>
      </c>
      <c r="P27" s="27">
        <f t="shared" si="12"/>
        <v>0</v>
      </c>
      <c r="Q27" s="27">
        <f t="shared" si="12"/>
        <v>0</v>
      </c>
      <c r="R27" s="27">
        <f t="shared" si="12"/>
        <v>0</v>
      </c>
      <c r="S27" s="27">
        <f t="shared" si="12"/>
        <v>1.3888888888888888E-2</v>
      </c>
      <c r="T27" s="27">
        <f t="shared" si="12"/>
        <v>9.0277777777777776E-2</v>
      </c>
      <c r="U27" s="27">
        <f t="shared" si="12"/>
        <v>2.7777777777777779E-3</v>
      </c>
      <c r="V27" s="27">
        <f t="shared" si="12"/>
        <v>0</v>
      </c>
      <c r="W27" s="27">
        <f t="shared" si="12"/>
        <v>0</v>
      </c>
      <c r="X27" s="27">
        <f t="shared" si="12"/>
        <v>0</v>
      </c>
      <c r="Y27" s="27">
        <f t="shared" si="12"/>
        <v>0</v>
      </c>
      <c r="Z27" s="27">
        <f t="shared" si="12"/>
        <v>0</v>
      </c>
      <c r="AA27" s="13">
        <f t="shared" si="9"/>
        <v>0.13124999999999998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27">
        <f t="shared" ref="J28:Z28" si="13">J14+J21</f>
        <v>8.3333333333333329E-2</v>
      </c>
      <c r="K28" s="27">
        <f t="shared" si="13"/>
        <v>0</v>
      </c>
      <c r="L28" s="27">
        <f t="shared" si="13"/>
        <v>0</v>
      </c>
      <c r="M28" s="27">
        <f t="shared" si="13"/>
        <v>4.1666666666666666E-3</v>
      </c>
      <c r="N28" s="27">
        <f t="shared" si="13"/>
        <v>0</v>
      </c>
      <c r="O28" s="27">
        <f t="shared" si="13"/>
        <v>0</v>
      </c>
      <c r="P28" s="27">
        <f t="shared" si="13"/>
        <v>0</v>
      </c>
      <c r="Q28" s="27">
        <f t="shared" si="13"/>
        <v>0</v>
      </c>
      <c r="R28" s="27">
        <f t="shared" si="13"/>
        <v>0</v>
      </c>
      <c r="S28" s="27">
        <f t="shared" si="13"/>
        <v>0</v>
      </c>
      <c r="T28" s="27">
        <f t="shared" si="13"/>
        <v>0</v>
      </c>
      <c r="U28" s="27">
        <f t="shared" si="13"/>
        <v>0</v>
      </c>
      <c r="V28" s="27">
        <f t="shared" si="13"/>
        <v>0.23472222222222222</v>
      </c>
      <c r="W28" s="27">
        <f t="shared" si="13"/>
        <v>0</v>
      </c>
      <c r="X28" s="27">
        <f t="shared" si="13"/>
        <v>0</v>
      </c>
      <c r="Y28" s="27">
        <f t="shared" si="13"/>
        <v>0</v>
      </c>
      <c r="Z28" s="27">
        <f t="shared" si="13"/>
        <v>0</v>
      </c>
      <c r="AA28" s="17">
        <f t="shared" si="9"/>
        <v>0.32222222222222219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00B0F0"/>
  </sheetPr>
  <dimension ref="A3:AC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O15" sqref="O15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9" ht="15.75" x14ac:dyDescent="0.25">
      <c r="A3" s="2" t="s">
        <v>0</v>
      </c>
    </row>
    <row r="4" spans="1:29" ht="15.75" x14ac:dyDescent="0.25">
      <c r="A4" s="2" t="s">
        <v>60</v>
      </c>
    </row>
    <row r="5" spans="1:29" x14ac:dyDescent="0.25">
      <c r="A5" s="1" t="s">
        <v>1</v>
      </c>
      <c r="B5" s="6">
        <v>45649</v>
      </c>
    </row>
    <row r="6" spans="1:29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9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9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>
        <v>2.0833333333333333E-3</v>
      </c>
      <c r="N8" s="20">
        <v>5.5555555555555558E-3</v>
      </c>
      <c r="O8" s="20"/>
      <c r="P8" s="20"/>
      <c r="Q8" s="20"/>
      <c r="R8" s="20"/>
      <c r="S8" s="20"/>
      <c r="T8" s="20"/>
      <c r="U8" s="20"/>
      <c r="V8" s="20">
        <v>2.9861111111111113E-2</v>
      </c>
      <c r="W8" s="20"/>
      <c r="X8" s="20"/>
      <c r="Y8" s="20"/>
      <c r="Z8" s="20"/>
      <c r="AA8" s="20">
        <f>SUM(J8:Z8)</f>
        <v>3.7500000000000006E-2</v>
      </c>
      <c r="AC8" s="1" t="s">
        <v>65</v>
      </c>
    </row>
    <row r="9" spans="1:29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8.3333333333333329E-2</v>
      </c>
      <c r="K9" s="9">
        <v>2.7777777777777779E-3</v>
      </c>
      <c r="L9" s="9"/>
      <c r="M9" s="9">
        <v>2.0833333333333333E-3</v>
      </c>
      <c r="N9" s="9">
        <v>6.9444444444444441E-3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9.5138888888888898E-2</v>
      </c>
    </row>
    <row r="10" spans="1:29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9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0.41666666666666669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0.41666666666666669</v>
      </c>
    </row>
    <row r="12" spans="1:29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0.28819444444444448</v>
      </c>
      <c r="K12" s="9">
        <v>1.3888888888888888E-2</v>
      </c>
      <c r="L12" s="9"/>
      <c r="M12" s="9">
        <v>4.8611111111111112E-3</v>
      </c>
      <c r="N12" s="9">
        <v>3.472222222222222E-3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0.31041666666666667</v>
      </c>
    </row>
    <row r="13" spans="1:29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3.472222222222222E-3</v>
      </c>
      <c r="N13" s="9">
        <v>6.9444444444444441E-3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1.0416666666666666E-2</v>
      </c>
    </row>
    <row r="14" spans="1:29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>
        <v>0.18819444444444444</v>
      </c>
      <c r="K14" s="23"/>
      <c r="L14" s="23"/>
      <c r="M14" s="23"/>
      <c r="N14" s="23">
        <v>6.9444444444444441E-3</v>
      </c>
      <c r="O14" s="23"/>
      <c r="P14" s="23">
        <v>3.4722222222222224E-2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0.22986111111111113</v>
      </c>
    </row>
    <row r="15" spans="1:29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>
        <v>4.1666666666666666E-3</v>
      </c>
      <c r="N15" s="30">
        <v>6.9444444444444441E-3</v>
      </c>
      <c r="O15" s="30"/>
      <c r="P15" s="30"/>
      <c r="Q15" s="30"/>
      <c r="R15" s="30"/>
      <c r="S15" s="30">
        <v>0.13541666666666666</v>
      </c>
      <c r="T15" s="30">
        <v>6.458333333333334E-2</v>
      </c>
      <c r="U15" s="30"/>
      <c r="V15" s="30"/>
      <c r="W15" s="30">
        <v>2.9861111111111113E-2</v>
      </c>
      <c r="X15" s="30"/>
      <c r="Y15" s="30"/>
      <c r="Z15" s="30"/>
      <c r="AA15" s="30">
        <f t="shared" si="0"/>
        <v>0.2409722222222222</v>
      </c>
    </row>
    <row r="16" spans="1:29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>
        <v>2.0833333333333333E-3</v>
      </c>
      <c r="N16" s="9">
        <v>0</v>
      </c>
      <c r="O16" s="9"/>
      <c r="P16" s="9"/>
      <c r="Q16" s="9"/>
      <c r="R16" s="9"/>
      <c r="S16" s="9">
        <v>0.11458333333333333</v>
      </c>
      <c r="T16" s="9">
        <v>4.9305555555555554E-2</v>
      </c>
      <c r="U16" s="9"/>
      <c r="V16" s="9"/>
      <c r="W16" s="9"/>
      <c r="X16" s="9"/>
      <c r="Y16" s="9"/>
      <c r="Z16" s="9"/>
      <c r="AA16" s="9">
        <f t="shared" si="0"/>
        <v>0.16597222222222222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0.41666666666666669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0.41666666666666669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>
        <v>6.9444444444444447E-4</v>
      </c>
      <c r="N19" s="9">
        <v>6.9444444444444441E-3</v>
      </c>
      <c r="O19" s="9"/>
      <c r="P19" s="9"/>
      <c r="Q19" s="9"/>
      <c r="R19" s="9"/>
      <c r="S19" s="9">
        <v>0.13541666666666666</v>
      </c>
      <c r="T19" s="9">
        <v>7.2222222222222229E-2</v>
      </c>
      <c r="U19" s="9"/>
      <c r="V19" s="9"/>
      <c r="W19" s="9"/>
      <c r="X19" s="9"/>
      <c r="Y19" s="9"/>
      <c r="Z19" s="9"/>
      <c r="AA19" s="9">
        <f t="shared" si="0"/>
        <v>0.21527777777777779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>
        <v>3.472222222222222E-3</v>
      </c>
      <c r="N20" s="9"/>
      <c r="O20" s="9"/>
      <c r="P20" s="9"/>
      <c r="Q20" s="9"/>
      <c r="R20" s="9"/>
      <c r="S20" s="9">
        <v>0.13541666666666666</v>
      </c>
      <c r="T20" s="9">
        <v>3.8194444444444441E-2</v>
      </c>
      <c r="U20" s="9"/>
      <c r="V20" s="9"/>
      <c r="W20" s="9"/>
      <c r="X20" s="9"/>
      <c r="Y20" s="9"/>
      <c r="Z20" s="9"/>
      <c r="AA20" s="9">
        <f t="shared" si="0"/>
        <v>0.17708333333333331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>
        <v>2.7777777777777779E-3</v>
      </c>
      <c r="N21" s="23"/>
      <c r="O21" s="23"/>
      <c r="P21" s="23"/>
      <c r="Q21" s="23"/>
      <c r="R21" s="23"/>
      <c r="S21" s="23">
        <v>0.13541666666666666</v>
      </c>
      <c r="T21" s="23">
        <v>6.3194444444444442E-2</v>
      </c>
      <c r="U21" s="23"/>
      <c r="V21" s="23"/>
      <c r="W21" s="23"/>
      <c r="X21" s="23"/>
      <c r="Y21" s="23"/>
      <c r="Z21" s="23"/>
      <c r="AA21" s="23">
        <f t="shared" si="0"/>
        <v>0.20138888888888887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0</v>
      </c>
      <c r="L22" s="27">
        <f t="shared" si="4"/>
        <v>0</v>
      </c>
      <c r="M22" s="27">
        <f t="shared" si="4"/>
        <v>6.2500000000000003E-3</v>
      </c>
      <c r="N22" s="27">
        <f t="shared" si="4"/>
        <v>1.2500000000000001E-2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0.13541666666666666</v>
      </c>
      <c r="T22" s="27">
        <f t="shared" si="4"/>
        <v>6.458333333333334E-2</v>
      </c>
      <c r="U22" s="27">
        <f t="shared" si="4"/>
        <v>0</v>
      </c>
      <c r="V22" s="27">
        <f t="shared" si="4"/>
        <v>2.9861111111111113E-2</v>
      </c>
      <c r="W22" s="27">
        <f t="shared" si="4"/>
        <v>2.9861111111111113E-2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0.27847222222222223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8.3333333333333329E-2</v>
      </c>
      <c r="K23" s="13">
        <f t="shared" si="5"/>
        <v>2.7777777777777779E-3</v>
      </c>
      <c r="L23" s="13">
        <f t="shared" si="5"/>
        <v>0</v>
      </c>
      <c r="M23" s="13">
        <f t="shared" si="5"/>
        <v>4.1666666666666666E-3</v>
      </c>
      <c r="N23" s="13">
        <f t="shared" si="5"/>
        <v>6.9444444444444441E-3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0.11458333333333333</v>
      </c>
      <c r="T23" s="13">
        <f t="shared" si="5"/>
        <v>4.9305555555555554E-2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0.26111111111111113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0.83333333333333337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0.83333333333333337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0.28819444444444448</v>
      </c>
      <c r="K26" s="13">
        <f t="shared" si="10"/>
        <v>1.3888888888888888E-2</v>
      </c>
      <c r="L26" s="13">
        <f t="shared" si="10"/>
        <v>0</v>
      </c>
      <c r="M26" s="13">
        <f t="shared" si="10"/>
        <v>5.5555555555555558E-3</v>
      </c>
      <c r="N26" s="13">
        <f t="shared" si="10"/>
        <v>1.0416666666666666E-2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0.13541666666666666</v>
      </c>
      <c r="T26" s="13">
        <f t="shared" si="10"/>
        <v>7.2222222222222229E-2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0.52569444444444446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6.9444444444444441E-3</v>
      </c>
      <c r="N27" s="13">
        <f t="shared" si="11"/>
        <v>6.9444444444444441E-3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0.13541666666666666</v>
      </c>
      <c r="T27" s="13">
        <f t="shared" si="11"/>
        <v>3.8194444444444441E-2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0.1875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0.18819444444444444</v>
      </c>
      <c r="K28" s="17">
        <f t="shared" si="12"/>
        <v>0</v>
      </c>
      <c r="L28" s="17">
        <f t="shared" si="12"/>
        <v>0</v>
      </c>
      <c r="M28" s="17">
        <f t="shared" si="12"/>
        <v>2.7777777777777779E-3</v>
      </c>
      <c r="N28" s="17">
        <f t="shared" si="12"/>
        <v>6.9444444444444441E-3</v>
      </c>
      <c r="O28" s="17">
        <f t="shared" si="12"/>
        <v>0</v>
      </c>
      <c r="P28" s="17">
        <f t="shared" si="12"/>
        <v>3.4722222222222224E-2</v>
      </c>
      <c r="Q28" s="17">
        <f t="shared" si="12"/>
        <v>0</v>
      </c>
      <c r="R28" s="17">
        <f t="shared" si="12"/>
        <v>0</v>
      </c>
      <c r="S28" s="17">
        <f t="shared" si="12"/>
        <v>0.13541666666666666</v>
      </c>
      <c r="T28" s="17">
        <f t="shared" si="12"/>
        <v>6.3194444444444442E-2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0.43125000000000002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00B0F0"/>
  </sheetPr>
  <dimension ref="A3:AA28"/>
  <sheetViews>
    <sheetView topLeftCell="A4" zoomScale="115" zoomScaleNormal="115" workbookViewId="0">
      <pane xSplit="2" ySplit="4" topLeftCell="S8" activePane="bottomRight" state="frozen"/>
      <selection activeCell="A5" sqref="A5:A6"/>
      <selection pane="topRight" activeCell="A5" sqref="A5:A6"/>
      <selection pane="bottomLeft" activeCell="A5" sqref="A5:A6"/>
      <selection pane="bottomRight" activeCell="B6" sqref="B6:B7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45650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>
        <v>3.472222222222222E-3</v>
      </c>
      <c r="N8" s="20">
        <v>6.9444444444444447E-4</v>
      </c>
      <c r="O8" s="20"/>
      <c r="P8" s="20"/>
      <c r="Q8" s="20"/>
      <c r="R8" s="20"/>
      <c r="S8" s="20">
        <v>2.7777777777777776E-2</v>
      </c>
      <c r="T8" s="20">
        <v>2.2916666666666669E-2</v>
      </c>
      <c r="U8" s="20"/>
      <c r="V8" s="20">
        <v>0.18888888888888888</v>
      </c>
      <c r="W8" s="20"/>
      <c r="X8" s="20"/>
      <c r="Y8" s="20"/>
      <c r="Z8" s="20"/>
      <c r="AA8" s="20">
        <f>SUM(J8:Z8)</f>
        <v>0.24374999999999999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2.7777777777777776E-2</v>
      </c>
      <c r="K9" s="9"/>
      <c r="L9" s="9"/>
      <c r="M9" s="9"/>
      <c r="N9" s="9"/>
      <c r="O9" s="9"/>
      <c r="P9" s="9"/>
      <c r="Q9" s="9"/>
      <c r="R9" s="9"/>
      <c r="S9" s="9">
        <v>5.0694444444444452E-2</v>
      </c>
      <c r="T9" s="9">
        <v>6.9444444444444434E-2</v>
      </c>
      <c r="U9" s="9"/>
      <c r="V9" s="9"/>
      <c r="W9" s="9"/>
      <c r="X9" s="9"/>
      <c r="Y9" s="9"/>
      <c r="Z9" s="9"/>
      <c r="AA9" s="9">
        <f t="shared" ref="AA9:AA21" si="0">SUM(J9:Z9)</f>
        <v>0.14791666666666664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0.3659722222222222</v>
      </c>
      <c r="K11" s="9"/>
      <c r="L11" s="9"/>
      <c r="M11" s="9"/>
      <c r="N11" s="9"/>
      <c r="O11" s="9"/>
      <c r="P11" s="9"/>
      <c r="Q11" s="9"/>
      <c r="R11" s="9"/>
      <c r="S11" s="9">
        <v>5.0694444444444452E-2</v>
      </c>
      <c r="T11" s="9"/>
      <c r="U11" s="9"/>
      <c r="V11" s="9"/>
      <c r="W11" s="9"/>
      <c r="X11" s="9"/>
      <c r="Y11" s="9"/>
      <c r="Z11" s="9"/>
      <c r="AA11" s="9">
        <f t="shared" si="0"/>
        <v>0.41666666666666663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>
        <v>2.0833333333333333E-3</v>
      </c>
      <c r="L12" s="9">
        <v>9.0277777777777787E-3</v>
      </c>
      <c r="M12" s="9">
        <v>5.5555555555555558E-3</v>
      </c>
      <c r="N12" s="9"/>
      <c r="O12" s="9"/>
      <c r="P12" s="9"/>
      <c r="Q12" s="9"/>
      <c r="R12" s="9"/>
      <c r="S12" s="9">
        <v>2.2916666666666669E-2</v>
      </c>
      <c r="T12" s="9">
        <v>6.0416666666666667E-2</v>
      </c>
      <c r="U12" s="9"/>
      <c r="V12" s="9"/>
      <c r="W12" s="9">
        <v>0.11805555555555557</v>
      </c>
      <c r="X12" s="9"/>
      <c r="Y12" s="9"/>
      <c r="Z12" s="9"/>
      <c r="AA12" s="9">
        <f t="shared" si="0"/>
        <v>0.21805555555555556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4.1666666666666666E-3</v>
      </c>
      <c r="N13" s="9">
        <v>6.9444444444444441E-3</v>
      </c>
      <c r="O13" s="9"/>
      <c r="P13" s="9"/>
      <c r="Q13" s="9"/>
      <c r="R13" s="9"/>
      <c r="S13" s="9">
        <v>5.0694444444444452E-2</v>
      </c>
      <c r="T13" s="9">
        <v>7.9861111111111105E-2</v>
      </c>
      <c r="U13" s="9"/>
      <c r="V13" s="9"/>
      <c r="W13" s="9"/>
      <c r="X13" s="9"/>
      <c r="Y13" s="9"/>
      <c r="Z13" s="9"/>
      <c r="AA13" s="9">
        <f t="shared" si="0"/>
        <v>0.14166666666666666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4.1666666666666666E-3</v>
      </c>
      <c r="N14" s="23">
        <v>6.9444444444444441E-3</v>
      </c>
      <c r="O14" s="23"/>
      <c r="P14" s="23"/>
      <c r="Q14" s="23"/>
      <c r="R14" s="23"/>
      <c r="S14" s="23">
        <v>5.0694444444444452E-2</v>
      </c>
      <c r="T14" s="23">
        <v>7.013888888888889E-2</v>
      </c>
      <c r="U14" s="23"/>
      <c r="V14" s="23"/>
      <c r="W14" s="23"/>
      <c r="X14" s="23"/>
      <c r="Y14" s="23"/>
      <c r="Z14" s="23"/>
      <c r="AA14" s="23">
        <f t="shared" si="0"/>
        <v>0.13194444444444445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>
        <v>2.7777777777777779E-3</v>
      </c>
      <c r="L15" s="30"/>
      <c r="M15" s="30">
        <v>2.0833333333333333E-3</v>
      </c>
      <c r="N15" s="30">
        <v>4.8611111111111112E-3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9.7222222222222224E-3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>
        <v>3.472222222222222E-3</v>
      </c>
      <c r="K16" s="9"/>
      <c r="L16" s="9"/>
      <c r="M16" s="9">
        <v>5.5555555555555558E-3</v>
      </c>
      <c r="N16" s="9">
        <v>6.9444444444444441E-3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1.5972222222222221E-2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0.41666666666666669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0.41666666666666669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9.7222222222222224E-3</v>
      </c>
      <c r="L19" s="9"/>
      <c r="M19" s="9">
        <v>2.0833333333333333E-3</v>
      </c>
      <c r="N19" s="9">
        <v>6.9444444444444441E-3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1.8749999999999999E-2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>
        <v>4.5138888888888888E-2</v>
      </c>
      <c r="K20" s="9"/>
      <c r="L20" s="9"/>
      <c r="M20" s="9">
        <v>2.7777777777777779E-3</v>
      </c>
      <c r="N20" s="9">
        <v>6.9444444444444441E-3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5.486111111111111E-2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>
        <v>0.25</v>
      </c>
      <c r="K21" s="23"/>
      <c r="L21" s="23"/>
      <c r="M21" s="23">
        <v>5.5555555555555558E-3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0.25555555555555554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2.7777777777777779E-3</v>
      </c>
      <c r="L22" s="27">
        <f t="shared" si="4"/>
        <v>0</v>
      </c>
      <c r="M22" s="27">
        <f t="shared" si="4"/>
        <v>5.5555555555555549E-3</v>
      </c>
      <c r="N22" s="27">
        <f t="shared" si="4"/>
        <v>5.5555555555555558E-3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2.7777777777777776E-2</v>
      </c>
      <c r="T22" s="27">
        <f t="shared" si="4"/>
        <v>2.2916666666666669E-2</v>
      </c>
      <c r="U22" s="27">
        <f t="shared" si="4"/>
        <v>0</v>
      </c>
      <c r="V22" s="27">
        <f t="shared" si="4"/>
        <v>0.18888888888888888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0.25347222222222221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3.125E-2</v>
      </c>
      <c r="K23" s="13">
        <f t="shared" si="5"/>
        <v>0</v>
      </c>
      <c r="L23" s="13">
        <f t="shared" si="5"/>
        <v>0</v>
      </c>
      <c r="M23" s="13">
        <f t="shared" si="5"/>
        <v>5.5555555555555558E-3</v>
      </c>
      <c r="N23" s="13">
        <f t="shared" si="5"/>
        <v>6.9444444444444441E-3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5.0694444444444452E-2</v>
      </c>
      <c r="T23" s="13">
        <f t="shared" si="5"/>
        <v>6.9444444444444434E-2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0.16388888888888886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0.78263888888888888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5.0694444444444452E-2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0.83333333333333337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1.1805555555555555E-2</v>
      </c>
      <c r="L26" s="13">
        <f t="shared" si="10"/>
        <v>9.0277777777777787E-3</v>
      </c>
      <c r="M26" s="13">
        <f t="shared" si="10"/>
        <v>7.6388888888888895E-3</v>
      </c>
      <c r="N26" s="13">
        <f t="shared" si="10"/>
        <v>6.9444444444444441E-3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2.2916666666666669E-2</v>
      </c>
      <c r="T26" s="13">
        <f t="shared" si="10"/>
        <v>6.0416666666666667E-2</v>
      </c>
      <c r="U26" s="13">
        <f t="shared" si="10"/>
        <v>0</v>
      </c>
      <c r="V26" s="13">
        <f t="shared" si="10"/>
        <v>0</v>
      </c>
      <c r="W26" s="13">
        <f t="shared" si="10"/>
        <v>0.11805555555555557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0.23680555555555555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4.5138888888888888E-2</v>
      </c>
      <c r="K27" s="13">
        <f t="shared" si="11"/>
        <v>0</v>
      </c>
      <c r="L27" s="13">
        <f t="shared" si="11"/>
        <v>0</v>
      </c>
      <c r="M27" s="13">
        <f t="shared" si="11"/>
        <v>6.9444444444444441E-3</v>
      </c>
      <c r="N27" s="13">
        <f t="shared" si="11"/>
        <v>1.3888888888888888E-2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5.0694444444444452E-2</v>
      </c>
      <c r="T27" s="13">
        <f t="shared" si="11"/>
        <v>7.9861111111111105E-2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0.19652777777777777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0.25</v>
      </c>
      <c r="K28" s="17">
        <f t="shared" si="12"/>
        <v>0</v>
      </c>
      <c r="L28" s="17">
        <f t="shared" si="12"/>
        <v>0</v>
      </c>
      <c r="M28" s="17">
        <f t="shared" si="12"/>
        <v>9.7222222222222224E-3</v>
      </c>
      <c r="N28" s="17">
        <f t="shared" si="12"/>
        <v>6.9444444444444441E-3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5.0694444444444452E-2</v>
      </c>
      <c r="T28" s="17">
        <f t="shared" si="12"/>
        <v>7.013888888888889E-2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0.38749999999999996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00B0F0"/>
  </sheetPr>
  <dimension ref="A3:AK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B6" sqref="B6:B7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37" ht="15.75" x14ac:dyDescent="0.25">
      <c r="A3" s="2" t="s">
        <v>0</v>
      </c>
    </row>
    <row r="4" spans="1:37" ht="15.75" x14ac:dyDescent="0.25">
      <c r="A4" s="2" t="s">
        <v>60</v>
      </c>
    </row>
    <row r="5" spans="1:37" x14ac:dyDescent="0.25">
      <c r="A5" s="1" t="s">
        <v>1</v>
      </c>
      <c r="B5" s="6">
        <v>45651</v>
      </c>
    </row>
    <row r="6" spans="1:3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3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  <c r="AB7" s="189" t="s">
        <v>50</v>
      </c>
      <c r="AC7" s="189"/>
      <c r="AD7" s="189"/>
      <c r="AE7" s="189"/>
      <c r="AF7" s="189"/>
      <c r="AG7" s="189" t="s">
        <v>51</v>
      </c>
      <c r="AH7" s="189"/>
      <c r="AI7" s="189"/>
      <c r="AJ7" s="189"/>
      <c r="AK7" s="189"/>
    </row>
    <row r="8" spans="1:3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  <c r="AB8" s="9">
        <f>+J8+O8+Q8+U8</f>
        <v>0</v>
      </c>
      <c r="AC8" s="73">
        <f>1+(28/60)</f>
        <v>1.4666666666666668</v>
      </c>
      <c r="AD8" s="8">
        <v>400</v>
      </c>
      <c r="AE8" s="97">
        <f>+AC8*AD8</f>
        <v>586.66666666666674</v>
      </c>
      <c r="AF8" s="190">
        <f>SUM(AE8:AE14)</f>
        <v>5078.05</v>
      </c>
      <c r="AG8" s="9">
        <f>+K8+L8+M8+N8+R8+S8+T8+V8+W8+X8+Y8+Z8</f>
        <v>0</v>
      </c>
      <c r="AH8" s="73">
        <f>1+(28/60)</f>
        <v>1.4666666666666668</v>
      </c>
      <c r="AI8" s="8">
        <v>400</v>
      </c>
      <c r="AJ8" s="97">
        <f>+AH8*AI8</f>
        <v>586.66666666666674</v>
      </c>
      <c r="AK8" s="190">
        <f>SUM(AJ8:AJ14)</f>
        <v>1268.3333333333335</v>
      </c>
    </row>
    <row r="9" spans="1:3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  <c r="AB9" s="9">
        <f t="shared" ref="AB9:AB14" si="1">+J9+O9+Q9+U9</f>
        <v>0</v>
      </c>
      <c r="AC9" s="73">
        <f>0+(0/60)</f>
        <v>0</v>
      </c>
      <c r="AD9" s="8">
        <v>400</v>
      </c>
      <c r="AE9" s="97">
        <f t="shared" ref="AE9:AE14" si="2">+AC9*AD9</f>
        <v>0</v>
      </c>
      <c r="AF9" s="190"/>
      <c r="AG9" s="9">
        <f t="shared" ref="AG9:AG21" si="3">+K9+L9+M9+N9+R9+S9+T9+V9+W9+X9+Y9+Z9</f>
        <v>0</v>
      </c>
      <c r="AH9" s="73">
        <f>0+(0/60)</f>
        <v>0</v>
      </c>
      <c r="AI9" s="8">
        <v>400</v>
      </c>
      <c r="AJ9" s="97">
        <f t="shared" ref="AJ9:AJ14" si="4">+AH9*AI9</f>
        <v>0</v>
      </c>
      <c r="AK9" s="190"/>
    </row>
    <row r="10" spans="1:3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5">SUM(J10:Z10)</f>
        <v>0</v>
      </c>
      <c r="AB10" s="9">
        <f t="shared" si="1"/>
        <v>0</v>
      </c>
      <c r="AC10" s="73">
        <f>0+(0/60)</f>
        <v>0</v>
      </c>
      <c r="AD10" s="8">
        <v>401</v>
      </c>
      <c r="AE10" s="97">
        <f t="shared" si="2"/>
        <v>0</v>
      </c>
      <c r="AF10" s="190"/>
      <c r="AG10" s="9">
        <f t="shared" si="3"/>
        <v>0</v>
      </c>
      <c r="AH10" s="73">
        <f>0+(0/60)</f>
        <v>0</v>
      </c>
      <c r="AI10" s="8">
        <v>400</v>
      </c>
      <c r="AJ10" s="97">
        <f t="shared" si="4"/>
        <v>0</v>
      </c>
      <c r="AK10" s="190"/>
    </row>
    <row r="11" spans="1:3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</v>
      </c>
      <c r="AB11" s="9">
        <f t="shared" si="1"/>
        <v>0</v>
      </c>
      <c r="AC11" s="73">
        <f t="shared" ref="AC11:AC13" si="6">0+(0/60)</f>
        <v>0</v>
      </c>
      <c r="AD11" s="8">
        <v>402</v>
      </c>
      <c r="AE11" s="97">
        <f t="shared" si="2"/>
        <v>0</v>
      </c>
      <c r="AF11" s="190"/>
      <c r="AG11" s="9">
        <f t="shared" si="3"/>
        <v>0</v>
      </c>
      <c r="AH11" s="73">
        <f>0+(0/60)</f>
        <v>0</v>
      </c>
      <c r="AI11" s="8">
        <v>400</v>
      </c>
      <c r="AJ11" s="97">
        <f t="shared" si="4"/>
        <v>0</v>
      </c>
      <c r="AK11" s="190"/>
    </row>
    <row r="12" spans="1:3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  <c r="AB12" s="9">
        <f t="shared" si="1"/>
        <v>0</v>
      </c>
      <c r="AC12" s="73">
        <f>3+(31/60)</f>
        <v>3.5166666666666666</v>
      </c>
      <c r="AD12" s="8">
        <v>403</v>
      </c>
      <c r="AE12" s="97">
        <f t="shared" si="2"/>
        <v>1417.2166666666667</v>
      </c>
      <c r="AF12" s="190"/>
      <c r="AG12" s="9">
        <f t="shared" si="3"/>
        <v>0</v>
      </c>
      <c r="AH12" s="73">
        <f>0+(10/60)</f>
        <v>0.16666666666666666</v>
      </c>
      <c r="AI12" s="8">
        <v>400</v>
      </c>
      <c r="AJ12" s="97">
        <f t="shared" si="4"/>
        <v>66.666666666666657</v>
      </c>
      <c r="AK12" s="190"/>
    </row>
    <row r="13" spans="1:3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4.8611111111111112E-3</v>
      </c>
      <c r="N13" s="9">
        <v>6.9444444444444441E-3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1.1805555555555555E-2</v>
      </c>
      <c r="AB13" s="9">
        <f t="shared" si="1"/>
        <v>0</v>
      </c>
      <c r="AC13" s="73">
        <f t="shared" si="6"/>
        <v>0</v>
      </c>
      <c r="AD13" s="8">
        <v>450</v>
      </c>
      <c r="AE13" s="97">
        <f t="shared" si="2"/>
        <v>0</v>
      </c>
      <c r="AF13" s="190"/>
      <c r="AG13" s="9">
        <f t="shared" si="3"/>
        <v>1.1805555555555555E-2</v>
      </c>
      <c r="AH13" s="73">
        <f>1+(22/60)</f>
        <v>1.3666666666666667</v>
      </c>
      <c r="AI13" s="8">
        <v>450</v>
      </c>
      <c r="AJ13" s="97">
        <f t="shared" si="4"/>
        <v>615</v>
      </c>
      <c r="AK13" s="190"/>
    </row>
    <row r="14" spans="1:3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  <c r="AB14" s="23">
        <f t="shared" si="1"/>
        <v>0</v>
      </c>
      <c r="AC14" s="100">
        <f>8+(47/60)</f>
        <v>8.7833333333333332</v>
      </c>
      <c r="AD14" s="22">
        <v>350</v>
      </c>
      <c r="AE14" s="101">
        <f t="shared" si="2"/>
        <v>3074.1666666666665</v>
      </c>
      <c r="AF14" s="191"/>
      <c r="AG14" s="23">
        <f t="shared" si="3"/>
        <v>0</v>
      </c>
      <c r="AH14" s="100">
        <f>0+(0/60)</f>
        <v>0</v>
      </c>
      <c r="AI14" s="22">
        <v>350</v>
      </c>
      <c r="AJ14" s="101">
        <f t="shared" si="4"/>
        <v>0</v>
      </c>
      <c r="AK14" s="191"/>
    </row>
    <row r="15" spans="1:3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>
        <v>2.7777777777777779E-3</v>
      </c>
      <c r="N15" s="30"/>
      <c r="O15" s="30"/>
      <c r="P15" s="30"/>
      <c r="Q15" s="30"/>
      <c r="R15" s="30"/>
      <c r="S15" s="30">
        <v>0.25</v>
      </c>
      <c r="T15" s="30"/>
      <c r="U15" s="30"/>
      <c r="V15" s="30"/>
      <c r="W15" s="30"/>
      <c r="X15" s="30"/>
      <c r="Y15" s="30"/>
      <c r="Z15" s="30"/>
      <c r="AA15" s="30">
        <f t="shared" si="0"/>
        <v>0.25277777777777777</v>
      </c>
      <c r="AB15" s="20">
        <f>+J15+O15+Q15+U15</f>
        <v>0</v>
      </c>
      <c r="AC15" s="98">
        <f>0+(0/60)</f>
        <v>0</v>
      </c>
      <c r="AD15" s="19">
        <v>400</v>
      </c>
      <c r="AE15" s="99">
        <f>+AC15*AD15</f>
        <v>0</v>
      </c>
      <c r="AF15" s="192">
        <f>SUM(AE15:AE21)</f>
        <v>1773.3333333333335</v>
      </c>
      <c r="AG15" s="20">
        <f t="shared" si="3"/>
        <v>0.25277777777777777</v>
      </c>
      <c r="AH15" s="73">
        <f>0+(23/60)</f>
        <v>0.38333333333333336</v>
      </c>
      <c r="AI15" s="19">
        <v>400</v>
      </c>
      <c r="AJ15" s="99">
        <f>+AH15*AI15</f>
        <v>153.33333333333334</v>
      </c>
      <c r="AK15" s="192">
        <f>SUM(AJ15:AJ21)</f>
        <v>572.5</v>
      </c>
    </row>
    <row r="16" spans="1:3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>
        <v>0.25</v>
      </c>
      <c r="T16" s="9"/>
      <c r="U16" s="9"/>
      <c r="V16" s="9"/>
      <c r="W16" s="9">
        <v>0.16666666666666666</v>
      </c>
      <c r="X16" s="9"/>
      <c r="Y16" s="9"/>
      <c r="Z16" s="9"/>
      <c r="AA16" s="9">
        <f t="shared" si="0"/>
        <v>0.41666666666666663</v>
      </c>
      <c r="AB16" s="9">
        <f t="shared" ref="AB16:AB21" si="7">+J16+O16+Q16+U16</f>
        <v>0</v>
      </c>
      <c r="AC16" s="73">
        <f>0+(39/60)</f>
        <v>0.65</v>
      </c>
      <c r="AD16" s="8">
        <v>400</v>
      </c>
      <c r="AE16" s="97">
        <f t="shared" ref="AE16:AE21" si="8">+AC16*AD16</f>
        <v>260</v>
      </c>
      <c r="AF16" s="190"/>
      <c r="AG16" s="9">
        <f t="shared" si="3"/>
        <v>0.41666666666666663</v>
      </c>
      <c r="AH16" s="73">
        <f>0+(17/60)</f>
        <v>0.28333333333333333</v>
      </c>
      <c r="AI16" s="8">
        <v>400</v>
      </c>
      <c r="AJ16" s="97">
        <f t="shared" ref="AJ16:AJ21" si="9">+AH16*AI16</f>
        <v>113.33333333333333</v>
      </c>
      <c r="AK16" s="190"/>
    </row>
    <row r="17" spans="1:3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10">SUM(J17:Z17)</f>
        <v>0</v>
      </c>
      <c r="AB17" s="9">
        <f t="shared" si="7"/>
        <v>0</v>
      </c>
      <c r="AC17" s="73">
        <f>0+(23/60)</f>
        <v>0.38333333333333336</v>
      </c>
      <c r="AD17" s="8">
        <v>400</v>
      </c>
      <c r="AE17" s="97">
        <f t="shared" si="8"/>
        <v>153.33333333333334</v>
      </c>
      <c r="AF17" s="190"/>
      <c r="AG17" s="9">
        <f t="shared" si="3"/>
        <v>0</v>
      </c>
      <c r="AH17" s="73">
        <f>0+(28/60)</f>
        <v>0.46666666666666667</v>
      </c>
      <c r="AI17" s="8">
        <v>400</v>
      </c>
      <c r="AJ17" s="97">
        <f t="shared" si="9"/>
        <v>186.66666666666666</v>
      </c>
      <c r="AK17" s="190"/>
    </row>
    <row r="18" spans="1:3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0.16666666666666666</v>
      </c>
      <c r="K18" s="9"/>
      <c r="L18" s="9"/>
      <c r="M18" s="9"/>
      <c r="N18" s="9"/>
      <c r="O18" s="9"/>
      <c r="P18" s="9"/>
      <c r="Q18" s="9"/>
      <c r="R18" s="9"/>
      <c r="S18" s="9">
        <v>0.25</v>
      </c>
      <c r="T18" s="9"/>
      <c r="U18" s="9"/>
      <c r="V18" s="9"/>
      <c r="W18" s="9"/>
      <c r="X18" s="9"/>
      <c r="Y18" s="9"/>
      <c r="Z18" s="9"/>
      <c r="AA18" s="9">
        <f t="shared" si="0"/>
        <v>0.41666666666666663</v>
      </c>
      <c r="AB18" s="9">
        <f t="shared" si="7"/>
        <v>0.16666666666666666</v>
      </c>
      <c r="AC18" s="73">
        <f t="shared" ref="AC18:AC21" si="11">0+(0/60)</f>
        <v>0</v>
      </c>
      <c r="AD18" s="8">
        <v>400</v>
      </c>
      <c r="AE18" s="97">
        <f t="shared" si="8"/>
        <v>0</v>
      </c>
      <c r="AF18" s="190"/>
      <c r="AG18" s="9">
        <f t="shared" si="3"/>
        <v>0.25</v>
      </c>
      <c r="AH18" s="73">
        <f>0+(0/60)</f>
        <v>0</v>
      </c>
      <c r="AI18" s="8">
        <v>400</v>
      </c>
      <c r="AJ18" s="97">
        <f t="shared" si="9"/>
        <v>0</v>
      </c>
      <c r="AK18" s="190"/>
    </row>
    <row r="19" spans="1:3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v>0.16666666666666666</v>
      </c>
      <c r="X19" s="9"/>
      <c r="Y19" s="9"/>
      <c r="Z19" s="9"/>
      <c r="AA19" s="9">
        <f t="shared" si="0"/>
        <v>0.16666666666666666</v>
      </c>
      <c r="AB19" s="9">
        <f t="shared" si="7"/>
        <v>0</v>
      </c>
      <c r="AC19" s="73">
        <f>3+(24/60)</f>
        <v>3.4</v>
      </c>
      <c r="AD19" s="8">
        <v>400</v>
      </c>
      <c r="AE19" s="97">
        <f t="shared" si="8"/>
        <v>1360</v>
      </c>
      <c r="AF19" s="190"/>
      <c r="AG19" s="9">
        <f t="shared" si="3"/>
        <v>0.16666666666666666</v>
      </c>
      <c r="AH19" s="73">
        <f>0+(10/60)</f>
        <v>0.16666666666666666</v>
      </c>
      <c r="AI19" s="8">
        <v>400</v>
      </c>
      <c r="AJ19" s="97">
        <f t="shared" si="9"/>
        <v>66.666666666666657</v>
      </c>
      <c r="AK19" s="190"/>
    </row>
    <row r="20" spans="1:3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4.8611111111111112E-3</v>
      </c>
      <c r="L20" s="9"/>
      <c r="M20" s="9">
        <v>6.9444444444444441E-3</v>
      </c>
      <c r="N20" s="9"/>
      <c r="O20" s="9"/>
      <c r="P20" s="9"/>
      <c r="Q20" s="9"/>
      <c r="R20" s="9"/>
      <c r="S20" s="9">
        <v>0.25</v>
      </c>
      <c r="T20" s="9"/>
      <c r="U20" s="9"/>
      <c r="V20" s="9"/>
      <c r="W20" s="9"/>
      <c r="X20" s="9"/>
      <c r="Y20" s="9"/>
      <c r="Z20" s="9"/>
      <c r="AA20" s="9">
        <f t="shared" si="0"/>
        <v>0.26180555555555557</v>
      </c>
      <c r="AB20" s="9">
        <f t="shared" si="7"/>
        <v>0</v>
      </c>
      <c r="AC20" s="73">
        <f t="shared" si="11"/>
        <v>0</v>
      </c>
      <c r="AD20" s="8">
        <v>450</v>
      </c>
      <c r="AE20" s="97">
        <f t="shared" si="8"/>
        <v>0</v>
      </c>
      <c r="AF20" s="190"/>
      <c r="AG20" s="9">
        <f t="shared" si="3"/>
        <v>0.26180555555555557</v>
      </c>
      <c r="AH20" s="73">
        <f>0+(7/60)</f>
        <v>0.11666666666666667</v>
      </c>
      <c r="AI20" s="8">
        <v>450</v>
      </c>
      <c r="AJ20" s="97">
        <f t="shared" si="9"/>
        <v>52.5</v>
      </c>
      <c r="AK20" s="190"/>
    </row>
    <row r="21" spans="1:3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>
        <v>0.25</v>
      </c>
      <c r="T21" s="23"/>
      <c r="U21" s="23"/>
      <c r="V21" s="23"/>
      <c r="W21" s="9">
        <v>0.16666666666666666</v>
      </c>
      <c r="X21" s="23"/>
      <c r="Y21" s="23"/>
      <c r="Z21" s="23"/>
      <c r="AA21" s="23">
        <f t="shared" si="0"/>
        <v>0.41666666666666663</v>
      </c>
      <c r="AB21" s="102">
        <f t="shared" si="7"/>
        <v>0</v>
      </c>
      <c r="AC21" s="77">
        <f t="shared" si="11"/>
        <v>0</v>
      </c>
      <c r="AD21" s="103">
        <v>350</v>
      </c>
      <c r="AE21" s="104">
        <f t="shared" si="8"/>
        <v>0</v>
      </c>
      <c r="AF21" s="193"/>
      <c r="AG21" s="102">
        <f t="shared" si="3"/>
        <v>0.41666666666666663</v>
      </c>
      <c r="AH21" s="73">
        <f>0+(0/60)</f>
        <v>0</v>
      </c>
      <c r="AI21" s="103">
        <v>350</v>
      </c>
      <c r="AJ21" s="104">
        <f t="shared" si="9"/>
        <v>0</v>
      </c>
      <c r="AK21" s="193"/>
    </row>
    <row r="22" spans="1:3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12">E8+E15</f>
        <v>0</v>
      </c>
      <c r="F22" s="26">
        <f t="shared" si="12"/>
        <v>0</v>
      </c>
      <c r="G22" s="25"/>
      <c r="H22" s="25"/>
      <c r="I22" s="25"/>
      <c r="J22" s="27">
        <f t="shared" ref="J22:Z22" si="13">J8+J15</f>
        <v>0</v>
      </c>
      <c r="K22" s="27">
        <f t="shared" si="13"/>
        <v>0</v>
      </c>
      <c r="L22" s="27">
        <f t="shared" si="13"/>
        <v>0</v>
      </c>
      <c r="M22" s="27">
        <f t="shared" si="13"/>
        <v>2.7777777777777779E-3</v>
      </c>
      <c r="N22" s="27">
        <f t="shared" si="13"/>
        <v>0</v>
      </c>
      <c r="O22" s="27">
        <f t="shared" si="13"/>
        <v>0</v>
      </c>
      <c r="P22" s="27">
        <f t="shared" si="13"/>
        <v>0</v>
      </c>
      <c r="Q22" s="27">
        <f t="shared" si="13"/>
        <v>0</v>
      </c>
      <c r="R22" s="27">
        <f t="shared" si="13"/>
        <v>0</v>
      </c>
      <c r="S22" s="27">
        <f t="shared" si="13"/>
        <v>0.25</v>
      </c>
      <c r="T22" s="27">
        <f t="shared" si="13"/>
        <v>0</v>
      </c>
      <c r="U22" s="27">
        <f t="shared" si="13"/>
        <v>0</v>
      </c>
      <c r="V22" s="27">
        <f t="shared" si="13"/>
        <v>0</v>
      </c>
      <c r="W22" s="27">
        <f t="shared" si="13"/>
        <v>0</v>
      </c>
      <c r="X22" s="27">
        <f t="shared" si="13"/>
        <v>0</v>
      </c>
      <c r="Y22" s="27">
        <f t="shared" si="13"/>
        <v>0</v>
      </c>
      <c r="Z22" s="27">
        <f t="shared" si="13"/>
        <v>0</v>
      </c>
      <c r="AA22" s="27">
        <f>SUM(J22:Z22)</f>
        <v>0.25277777777777777</v>
      </c>
      <c r="AB22" s="188" t="s">
        <v>52</v>
      </c>
      <c r="AC22" s="188"/>
      <c r="AD22" s="188"/>
      <c r="AE22" s="188"/>
      <c r="AF22" s="105">
        <f>+AF15+AF8</f>
        <v>6851.3833333333332</v>
      </c>
      <c r="AG22" s="188" t="s">
        <v>53</v>
      </c>
      <c r="AH22" s="188"/>
      <c r="AI22" s="188"/>
      <c r="AJ22" s="188"/>
      <c r="AK22" s="105">
        <f>+AK15+AK8</f>
        <v>1840.8333333333335</v>
      </c>
    </row>
    <row r="23" spans="1:37" s="5" customFormat="1" x14ac:dyDescent="0.25">
      <c r="A23" s="168"/>
      <c r="B23" s="10" t="s">
        <v>31</v>
      </c>
      <c r="C23" s="11"/>
      <c r="D23" s="11"/>
      <c r="E23" s="12">
        <f t="shared" si="12"/>
        <v>0</v>
      </c>
      <c r="F23" s="12">
        <f t="shared" si="12"/>
        <v>0</v>
      </c>
      <c r="G23" s="11"/>
      <c r="H23" s="11"/>
      <c r="I23" s="11"/>
      <c r="J23" s="13">
        <f t="shared" ref="J23:Z23" si="14">J9+J16</f>
        <v>0</v>
      </c>
      <c r="K23" s="13">
        <f t="shared" si="14"/>
        <v>0</v>
      </c>
      <c r="L23" s="13">
        <f t="shared" si="14"/>
        <v>0</v>
      </c>
      <c r="M23" s="13">
        <f t="shared" si="14"/>
        <v>0</v>
      </c>
      <c r="N23" s="13">
        <f t="shared" si="14"/>
        <v>0</v>
      </c>
      <c r="O23" s="13">
        <f t="shared" si="14"/>
        <v>0</v>
      </c>
      <c r="P23" s="13">
        <f t="shared" si="14"/>
        <v>0</v>
      </c>
      <c r="Q23" s="13">
        <f t="shared" si="14"/>
        <v>0</v>
      </c>
      <c r="R23" s="13">
        <f t="shared" si="14"/>
        <v>0</v>
      </c>
      <c r="S23" s="13">
        <f t="shared" si="14"/>
        <v>0.25</v>
      </c>
      <c r="T23" s="13">
        <f t="shared" si="14"/>
        <v>0</v>
      </c>
      <c r="U23" s="13">
        <f t="shared" si="14"/>
        <v>0</v>
      </c>
      <c r="V23" s="13">
        <f t="shared" si="14"/>
        <v>0</v>
      </c>
      <c r="W23" s="13">
        <f t="shared" si="14"/>
        <v>0.16666666666666666</v>
      </c>
      <c r="X23" s="13">
        <f t="shared" si="14"/>
        <v>0</v>
      </c>
      <c r="Y23" s="13">
        <f t="shared" si="14"/>
        <v>0</v>
      </c>
      <c r="Z23" s="13">
        <f t="shared" si="14"/>
        <v>0</v>
      </c>
      <c r="AA23" s="13">
        <f t="shared" ref="AA23" si="15">SUM(J23:Z23)</f>
        <v>0.41666666666666663</v>
      </c>
    </row>
    <row r="24" spans="1:37" s="5" customFormat="1" x14ac:dyDescent="0.25">
      <c r="A24" s="168"/>
      <c r="B24" s="150" t="s">
        <v>59</v>
      </c>
      <c r="C24" s="11"/>
      <c r="D24" s="11"/>
      <c r="E24" s="12">
        <f t="shared" si="12"/>
        <v>0</v>
      </c>
      <c r="F24" s="12">
        <f t="shared" si="12"/>
        <v>0</v>
      </c>
      <c r="G24" s="11"/>
      <c r="H24" s="11"/>
      <c r="I24" s="11"/>
      <c r="J24" s="13">
        <f t="shared" ref="J24:Z24" si="16">J10+J17</f>
        <v>0</v>
      </c>
      <c r="K24" s="13">
        <f t="shared" si="16"/>
        <v>0</v>
      </c>
      <c r="L24" s="13">
        <f t="shared" si="16"/>
        <v>0</v>
      </c>
      <c r="M24" s="13">
        <f t="shared" si="16"/>
        <v>0</v>
      </c>
      <c r="N24" s="13">
        <f t="shared" si="16"/>
        <v>0</v>
      </c>
      <c r="O24" s="13">
        <f t="shared" si="16"/>
        <v>0</v>
      </c>
      <c r="P24" s="13">
        <f t="shared" si="16"/>
        <v>0</v>
      </c>
      <c r="Q24" s="13">
        <f t="shared" si="16"/>
        <v>0</v>
      </c>
      <c r="R24" s="13">
        <f t="shared" si="16"/>
        <v>0</v>
      </c>
      <c r="S24" s="13">
        <f t="shared" si="16"/>
        <v>0</v>
      </c>
      <c r="T24" s="13">
        <f t="shared" si="16"/>
        <v>0</v>
      </c>
      <c r="U24" s="13">
        <f t="shared" si="16"/>
        <v>0</v>
      </c>
      <c r="V24" s="13">
        <f t="shared" si="16"/>
        <v>0</v>
      </c>
      <c r="W24" s="13">
        <f t="shared" si="16"/>
        <v>0</v>
      </c>
      <c r="X24" s="13">
        <f t="shared" si="16"/>
        <v>0</v>
      </c>
      <c r="Y24" s="13">
        <f t="shared" si="16"/>
        <v>0</v>
      </c>
      <c r="Z24" s="13">
        <f t="shared" si="16"/>
        <v>0</v>
      </c>
      <c r="AA24" s="13">
        <f t="shared" ref="AA24:AA28" si="17">SUM(J24:Z24)</f>
        <v>0</v>
      </c>
    </row>
    <row r="25" spans="1:37" s="5" customFormat="1" x14ac:dyDescent="0.25">
      <c r="A25" s="168"/>
      <c r="B25" s="10" t="s">
        <v>32</v>
      </c>
      <c r="C25" s="11"/>
      <c r="D25" s="11"/>
      <c r="E25" s="12">
        <f t="shared" si="12"/>
        <v>0</v>
      </c>
      <c r="F25" s="12">
        <f t="shared" si="12"/>
        <v>0</v>
      </c>
      <c r="G25" s="11"/>
      <c r="H25" s="11"/>
      <c r="I25" s="11"/>
      <c r="J25" s="13">
        <f t="shared" ref="J25:Z25" si="18">J11+J18</f>
        <v>0.16666666666666666</v>
      </c>
      <c r="K25" s="13">
        <f t="shared" si="18"/>
        <v>0</v>
      </c>
      <c r="L25" s="13">
        <f t="shared" si="18"/>
        <v>0</v>
      </c>
      <c r="M25" s="13">
        <f t="shared" si="18"/>
        <v>0</v>
      </c>
      <c r="N25" s="13">
        <f t="shared" si="18"/>
        <v>0</v>
      </c>
      <c r="O25" s="13">
        <f t="shared" si="18"/>
        <v>0</v>
      </c>
      <c r="P25" s="13">
        <f t="shared" si="18"/>
        <v>0</v>
      </c>
      <c r="Q25" s="13">
        <f t="shared" si="18"/>
        <v>0</v>
      </c>
      <c r="R25" s="13">
        <f t="shared" si="18"/>
        <v>0</v>
      </c>
      <c r="S25" s="13">
        <f t="shared" si="18"/>
        <v>0.25</v>
      </c>
      <c r="T25" s="13">
        <f t="shared" si="18"/>
        <v>0</v>
      </c>
      <c r="U25" s="13">
        <f t="shared" si="18"/>
        <v>0</v>
      </c>
      <c r="V25" s="13">
        <f t="shared" si="18"/>
        <v>0</v>
      </c>
      <c r="W25" s="13">
        <f t="shared" si="18"/>
        <v>0</v>
      </c>
      <c r="X25" s="13">
        <f t="shared" si="18"/>
        <v>0</v>
      </c>
      <c r="Y25" s="13">
        <f t="shared" si="18"/>
        <v>0</v>
      </c>
      <c r="Z25" s="13">
        <f t="shared" si="18"/>
        <v>0</v>
      </c>
      <c r="AA25" s="13">
        <f t="shared" si="17"/>
        <v>0.41666666666666663</v>
      </c>
    </row>
    <row r="26" spans="1:37" s="5" customFormat="1" x14ac:dyDescent="0.25">
      <c r="A26" s="168"/>
      <c r="B26" s="10" t="s">
        <v>33</v>
      </c>
      <c r="C26" s="11"/>
      <c r="D26" s="11"/>
      <c r="E26" s="12">
        <f t="shared" si="12"/>
        <v>0</v>
      </c>
      <c r="F26" s="12">
        <f t="shared" si="12"/>
        <v>0</v>
      </c>
      <c r="G26" s="11"/>
      <c r="H26" s="11"/>
      <c r="I26" s="11"/>
      <c r="J26" s="13">
        <f t="shared" ref="J26:Z26" si="19">J12+J19</f>
        <v>0</v>
      </c>
      <c r="K26" s="13">
        <f t="shared" si="19"/>
        <v>0</v>
      </c>
      <c r="L26" s="13">
        <f t="shared" si="19"/>
        <v>0</v>
      </c>
      <c r="M26" s="13">
        <f t="shared" si="19"/>
        <v>0</v>
      </c>
      <c r="N26" s="13">
        <f t="shared" si="19"/>
        <v>0</v>
      </c>
      <c r="O26" s="13">
        <f t="shared" si="19"/>
        <v>0</v>
      </c>
      <c r="P26" s="13">
        <f t="shared" si="19"/>
        <v>0</v>
      </c>
      <c r="Q26" s="13">
        <f t="shared" si="19"/>
        <v>0</v>
      </c>
      <c r="R26" s="13">
        <f t="shared" si="19"/>
        <v>0</v>
      </c>
      <c r="S26" s="13">
        <f t="shared" si="19"/>
        <v>0</v>
      </c>
      <c r="T26" s="13">
        <f t="shared" si="19"/>
        <v>0</v>
      </c>
      <c r="U26" s="13">
        <f t="shared" si="19"/>
        <v>0</v>
      </c>
      <c r="V26" s="13">
        <f t="shared" si="19"/>
        <v>0</v>
      </c>
      <c r="W26" s="13">
        <f t="shared" si="19"/>
        <v>0.16666666666666666</v>
      </c>
      <c r="X26" s="13">
        <f t="shared" si="19"/>
        <v>0</v>
      </c>
      <c r="Y26" s="13">
        <f t="shared" si="19"/>
        <v>0</v>
      </c>
      <c r="Z26" s="13">
        <f t="shared" si="19"/>
        <v>0</v>
      </c>
      <c r="AA26" s="13">
        <f t="shared" si="17"/>
        <v>0.16666666666666666</v>
      </c>
    </row>
    <row r="27" spans="1:37" s="5" customFormat="1" x14ac:dyDescent="0.25">
      <c r="A27" s="168"/>
      <c r="B27" s="10" t="s">
        <v>34</v>
      </c>
      <c r="C27" s="11"/>
      <c r="D27" s="11"/>
      <c r="E27" s="12">
        <f t="shared" si="12"/>
        <v>0</v>
      </c>
      <c r="F27" s="12">
        <f t="shared" si="12"/>
        <v>0</v>
      </c>
      <c r="G27" s="11"/>
      <c r="H27" s="11"/>
      <c r="I27" s="11"/>
      <c r="J27" s="13">
        <f t="shared" ref="J27:Z27" si="20">J13+J20</f>
        <v>0</v>
      </c>
      <c r="K27" s="13">
        <f t="shared" si="20"/>
        <v>4.8611111111111112E-3</v>
      </c>
      <c r="L27" s="13">
        <f t="shared" si="20"/>
        <v>0</v>
      </c>
      <c r="M27" s="13">
        <f t="shared" si="20"/>
        <v>1.1805555555555555E-2</v>
      </c>
      <c r="N27" s="13">
        <f t="shared" si="20"/>
        <v>6.9444444444444441E-3</v>
      </c>
      <c r="O27" s="13">
        <f t="shared" si="20"/>
        <v>0</v>
      </c>
      <c r="P27" s="13">
        <f t="shared" si="20"/>
        <v>0</v>
      </c>
      <c r="Q27" s="13">
        <f t="shared" si="20"/>
        <v>0</v>
      </c>
      <c r="R27" s="13">
        <f t="shared" si="20"/>
        <v>0</v>
      </c>
      <c r="S27" s="13">
        <f t="shared" si="20"/>
        <v>0.25</v>
      </c>
      <c r="T27" s="13">
        <f t="shared" si="20"/>
        <v>0</v>
      </c>
      <c r="U27" s="13">
        <f t="shared" si="20"/>
        <v>0</v>
      </c>
      <c r="V27" s="13">
        <f t="shared" si="20"/>
        <v>0</v>
      </c>
      <c r="W27" s="13">
        <f t="shared" si="20"/>
        <v>0</v>
      </c>
      <c r="X27" s="13">
        <f t="shared" si="20"/>
        <v>0</v>
      </c>
      <c r="Y27" s="13">
        <f t="shared" si="20"/>
        <v>0</v>
      </c>
      <c r="Z27" s="13">
        <f t="shared" si="20"/>
        <v>0</v>
      </c>
      <c r="AA27" s="13">
        <f t="shared" si="17"/>
        <v>0.27361111111111114</v>
      </c>
    </row>
    <row r="28" spans="1:37" s="5" customFormat="1" x14ac:dyDescent="0.25">
      <c r="A28" s="169"/>
      <c r="B28" s="14" t="s">
        <v>35</v>
      </c>
      <c r="C28" s="15"/>
      <c r="D28" s="15"/>
      <c r="E28" s="16">
        <f t="shared" si="12"/>
        <v>0</v>
      </c>
      <c r="F28" s="16">
        <f t="shared" si="12"/>
        <v>0</v>
      </c>
      <c r="G28" s="15"/>
      <c r="H28" s="15"/>
      <c r="I28" s="15"/>
      <c r="J28" s="17">
        <f t="shared" ref="J28:Z28" si="21">J14+J21</f>
        <v>0</v>
      </c>
      <c r="K28" s="17">
        <f t="shared" si="21"/>
        <v>0</v>
      </c>
      <c r="L28" s="17">
        <f t="shared" si="21"/>
        <v>0</v>
      </c>
      <c r="M28" s="17">
        <f t="shared" si="21"/>
        <v>0</v>
      </c>
      <c r="N28" s="17">
        <f t="shared" si="21"/>
        <v>0</v>
      </c>
      <c r="O28" s="17">
        <f t="shared" si="21"/>
        <v>0</v>
      </c>
      <c r="P28" s="17">
        <f t="shared" si="21"/>
        <v>0</v>
      </c>
      <c r="Q28" s="17">
        <f t="shared" si="21"/>
        <v>0</v>
      </c>
      <c r="R28" s="17">
        <f t="shared" si="21"/>
        <v>0</v>
      </c>
      <c r="S28" s="17">
        <f t="shared" si="21"/>
        <v>0.25</v>
      </c>
      <c r="T28" s="17">
        <f t="shared" si="21"/>
        <v>0</v>
      </c>
      <c r="U28" s="17">
        <f t="shared" si="21"/>
        <v>0</v>
      </c>
      <c r="V28" s="17">
        <f t="shared" si="21"/>
        <v>0</v>
      </c>
      <c r="W28" s="17">
        <f t="shared" si="21"/>
        <v>0.16666666666666666</v>
      </c>
      <c r="X28" s="17">
        <f t="shared" si="21"/>
        <v>0</v>
      </c>
      <c r="Y28" s="17">
        <f t="shared" si="21"/>
        <v>0</v>
      </c>
      <c r="Z28" s="17">
        <f t="shared" si="21"/>
        <v>0</v>
      </c>
      <c r="AA28" s="17">
        <f t="shared" si="17"/>
        <v>0.41666666666666663</v>
      </c>
    </row>
  </sheetData>
  <mergeCells count="21">
    <mergeCell ref="AB22:AE22"/>
    <mergeCell ref="AG22:AJ22"/>
    <mergeCell ref="AB7:AF7"/>
    <mergeCell ref="AG7:AK7"/>
    <mergeCell ref="AF8:AF14"/>
    <mergeCell ref="AK8:AK14"/>
    <mergeCell ref="AF15:AF21"/>
    <mergeCell ref="AK15:AK21"/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00B0F0"/>
  </sheetPr>
  <dimension ref="A3:AA28"/>
  <sheetViews>
    <sheetView topLeftCell="A4" zoomScale="115" zoomScaleNormal="115" workbookViewId="0">
      <pane xSplit="9" ySplit="4" topLeftCell="J11" activePane="bottomRight" state="frozen"/>
      <selection activeCell="A5" sqref="A5:A6"/>
      <selection pane="topRight" activeCell="A5" sqref="A5:A6"/>
      <selection pane="bottomLeft" activeCell="A5" sqref="A5:A6"/>
      <selection pane="bottomRight" activeCell="N20" sqref="N20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45652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>
        <v>4.8611111111111112E-3</v>
      </c>
      <c r="N8" s="20">
        <v>6.9444444444444441E-3</v>
      </c>
      <c r="O8" s="20"/>
      <c r="P8" s="20"/>
      <c r="Q8" s="20"/>
      <c r="R8" s="20"/>
      <c r="S8" s="20">
        <v>2.4305555555555556E-2</v>
      </c>
      <c r="T8" s="20">
        <v>7.6388888888888895E-2</v>
      </c>
      <c r="U8" s="20"/>
      <c r="V8" s="20"/>
      <c r="W8" s="20"/>
      <c r="X8" s="20"/>
      <c r="Y8" s="20"/>
      <c r="Z8" s="20"/>
      <c r="AA8" s="20">
        <f>SUM(J8:Z8)</f>
        <v>0.1125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9.3055555555555558E-2</v>
      </c>
      <c r="K9" s="9">
        <v>4.1666666666666666E-3</v>
      </c>
      <c r="L9" s="9"/>
      <c r="M9" s="9">
        <v>2.7777777777777779E-3</v>
      </c>
      <c r="N9" s="9">
        <v>1.3888888888888889E-3</v>
      </c>
      <c r="O9" s="9"/>
      <c r="P9" s="9"/>
      <c r="Q9" s="9"/>
      <c r="R9" s="9"/>
      <c r="S9" s="20">
        <v>2.4305555555555556E-2</v>
      </c>
      <c r="T9" s="20">
        <v>2.4999999999999998E-2</v>
      </c>
      <c r="U9" s="9"/>
      <c r="V9" s="9"/>
      <c r="W9" s="9"/>
      <c r="X9" s="9"/>
      <c r="Y9" s="9"/>
      <c r="Z9" s="9"/>
      <c r="AA9" s="9">
        <f t="shared" ref="AA9:AA21" si="0">SUM(J9:Z9)</f>
        <v>0.15069444444444444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0.3923611111111111</v>
      </c>
      <c r="K11" s="9"/>
      <c r="L11" s="9"/>
      <c r="M11" s="9"/>
      <c r="N11" s="9"/>
      <c r="O11" s="9"/>
      <c r="P11" s="9"/>
      <c r="Q11" s="9"/>
      <c r="R11" s="9"/>
      <c r="S11" s="9">
        <v>2.4305555555555556E-2</v>
      </c>
      <c r="T11" s="9"/>
      <c r="U11" s="9"/>
      <c r="V11" s="9"/>
      <c r="W11" s="9"/>
      <c r="X11" s="9"/>
      <c r="Y11" s="9"/>
      <c r="Z11" s="9"/>
      <c r="AA11" s="9">
        <f t="shared" si="0"/>
        <v>0.41666666666666669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>
        <v>6.2499999999999995E-3</v>
      </c>
      <c r="O12" s="9"/>
      <c r="P12" s="9"/>
      <c r="Q12" s="9"/>
      <c r="R12" s="9">
        <v>1.8749999999999999E-2</v>
      </c>
      <c r="S12" s="9">
        <v>2.4305555555555556E-2</v>
      </c>
      <c r="T12" s="9">
        <v>5.5555555555555552E-2</v>
      </c>
      <c r="U12" s="9"/>
      <c r="V12" s="9"/>
      <c r="W12" s="9">
        <v>8.6111111111111124E-2</v>
      </c>
      <c r="X12" s="9"/>
      <c r="Y12" s="9"/>
      <c r="Z12" s="9"/>
      <c r="AA12" s="9">
        <f t="shared" si="0"/>
        <v>0.19097222222222221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>
        <v>6.2499999999999995E-3</v>
      </c>
      <c r="O13" s="9"/>
      <c r="P13" s="9"/>
      <c r="Q13" s="9"/>
      <c r="R13" s="9">
        <v>2.9166666666666664E-2</v>
      </c>
      <c r="S13" s="9">
        <v>2.4305555555555556E-2</v>
      </c>
      <c r="T13" s="9">
        <v>5.5555555555555552E-2</v>
      </c>
      <c r="U13" s="9"/>
      <c r="V13" s="9"/>
      <c r="W13" s="9">
        <v>8.6111111111111124E-2</v>
      </c>
      <c r="X13" s="9"/>
      <c r="Y13" s="9"/>
      <c r="Z13" s="9"/>
      <c r="AA13" s="9">
        <f t="shared" si="0"/>
        <v>0.2013888888888889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4.8611111111111112E-3</v>
      </c>
      <c r="N14" s="23">
        <v>6.9444444444444441E-3</v>
      </c>
      <c r="O14" s="23"/>
      <c r="P14" s="23"/>
      <c r="Q14" s="23"/>
      <c r="R14" s="23"/>
      <c r="S14" s="23"/>
      <c r="T14" s="23"/>
      <c r="U14" s="23"/>
      <c r="V14" s="23">
        <v>0.10416666666666667</v>
      </c>
      <c r="W14" s="23"/>
      <c r="X14" s="23"/>
      <c r="Y14" s="23"/>
      <c r="Z14" s="23"/>
      <c r="AA14" s="23">
        <f t="shared" si="0"/>
        <v>0.11597222222222223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>
        <v>4.1666666666666666E-3</v>
      </c>
      <c r="L15" s="30"/>
      <c r="M15" s="30">
        <v>5.5555555555555558E-3</v>
      </c>
      <c r="N15" s="30">
        <v>6.2499999999999995E-3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1.5972222222222221E-2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>
        <v>2.7777777777777779E-3</v>
      </c>
      <c r="L16" s="9"/>
      <c r="M16" s="9">
        <v>6.9444444444444441E-3</v>
      </c>
      <c r="N16" s="9">
        <v>5.5555555555555558E-3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1.5277777777777779E-2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0.41666666666666669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0.41666666666666669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1.0416666666666666E-2</v>
      </c>
      <c r="L19" s="9"/>
      <c r="M19" s="9">
        <v>6.9444444444444441E-3</v>
      </c>
      <c r="N19" s="9">
        <v>3.472222222222222E-3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2.0833333333333336E-2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>
        <v>9.7222222222222224E-3</v>
      </c>
      <c r="L20" s="9"/>
      <c r="M20" s="9">
        <v>2.0833333333333333E-3</v>
      </c>
      <c r="N20" s="9">
        <v>4.8611111111111112E-3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1.6666666666666666E-2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>
        <v>6.2499999999999995E-3</v>
      </c>
      <c r="L21" s="23"/>
      <c r="M21" s="23">
        <v>6.2499999999999995E-3</v>
      </c>
      <c r="N21" s="23">
        <v>6.9444444444444441E-3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1.9444444444444445E-2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4.1666666666666666E-3</v>
      </c>
      <c r="L22" s="27">
        <f t="shared" si="4"/>
        <v>0</v>
      </c>
      <c r="M22" s="27">
        <f t="shared" si="4"/>
        <v>1.0416666666666668E-2</v>
      </c>
      <c r="N22" s="27">
        <f t="shared" si="4"/>
        <v>1.3194444444444443E-2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2.4305555555555556E-2</v>
      </c>
      <c r="T22" s="27">
        <f t="shared" si="4"/>
        <v>7.6388888888888895E-2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0.12847222222222221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9.3055555555555558E-2</v>
      </c>
      <c r="K23" s="13">
        <f t="shared" si="5"/>
        <v>6.9444444444444441E-3</v>
      </c>
      <c r="L23" s="13">
        <f t="shared" si="5"/>
        <v>0</v>
      </c>
      <c r="M23" s="13">
        <f t="shared" si="5"/>
        <v>9.7222222222222224E-3</v>
      </c>
      <c r="N23" s="13">
        <f t="shared" si="5"/>
        <v>6.9444444444444449E-3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2.4305555555555556E-2</v>
      </c>
      <c r="T23" s="13">
        <f t="shared" si="5"/>
        <v>2.4999999999999998E-2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0.16597222222222222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0.80902777777777779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2.4305555555555556E-2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0.83333333333333337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1.0416666666666666E-2</v>
      </c>
      <c r="L26" s="13">
        <f t="shared" si="10"/>
        <v>0</v>
      </c>
      <c r="M26" s="13">
        <f t="shared" si="10"/>
        <v>6.9444444444444441E-3</v>
      </c>
      <c r="N26" s="13">
        <f t="shared" si="10"/>
        <v>9.7222222222222224E-3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1.8749999999999999E-2</v>
      </c>
      <c r="S26" s="13">
        <f t="shared" si="10"/>
        <v>2.4305555555555556E-2</v>
      </c>
      <c r="T26" s="13">
        <f t="shared" si="10"/>
        <v>5.5555555555555552E-2</v>
      </c>
      <c r="U26" s="13">
        <f t="shared" si="10"/>
        <v>0</v>
      </c>
      <c r="V26" s="13">
        <f t="shared" si="10"/>
        <v>0</v>
      </c>
      <c r="W26" s="13">
        <f t="shared" si="10"/>
        <v>8.6111111111111124E-2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0.21180555555555558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9.7222222222222224E-3</v>
      </c>
      <c r="L27" s="13">
        <f t="shared" si="11"/>
        <v>0</v>
      </c>
      <c r="M27" s="13">
        <f t="shared" si="11"/>
        <v>2.0833333333333333E-3</v>
      </c>
      <c r="N27" s="13">
        <f t="shared" si="11"/>
        <v>1.111111111111111E-2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2.9166666666666664E-2</v>
      </c>
      <c r="S27" s="13">
        <f t="shared" si="11"/>
        <v>2.4305555555555556E-2</v>
      </c>
      <c r="T27" s="13">
        <f t="shared" si="11"/>
        <v>5.5555555555555552E-2</v>
      </c>
      <c r="U27" s="13">
        <f t="shared" si="11"/>
        <v>0</v>
      </c>
      <c r="V27" s="13">
        <f t="shared" si="11"/>
        <v>0</v>
      </c>
      <c r="W27" s="13">
        <f t="shared" si="11"/>
        <v>8.6111111111111124E-2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0.21805555555555556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6.2499999999999995E-3</v>
      </c>
      <c r="L28" s="17">
        <f t="shared" si="12"/>
        <v>0</v>
      </c>
      <c r="M28" s="17">
        <f t="shared" si="12"/>
        <v>1.111111111111111E-2</v>
      </c>
      <c r="N28" s="17">
        <f t="shared" si="12"/>
        <v>1.3888888888888888E-2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</v>
      </c>
      <c r="T28" s="17">
        <f t="shared" si="12"/>
        <v>0</v>
      </c>
      <c r="U28" s="17">
        <f t="shared" si="12"/>
        <v>0</v>
      </c>
      <c r="V28" s="17">
        <f t="shared" si="12"/>
        <v>0.10416666666666667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0.13541666666666666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00B0F0"/>
  </sheetPr>
  <dimension ref="A3:AA28"/>
  <sheetViews>
    <sheetView topLeftCell="A4" zoomScaleNormal="100" workbookViewId="0">
      <pane xSplit="2" ySplit="4" topLeftCell="C11" activePane="bottomRight" state="frozen"/>
      <selection activeCell="A5" sqref="A5:A6"/>
      <selection pane="topRight" activeCell="A5" sqref="A5:A6"/>
      <selection pane="bottomLeft" activeCell="A5" sqref="A5:A6"/>
      <selection pane="bottomRight" activeCell="U16" sqref="U1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45653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 t="s">
        <v>66</v>
      </c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>
        <v>3.4722222222222224E-2</v>
      </c>
      <c r="K8" s="20"/>
      <c r="L8" s="20"/>
      <c r="M8" s="20">
        <v>1.8749999999999999E-2</v>
      </c>
      <c r="N8" s="20">
        <v>6.9444444444444441E-3</v>
      </c>
      <c r="O8" s="20">
        <v>1.4583333333333332E-2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>
        <v>9.7222222222222224E-3</v>
      </c>
      <c r="AA8" s="20">
        <f>SUM(J8:Z8)</f>
        <v>8.4722222222222227E-2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>
        <v>2.0833333333333332E-2</v>
      </c>
      <c r="K9" s="9"/>
      <c r="L9" s="9">
        <v>1.2499999999999999E-2</v>
      </c>
      <c r="M9" s="9">
        <v>1.6666666666666666E-2</v>
      </c>
      <c r="N9" s="9">
        <v>5.5555555555555558E-3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>
        <v>9.0277777777777787E-3</v>
      </c>
      <c r="AA9" s="9">
        <f t="shared" ref="AA9:AA21" si="0">SUM(J9:Z9)</f>
        <v>6.458333333333334E-2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>
        <v>0.41666666666666669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0.41666666666666669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>
        <v>2.6388888888888889E-2</v>
      </c>
      <c r="K12" s="9"/>
      <c r="L12" s="9"/>
      <c r="M12" s="9">
        <v>6.2499999999999995E-3</v>
      </c>
      <c r="N12" s="9">
        <v>1.3888888888888889E-3</v>
      </c>
      <c r="O12" s="9"/>
      <c r="P12" s="9"/>
      <c r="Q12" s="9"/>
      <c r="R12" s="9">
        <v>2.7777777777777776E-2</v>
      </c>
      <c r="S12" s="9"/>
      <c r="T12" s="9"/>
      <c r="U12" s="9"/>
      <c r="V12" s="9"/>
      <c r="W12" s="9"/>
      <c r="X12" s="9"/>
      <c r="Y12" s="9"/>
      <c r="Z12" s="9">
        <v>1.7361111111111112E-2</v>
      </c>
      <c r="AA12" s="9">
        <f t="shared" si="0"/>
        <v>7.9166666666666663E-2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>
        <v>1.8749999999999999E-2</v>
      </c>
      <c r="N13" s="9">
        <v>5.5555555555555558E-3</v>
      </c>
      <c r="O13" s="9"/>
      <c r="P13" s="9"/>
      <c r="Q13" s="9"/>
      <c r="R13" s="9">
        <v>2.0833333333333332E-2</v>
      </c>
      <c r="S13" s="9"/>
      <c r="T13" s="9"/>
      <c r="U13" s="9"/>
      <c r="V13" s="9"/>
      <c r="W13" s="9"/>
      <c r="X13" s="9"/>
      <c r="Y13" s="9"/>
      <c r="Z13" s="9">
        <v>2.2222222222222223E-2</v>
      </c>
      <c r="AA13" s="9">
        <f t="shared" si="0"/>
        <v>6.7361111111111108E-2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>
        <v>1.5972222222222224E-2</v>
      </c>
      <c r="N14" s="23">
        <v>6.9444444444444441E-3</v>
      </c>
      <c r="O14" s="23"/>
      <c r="P14" s="23"/>
      <c r="Q14" s="23"/>
      <c r="R14" s="23"/>
      <c r="S14" s="23"/>
      <c r="T14" s="23"/>
      <c r="U14" s="23"/>
      <c r="V14" s="23">
        <v>2.4999999999999998E-2</v>
      </c>
      <c r="W14" s="23"/>
      <c r="X14" s="23"/>
      <c r="Y14" s="23"/>
      <c r="Z14" s="23">
        <v>1.7361111111111112E-2</v>
      </c>
      <c r="AA14" s="23">
        <f t="shared" si="0"/>
        <v>6.5277777777777768E-2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>
        <v>0.3444444444444445</v>
      </c>
      <c r="T15" s="30">
        <v>4.3055555555555562E-2</v>
      </c>
      <c r="U15" s="30"/>
      <c r="V15" s="30"/>
      <c r="W15" s="30"/>
      <c r="X15" s="30"/>
      <c r="Y15" s="30"/>
      <c r="Z15" s="30"/>
      <c r="AA15" s="30">
        <f t="shared" si="0"/>
        <v>0.38750000000000007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>
        <v>0.3444444444444445</v>
      </c>
      <c r="T16" s="9">
        <v>4.3055555555555562E-2</v>
      </c>
      <c r="U16" s="9"/>
      <c r="V16" s="9"/>
      <c r="W16" s="9"/>
      <c r="X16" s="9"/>
      <c r="Y16" s="9"/>
      <c r="Z16" s="9"/>
      <c r="AA16" s="9">
        <f t="shared" si="0"/>
        <v>0.38750000000000007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>
        <v>7.2222222222222229E-2</v>
      </c>
      <c r="K18" s="9"/>
      <c r="L18" s="9"/>
      <c r="M18" s="9"/>
      <c r="N18" s="9"/>
      <c r="O18" s="9"/>
      <c r="P18" s="9"/>
      <c r="Q18" s="9"/>
      <c r="R18" s="9"/>
      <c r="S18" s="9">
        <v>0.3444444444444445</v>
      </c>
      <c r="T18" s="9"/>
      <c r="U18" s="9"/>
      <c r="V18" s="9"/>
      <c r="W18" s="9"/>
      <c r="X18" s="9"/>
      <c r="Y18" s="9"/>
      <c r="Z18" s="9"/>
      <c r="AA18" s="9">
        <f t="shared" si="0"/>
        <v>0.41666666666666674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>
        <v>6.9444444444444441E-3</v>
      </c>
      <c r="L19" s="9"/>
      <c r="M19" s="9"/>
      <c r="N19" s="9"/>
      <c r="O19" s="9"/>
      <c r="P19" s="9"/>
      <c r="Q19" s="9"/>
      <c r="R19" s="9"/>
      <c r="S19" s="9">
        <v>0.3444444444444445</v>
      </c>
      <c r="T19" s="9">
        <v>4.3055555555555562E-2</v>
      </c>
      <c r="U19" s="9"/>
      <c r="V19" s="9"/>
      <c r="W19" s="9"/>
      <c r="X19" s="9"/>
      <c r="Y19" s="9"/>
      <c r="Z19" s="9"/>
      <c r="AA19" s="9">
        <f t="shared" si="0"/>
        <v>0.39444444444444449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>
        <v>0.3444444444444445</v>
      </c>
      <c r="T20" s="9">
        <v>4.3055555555555562E-2</v>
      </c>
      <c r="U20" s="9">
        <v>1.2499999999999999E-2</v>
      </c>
      <c r="V20" s="9"/>
      <c r="W20" s="9"/>
      <c r="X20" s="9"/>
      <c r="Y20" s="9"/>
      <c r="Z20" s="9"/>
      <c r="AA20" s="9">
        <f t="shared" si="0"/>
        <v>0.40000000000000008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>
        <v>0.3444444444444445</v>
      </c>
      <c r="T21" s="23">
        <v>4.3055555555555562E-2</v>
      </c>
      <c r="U21" s="23"/>
      <c r="V21" s="23"/>
      <c r="W21" s="23"/>
      <c r="X21" s="23"/>
      <c r="Y21" s="23"/>
      <c r="Z21" s="23"/>
      <c r="AA21" s="23">
        <f t="shared" si="0"/>
        <v>0.38750000000000007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3.4722222222222224E-2</v>
      </c>
      <c r="K22" s="27">
        <f t="shared" si="4"/>
        <v>0</v>
      </c>
      <c r="L22" s="27">
        <f t="shared" si="4"/>
        <v>0</v>
      </c>
      <c r="M22" s="27">
        <f t="shared" si="4"/>
        <v>1.8749999999999999E-2</v>
      </c>
      <c r="N22" s="27">
        <f t="shared" si="4"/>
        <v>6.9444444444444441E-3</v>
      </c>
      <c r="O22" s="27">
        <f t="shared" si="4"/>
        <v>1.4583333333333332E-2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0.3444444444444445</v>
      </c>
      <c r="T22" s="27">
        <f t="shared" si="4"/>
        <v>4.3055555555555562E-2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9.7222222222222224E-3</v>
      </c>
      <c r="AA22" s="27">
        <f>SUM(J22:Z22)</f>
        <v>0.47222222222222232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2.0833333333333332E-2</v>
      </c>
      <c r="K23" s="13">
        <f t="shared" si="5"/>
        <v>0</v>
      </c>
      <c r="L23" s="13">
        <f t="shared" si="5"/>
        <v>1.2499999999999999E-2</v>
      </c>
      <c r="M23" s="13">
        <f t="shared" si="5"/>
        <v>1.6666666666666666E-2</v>
      </c>
      <c r="N23" s="13">
        <f t="shared" si="5"/>
        <v>5.5555555555555558E-3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0.3444444444444445</v>
      </c>
      <c r="T23" s="13">
        <f t="shared" si="5"/>
        <v>4.3055555555555562E-2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9.0277777777777787E-3</v>
      </c>
      <c r="AA23" s="13">
        <f t="shared" ref="AA23" si="6">SUM(J23:Z23)</f>
        <v>0.45208333333333345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0.48888888888888893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0.3444444444444445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0.83333333333333348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2.6388888888888889E-2</v>
      </c>
      <c r="K26" s="13">
        <f t="shared" si="10"/>
        <v>6.9444444444444441E-3</v>
      </c>
      <c r="L26" s="13">
        <f t="shared" si="10"/>
        <v>0</v>
      </c>
      <c r="M26" s="13">
        <f t="shared" si="10"/>
        <v>6.2499999999999995E-3</v>
      </c>
      <c r="N26" s="13">
        <f t="shared" si="10"/>
        <v>1.3888888888888889E-3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2.7777777777777776E-2</v>
      </c>
      <c r="S26" s="13">
        <f t="shared" si="10"/>
        <v>0.3444444444444445</v>
      </c>
      <c r="T26" s="13">
        <f t="shared" si="10"/>
        <v>4.3055555555555562E-2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1.7361111111111112E-2</v>
      </c>
      <c r="AA26" s="13">
        <f t="shared" si="8"/>
        <v>0.4736111111111112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1.8749999999999999E-2</v>
      </c>
      <c r="N27" s="13">
        <f t="shared" si="11"/>
        <v>5.5555555555555558E-3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2.0833333333333332E-2</v>
      </c>
      <c r="S27" s="13">
        <f t="shared" si="11"/>
        <v>0.3444444444444445</v>
      </c>
      <c r="T27" s="13">
        <f t="shared" si="11"/>
        <v>4.3055555555555562E-2</v>
      </c>
      <c r="U27" s="13">
        <f t="shared" si="11"/>
        <v>1.2499999999999999E-2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2.2222222222222223E-2</v>
      </c>
      <c r="AA27" s="13">
        <f t="shared" si="8"/>
        <v>0.46736111111111117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0</v>
      </c>
      <c r="L28" s="17">
        <f t="shared" si="12"/>
        <v>0</v>
      </c>
      <c r="M28" s="17">
        <f t="shared" si="12"/>
        <v>1.5972222222222224E-2</v>
      </c>
      <c r="N28" s="17">
        <f t="shared" si="12"/>
        <v>6.9444444444444441E-3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0.3444444444444445</v>
      </c>
      <c r="T28" s="17">
        <f t="shared" si="12"/>
        <v>4.3055555555555562E-2</v>
      </c>
      <c r="U28" s="17">
        <f t="shared" si="12"/>
        <v>0</v>
      </c>
      <c r="V28" s="17">
        <f t="shared" si="12"/>
        <v>2.4999999999999998E-2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1.7361111111111112E-2</v>
      </c>
      <c r="AA28" s="17">
        <f t="shared" si="8"/>
        <v>0.45277777777777783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00B0F0"/>
  </sheetPr>
  <dimension ref="A3:AA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A5" sqref="A5:A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45624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0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0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0</v>
      </c>
      <c r="L22" s="27">
        <f t="shared" si="4"/>
        <v>0</v>
      </c>
      <c r="M22" s="27">
        <f t="shared" si="4"/>
        <v>0</v>
      </c>
      <c r="N22" s="27">
        <f t="shared" si="4"/>
        <v>0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</v>
      </c>
      <c r="T22" s="27">
        <f t="shared" si="4"/>
        <v>0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0</v>
      </c>
      <c r="L26" s="13">
        <f t="shared" si="10"/>
        <v>0</v>
      </c>
      <c r="M26" s="13">
        <f t="shared" si="10"/>
        <v>0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0</v>
      </c>
      <c r="N27" s="13">
        <f t="shared" si="11"/>
        <v>0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</v>
      </c>
      <c r="T27" s="13">
        <f t="shared" si="11"/>
        <v>0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0</v>
      </c>
      <c r="L28" s="17">
        <f t="shared" si="12"/>
        <v>0</v>
      </c>
      <c r="M28" s="17">
        <f t="shared" si="12"/>
        <v>0</v>
      </c>
      <c r="N28" s="17">
        <f t="shared" si="12"/>
        <v>0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</v>
      </c>
      <c r="T28" s="17">
        <f t="shared" si="12"/>
        <v>0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00B0F0"/>
  </sheetPr>
  <dimension ref="A3:AA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A5" sqref="A5:A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>
        <v>45625</v>
      </c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9"/>
      <c r="K8" s="9"/>
      <c r="L8" s="9"/>
      <c r="M8" s="9"/>
      <c r="N8" s="9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0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0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>J8+J15</f>
        <v>0</v>
      </c>
      <c r="K22" s="27">
        <f>K8+K15</f>
        <v>0</v>
      </c>
      <c r="L22" s="27">
        <f>L8+L15</f>
        <v>0</v>
      </c>
      <c r="M22" s="27">
        <f>M8+M15</f>
        <v>0</v>
      </c>
      <c r="N22" s="27">
        <f>N8+N15</f>
        <v>0</v>
      </c>
      <c r="O22" s="27">
        <f t="shared" ref="O22:Z22" si="4">O8+O15</f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</v>
      </c>
      <c r="T22" s="27">
        <f t="shared" si="4"/>
        <v>0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>J11+J18</f>
        <v>0</v>
      </c>
      <c r="K25" s="13">
        <f>K11+K18</f>
        <v>0</v>
      </c>
      <c r="L25" s="13">
        <f>L11+L18</f>
        <v>0</v>
      </c>
      <c r="M25" s="13">
        <f>M11+M18</f>
        <v>0</v>
      </c>
      <c r="N25" s="13">
        <f>N11+N18</f>
        <v>0</v>
      </c>
      <c r="O25" s="13">
        <f t="shared" ref="O25:Z25" si="9">O11+O18</f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0</v>
      </c>
      <c r="L26" s="13">
        <f t="shared" si="10"/>
        <v>0</v>
      </c>
      <c r="M26" s="13">
        <f t="shared" si="10"/>
        <v>0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0</v>
      </c>
      <c r="N27" s="13">
        <f t="shared" si="11"/>
        <v>0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</v>
      </c>
      <c r="T27" s="13">
        <f t="shared" si="11"/>
        <v>0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0</v>
      </c>
      <c r="L28" s="17">
        <f t="shared" si="12"/>
        <v>0</v>
      </c>
      <c r="M28" s="17">
        <f t="shared" si="12"/>
        <v>0</v>
      </c>
      <c r="N28" s="17">
        <f t="shared" si="12"/>
        <v>0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</v>
      </c>
      <c r="T28" s="17">
        <f t="shared" si="12"/>
        <v>0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00B0F0"/>
  </sheetPr>
  <dimension ref="A3:AA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A5" sqref="A5:A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/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0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0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0</v>
      </c>
      <c r="L22" s="27">
        <f t="shared" si="4"/>
        <v>0</v>
      </c>
      <c r="M22" s="27">
        <f t="shared" si="4"/>
        <v>0</v>
      </c>
      <c r="N22" s="27">
        <f t="shared" si="4"/>
        <v>0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</v>
      </c>
      <c r="T22" s="27">
        <f t="shared" si="4"/>
        <v>0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0</v>
      </c>
      <c r="L26" s="13">
        <f t="shared" si="10"/>
        <v>0</v>
      </c>
      <c r="M26" s="13">
        <f t="shared" si="10"/>
        <v>0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0</v>
      </c>
      <c r="N27" s="13">
        <f t="shared" si="11"/>
        <v>0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</v>
      </c>
      <c r="T27" s="13">
        <f t="shared" si="11"/>
        <v>0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0</v>
      </c>
      <c r="L28" s="17">
        <f t="shared" si="12"/>
        <v>0</v>
      </c>
      <c r="M28" s="17">
        <f t="shared" si="12"/>
        <v>0</v>
      </c>
      <c r="N28" s="17">
        <f t="shared" si="12"/>
        <v>0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</v>
      </c>
      <c r="T28" s="17">
        <f t="shared" si="12"/>
        <v>0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00B0F0"/>
  </sheetPr>
  <dimension ref="A3:AA28"/>
  <sheetViews>
    <sheetView topLeftCell="A4" zoomScale="115" zoomScaleNormal="115" workbookViewId="0">
      <pane xSplit="2" ySplit="4" topLeftCell="J8" activePane="bottomRight" state="frozen"/>
      <selection activeCell="A5" sqref="A5:A6"/>
      <selection pane="topRight" activeCell="A5" sqref="A5:A6"/>
      <selection pane="bottomLeft" activeCell="A5" sqref="A5:A6"/>
      <selection pane="bottomRight" activeCell="A5" sqref="A5:A6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60</v>
      </c>
    </row>
    <row r="5" spans="1:27" x14ac:dyDescent="0.25">
      <c r="A5" s="1" t="s">
        <v>1</v>
      </c>
      <c r="B5" s="6"/>
    </row>
    <row r="6" spans="1:27" s="3" customFormat="1" ht="15" customHeight="1" x14ac:dyDescent="0.25">
      <c r="A6" s="170" t="s">
        <v>3</v>
      </c>
      <c r="B6" s="170" t="s">
        <v>4</v>
      </c>
      <c r="C6" s="170" t="s">
        <v>5</v>
      </c>
      <c r="D6" s="170" t="s">
        <v>6</v>
      </c>
      <c r="E6" s="170" t="s">
        <v>7</v>
      </c>
      <c r="F6" s="170" t="s">
        <v>8</v>
      </c>
      <c r="G6" s="170" t="s">
        <v>9</v>
      </c>
      <c r="H6" s="170" t="s">
        <v>10</v>
      </c>
      <c r="I6" s="170" t="s">
        <v>11</v>
      </c>
      <c r="J6" s="162" t="s">
        <v>2</v>
      </c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31"/>
    </row>
    <row r="7" spans="1:27" s="3" customFormat="1" ht="5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2" t="s">
        <v>20</v>
      </c>
      <c r="S7" s="32" t="s">
        <v>21</v>
      </c>
      <c r="T7" s="32" t="s">
        <v>22</v>
      </c>
      <c r="U7" s="32" t="s">
        <v>23</v>
      </c>
      <c r="V7" s="32" t="s">
        <v>24</v>
      </c>
      <c r="W7" s="32" t="s">
        <v>25</v>
      </c>
      <c r="X7" s="32" t="s">
        <v>26</v>
      </c>
      <c r="Y7" s="32" t="s">
        <v>27</v>
      </c>
      <c r="Z7" s="32"/>
      <c r="AA7" s="32" t="s">
        <v>28</v>
      </c>
    </row>
    <row r="8" spans="1:27" x14ac:dyDescent="0.25">
      <c r="A8" s="166" t="s">
        <v>29</v>
      </c>
      <c r="B8" s="18" t="s">
        <v>30</v>
      </c>
      <c r="C8" s="19"/>
      <c r="D8" s="19"/>
      <c r="E8" s="19"/>
      <c r="F8" s="19"/>
      <c r="G8" s="19"/>
      <c r="H8" s="19"/>
      <c r="I8" s="1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>
        <f>SUM(J8:Z8)</f>
        <v>0</v>
      </c>
    </row>
    <row r="9" spans="1:27" x14ac:dyDescent="0.25">
      <c r="A9" s="164"/>
      <c r="B9" s="7" t="s">
        <v>31</v>
      </c>
      <c r="C9" s="8"/>
      <c r="D9" s="8"/>
      <c r="E9" s="8"/>
      <c r="F9" s="8"/>
      <c r="G9" s="8"/>
      <c r="H9" s="8"/>
      <c r="I9" s="8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f t="shared" ref="AA9:AA21" si="0">SUM(J9:Z9)</f>
        <v>0</v>
      </c>
    </row>
    <row r="10" spans="1:27" x14ac:dyDescent="0.25">
      <c r="A10" s="164"/>
      <c r="B10" s="149" t="s">
        <v>59</v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f t="shared" ref="AA10" si="1">SUM(J10:Z10)</f>
        <v>0</v>
      </c>
    </row>
    <row r="11" spans="1:27" x14ac:dyDescent="0.25">
      <c r="A11" s="164"/>
      <c r="B11" s="7" t="s">
        <v>32</v>
      </c>
      <c r="C11" s="8"/>
      <c r="D11" s="8"/>
      <c r="E11" s="8"/>
      <c r="F11" s="8"/>
      <c r="G11" s="8"/>
      <c r="H11" s="8"/>
      <c r="I11" s="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>
        <f t="shared" si="0"/>
        <v>0</v>
      </c>
    </row>
    <row r="12" spans="1:27" x14ac:dyDescent="0.25">
      <c r="A12" s="164"/>
      <c r="B12" s="7" t="s">
        <v>33</v>
      </c>
      <c r="C12" s="8"/>
      <c r="D12" s="8"/>
      <c r="E12" s="8"/>
      <c r="F12" s="8"/>
      <c r="G12" s="8"/>
      <c r="H12" s="8"/>
      <c r="I12" s="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>
        <f t="shared" si="0"/>
        <v>0</v>
      </c>
    </row>
    <row r="13" spans="1:27" x14ac:dyDescent="0.25">
      <c r="A13" s="164"/>
      <c r="B13" s="7" t="s">
        <v>34</v>
      </c>
      <c r="C13" s="8"/>
      <c r="D13" s="8"/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>
        <f t="shared" si="0"/>
        <v>0</v>
      </c>
    </row>
    <row r="14" spans="1:27" x14ac:dyDescent="0.25">
      <c r="A14" s="165"/>
      <c r="B14" s="21" t="s">
        <v>35</v>
      </c>
      <c r="C14" s="22"/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>
        <f t="shared" si="0"/>
        <v>0</v>
      </c>
    </row>
    <row r="15" spans="1:27" x14ac:dyDescent="0.25">
      <c r="A15" s="163" t="s">
        <v>36</v>
      </c>
      <c r="B15" s="28" t="s">
        <v>30</v>
      </c>
      <c r="C15" s="29"/>
      <c r="D15" s="29"/>
      <c r="E15" s="29"/>
      <c r="F15" s="29"/>
      <c r="G15" s="29"/>
      <c r="H15" s="29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>
        <f t="shared" si="0"/>
        <v>0</v>
      </c>
    </row>
    <row r="16" spans="1:27" x14ac:dyDescent="0.25">
      <c r="A16" s="164"/>
      <c r="B16" s="7" t="s">
        <v>31</v>
      </c>
      <c r="C16" s="8"/>
      <c r="D16" s="8"/>
      <c r="E16" s="8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f t="shared" si="0"/>
        <v>0</v>
      </c>
    </row>
    <row r="17" spans="1:27" x14ac:dyDescent="0.25">
      <c r="A17" s="164"/>
      <c r="B17" s="149" t="s">
        <v>59</v>
      </c>
      <c r="C17" s="8"/>
      <c r="D17" s="8"/>
      <c r="E17" s="8"/>
      <c r="F17" s="8"/>
      <c r="G17" s="8"/>
      <c r="H17" s="8"/>
      <c r="I17" s="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>
        <f t="shared" ref="AA17" si="2">SUM(J17:Z17)</f>
        <v>0</v>
      </c>
    </row>
    <row r="18" spans="1:27" x14ac:dyDescent="0.25">
      <c r="A18" s="164"/>
      <c r="B18" s="7" t="s">
        <v>32</v>
      </c>
      <c r="C18" s="8"/>
      <c r="D18" s="8"/>
      <c r="E18" s="8"/>
      <c r="F18" s="8"/>
      <c r="G18" s="8"/>
      <c r="H18" s="8"/>
      <c r="I18" s="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f t="shared" si="0"/>
        <v>0</v>
      </c>
    </row>
    <row r="19" spans="1:27" x14ac:dyDescent="0.25">
      <c r="A19" s="164"/>
      <c r="B19" s="7" t="s">
        <v>33</v>
      </c>
      <c r="C19" s="8"/>
      <c r="D19" s="8"/>
      <c r="E19" s="8"/>
      <c r="F19" s="8"/>
      <c r="G19" s="8"/>
      <c r="H19" s="8"/>
      <c r="I19" s="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>
        <f t="shared" si="0"/>
        <v>0</v>
      </c>
    </row>
    <row r="20" spans="1:27" x14ac:dyDescent="0.25">
      <c r="A20" s="164"/>
      <c r="B20" s="7" t="s">
        <v>34</v>
      </c>
      <c r="C20" s="8"/>
      <c r="D20" s="8"/>
      <c r="E20" s="8"/>
      <c r="F20" s="8"/>
      <c r="G20" s="8"/>
      <c r="H20" s="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f t="shared" si="0"/>
        <v>0</v>
      </c>
    </row>
    <row r="21" spans="1:27" x14ac:dyDescent="0.25">
      <c r="A21" s="165"/>
      <c r="B21" s="21" t="s">
        <v>35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>
        <f t="shared" si="0"/>
        <v>0</v>
      </c>
    </row>
    <row r="22" spans="1:27" s="5" customFormat="1" x14ac:dyDescent="0.25">
      <c r="A22" s="167" t="s">
        <v>37</v>
      </c>
      <c r="B22" s="24" t="s">
        <v>30</v>
      </c>
      <c r="C22" s="25"/>
      <c r="D22" s="25"/>
      <c r="E22" s="26">
        <f t="shared" ref="E22:F28" si="3">E8+E15</f>
        <v>0</v>
      </c>
      <c r="F22" s="26">
        <f t="shared" si="3"/>
        <v>0</v>
      </c>
      <c r="G22" s="25"/>
      <c r="H22" s="25"/>
      <c r="I22" s="25"/>
      <c r="J22" s="27">
        <f t="shared" ref="J22:Z22" si="4">J8+J15</f>
        <v>0</v>
      </c>
      <c r="K22" s="27">
        <f t="shared" si="4"/>
        <v>0</v>
      </c>
      <c r="L22" s="27">
        <f t="shared" si="4"/>
        <v>0</v>
      </c>
      <c r="M22" s="27">
        <f t="shared" si="4"/>
        <v>0</v>
      </c>
      <c r="N22" s="27">
        <f t="shared" si="4"/>
        <v>0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0</v>
      </c>
      <c r="S22" s="27">
        <f t="shared" si="4"/>
        <v>0</v>
      </c>
      <c r="T22" s="27">
        <f t="shared" si="4"/>
        <v>0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>SUM(J22:Z22)</f>
        <v>0</v>
      </c>
    </row>
    <row r="23" spans="1:27" s="5" customFormat="1" x14ac:dyDescent="0.25">
      <c r="A23" s="168"/>
      <c r="B23" s="10" t="s">
        <v>31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13">
        <f t="shared" ref="J23:Z23" si="5">J9+J16</f>
        <v>0</v>
      </c>
      <c r="K23" s="13">
        <f t="shared" si="5"/>
        <v>0</v>
      </c>
      <c r="L23" s="13">
        <f t="shared" si="5"/>
        <v>0</v>
      </c>
      <c r="M23" s="13">
        <f t="shared" si="5"/>
        <v>0</v>
      </c>
      <c r="N23" s="13">
        <f t="shared" si="5"/>
        <v>0</v>
      </c>
      <c r="O23" s="13">
        <f t="shared" si="5"/>
        <v>0</v>
      </c>
      <c r="P23" s="13">
        <f t="shared" si="5"/>
        <v>0</v>
      </c>
      <c r="Q23" s="13">
        <f t="shared" si="5"/>
        <v>0</v>
      </c>
      <c r="R23" s="13">
        <f t="shared" si="5"/>
        <v>0</v>
      </c>
      <c r="S23" s="13">
        <f t="shared" si="5"/>
        <v>0</v>
      </c>
      <c r="T23" s="13">
        <f t="shared" si="5"/>
        <v>0</v>
      </c>
      <c r="U23" s="13">
        <f t="shared" si="5"/>
        <v>0</v>
      </c>
      <c r="V23" s="13">
        <f t="shared" si="5"/>
        <v>0</v>
      </c>
      <c r="W23" s="13">
        <f t="shared" si="5"/>
        <v>0</v>
      </c>
      <c r="X23" s="13">
        <f t="shared" si="5"/>
        <v>0</v>
      </c>
      <c r="Y23" s="13">
        <f t="shared" si="5"/>
        <v>0</v>
      </c>
      <c r="Z23" s="13">
        <f t="shared" si="5"/>
        <v>0</v>
      </c>
      <c r="AA23" s="13">
        <f t="shared" ref="AA23" si="6">SUM(J23:Z23)</f>
        <v>0</v>
      </c>
    </row>
    <row r="24" spans="1:27" s="5" customFormat="1" x14ac:dyDescent="0.25">
      <c r="A24" s="168"/>
      <c r="B24" s="150" t="s">
        <v>59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13">
        <f t="shared" ref="J24:Z24" si="7">J10+J17</f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0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ref="AA24:AA28" si="8">SUM(J24:Z24)</f>
        <v>0</v>
      </c>
    </row>
    <row r="25" spans="1:27" s="5" customFormat="1" x14ac:dyDescent="0.25">
      <c r="A25" s="168"/>
      <c r="B25" s="10" t="s">
        <v>32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13">
        <f t="shared" ref="J25:Z25" si="9">J11+J18</f>
        <v>0</v>
      </c>
      <c r="K25" s="13">
        <f t="shared" si="9"/>
        <v>0</v>
      </c>
      <c r="L25" s="13">
        <f t="shared" si="9"/>
        <v>0</v>
      </c>
      <c r="M25" s="13">
        <f t="shared" si="9"/>
        <v>0</v>
      </c>
      <c r="N25" s="13">
        <f t="shared" si="9"/>
        <v>0</v>
      </c>
      <c r="O25" s="13">
        <f t="shared" si="9"/>
        <v>0</v>
      </c>
      <c r="P25" s="13">
        <f t="shared" si="9"/>
        <v>0</v>
      </c>
      <c r="Q25" s="13">
        <f t="shared" si="9"/>
        <v>0</v>
      </c>
      <c r="R25" s="13">
        <f t="shared" si="9"/>
        <v>0</v>
      </c>
      <c r="S25" s="13">
        <f t="shared" si="9"/>
        <v>0</v>
      </c>
      <c r="T25" s="13">
        <f t="shared" si="9"/>
        <v>0</v>
      </c>
      <c r="U25" s="13">
        <f t="shared" si="9"/>
        <v>0</v>
      </c>
      <c r="V25" s="13">
        <f t="shared" si="9"/>
        <v>0</v>
      </c>
      <c r="W25" s="13">
        <f t="shared" si="9"/>
        <v>0</v>
      </c>
      <c r="X25" s="13">
        <f t="shared" si="9"/>
        <v>0</v>
      </c>
      <c r="Y25" s="13">
        <f t="shared" si="9"/>
        <v>0</v>
      </c>
      <c r="Z25" s="13">
        <f t="shared" si="9"/>
        <v>0</v>
      </c>
      <c r="AA25" s="13">
        <f t="shared" si="8"/>
        <v>0</v>
      </c>
    </row>
    <row r="26" spans="1:27" s="5" customFormat="1" x14ac:dyDescent="0.25">
      <c r="A26" s="168"/>
      <c r="B26" s="10" t="s">
        <v>33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13">
        <f t="shared" ref="J26:Z26" si="10">J12+J19</f>
        <v>0</v>
      </c>
      <c r="K26" s="13">
        <f t="shared" si="10"/>
        <v>0</v>
      </c>
      <c r="L26" s="13">
        <f t="shared" si="10"/>
        <v>0</v>
      </c>
      <c r="M26" s="13">
        <f t="shared" si="10"/>
        <v>0</v>
      </c>
      <c r="N26" s="13">
        <f t="shared" si="10"/>
        <v>0</v>
      </c>
      <c r="O26" s="13">
        <f t="shared" si="10"/>
        <v>0</v>
      </c>
      <c r="P26" s="13">
        <f t="shared" si="10"/>
        <v>0</v>
      </c>
      <c r="Q26" s="13">
        <f t="shared" si="10"/>
        <v>0</v>
      </c>
      <c r="R26" s="13">
        <f t="shared" si="10"/>
        <v>0</v>
      </c>
      <c r="S26" s="13">
        <f t="shared" si="10"/>
        <v>0</v>
      </c>
      <c r="T26" s="13">
        <f t="shared" si="10"/>
        <v>0</v>
      </c>
      <c r="U26" s="13">
        <f t="shared" si="10"/>
        <v>0</v>
      </c>
      <c r="V26" s="13">
        <f t="shared" si="10"/>
        <v>0</v>
      </c>
      <c r="W26" s="13">
        <f t="shared" si="10"/>
        <v>0</v>
      </c>
      <c r="X26" s="13">
        <f t="shared" si="10"/>
        <v>0</v>
      </c>
      <c r="Y26" s="13">
        <f t="shared" si="10"/>
        <v>0</v>
      </c>
      <c r="Z26" s="13">
        <f t="shared" si="10"/>
        <v>0</v>
      </c>
      <c r="AA26" s="13">
        <f t="shared" si="8"/>
        <v>0</v>
      </c>
    </row>
    <row r="27" spans="1:27" s="5" customFormat="1" x14ac:dyDescent="0.25">
      <c r="A27" s="168"/>
      <c r="B27" s="10" t="s">
        <v>34</v>
      </c>
      <c r="C27" s="11"/>
      <c r="D27" s="11"/>
      <c r="E27" s="12">
        <f t="shared" si="3"/>
        <v>0</v>
      </c>
      <c r="F27" s="12">
        <f t="shared" si="3"/>
        <v>0</v>
      </c>
      <c r="G27" s="11"/>
      <c r="H27" s="11"/>
      <c r="I27" s="11"/>
      <c r="J27" s="13">
        <f t="shared" ref="J27:Z27" si="11">J13+J20</f>
        <v>0</v>
      </c>
      <c r="K27" s="13">
        <f t="shared" si="11"/>
        <v>0</v>
      </c>
      <c r="L27" s="13">
        <f t="shared" si="11"/>
        <v>0</v>
      </c>
      <c r="M27" s="13">
        <f t="shared" si="11"/>
        <v>0</v>
      </c>
      <c r="N27" s="13">
        <f t="shared" si="11"/>
        <v>0</v>
      </c>
      <c r="O27" s="13">
        <f t="shared" si="11"/>
        <v>0</v>
      </c>
      <c r="P27" s="13">
        <f t="shared" si="11"/>
        <v>0</v>
      </c>
      <c r="Q27" s="13">
        <f t="shared" si="11"/>
        <v>0</v>
      </c>
      <c r="R27" s="13">
        <f t="shared" si="11"/>
        <v>0</v>
      </c>
      <c r="S27" s="13">
        <f t="shared" si="11"/>
        <v>0</v>
      </c>
      <c r="T27" s="13">
        <f t="shared" si="11"/>
        <v>0</v>
      </c>
      <c r="U27" s="13">
        <f t="shared" si="11"/>
        <v>0</v>
      </c>
      <c r="V27" s="13">
        <f t="shared" si="11"/>
        <v>0</v>
      </c>
      <c r="W27" s="13">
        <f t="shared" si="11"/>
        <v>0</v>
      </c>
      <c r="X27" s="13">
        <f t="shared" si="11"/>
        <v>0</v>
      </c>
      <c r="Y27" s="13">
        <f t="shared" si="11"/>
        <v>0</v>
      </c>
      <c r="Z27" s="13">
        <f t="shared" si="11"/>
        <v>0</v>
      </c>
      <c r="AA27" s="13">
        <f t="shared" si="8"/>
        <v>0</v>
      </c>
    </row>
    <row r="28" spans="1:27" s="5" customFormat="1" x14ac:dyDescent="0.25">
      <c r="A28" s="169"/>
      <c r="B28" s="14" t="s">
        <v>35</v>
      </c>
      <c r="C28" s="15"/>
      <c r="D28" s="15"/>
      <c r="E28" s="16">
        <f t="shared" si="3"/>
        <v>0</v>
      </c>
      <c r="F28" s="16">
        <f t="shared" si="3"/>
        <v>0</v>
      </c>
      <c r="G28" s="15"/>
      <c r="H28" s="15"/>
      <c r="I28" s="15"/>
      <c r="J28" s="17">
        <f t="shared" ref="J28:Z28" si="12">J14+J21</f>
        <v>0</v>
      </c>
      <c r="K28" s="17">
        <f t="shared" si="12"/>
        <v>0</v>
      </c>
      <c r="L28" s="17">
        <f t="shared" si="12"/>
        <v>0</v>
      </c>
      <c r="M28" s="17">
        <f t="shared" si="12"/>
        <v>0</v>
      </c>
      <c r="N28" s="17">
        <f t="shared" si="12"/>
        <v>0</v>
      </c>
      <c r="O28" s="17">
        <f t="shared" si="12"/>
        <v>0</v>
      </c>
      <c r="P28" s="17">
        <f t="shared" si="12"/>
        <v>0</v>
      </c>
      <c r="Q28" s="17">
        <f t="shared" si="12"/>
        <v>0</v>
      </c>
      <c r="R28" s="17">
        <f t="shared" si="12"/>
        <v>0</v>
      </c>
      <c r="S28" s="17">
        <f t="shared" si="12"/>
        <v>0</v>
      </c>
      <c r="T28" s="17">
        <f t="shared" si="12"/>
        <v>0</v>
      </c>
      <c r="U28" s="17">
        <f t="shared" si="12"/>
        <v>0</v>
      </c>
      <c r="V28" s="17">
        <f t="shared" si="12"/>
        <v>0</v>
      </c>
      <c r="W28" s="17">
        <f t="shared" si="12"/>
        <v>0</v>
      </c>
      <c r="X28" s="17">
        <f t="shared" si="12"/>
        <v>0</v>
      </c>
      <c r="Y28" s="17">
        <f t="shared" si="12"/>
        <v>0</v>
      </c>
      <c r="Z28" s="17">
        <f t="shared" si="12"/>
        <v>0</v>
      </c>
      <c r="AA28" s="17">
        <f t="shared" si="8"/>
        <v>0</v>
      </c>
    </row>
  </sheetData>
  <mergeCells count="13">
    <mergeCell ref="A22:A28"/>
    <mergeCell ref="G6:G7"/>
    <mergeCell ref="H6:H7"/>
    <mergeCell ref="I6:I7"/>
    <mergeCell ref="J6:Z6"/>
    <mergeCell ref="A8:A14"/>
    <mergeCell ref="A15:A21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92D050"/>
  </sheetPr>
  <dimension ref="A3:AA27"/>
  <sheetViews>
    <sheetView topLeftCell="A4" zoomScale="110" zoomScaleNormal="110" workbookViewId="0">
      <pane xSplit="9" ySplit="3" topLeftCell="J7" activePane="bottomRight" state="frozen"/>
      <selection activeCell="A4" sqref="A4"/>
      <selection pane="topRight" activeCell="J4" sqref="J4"/>
      <selection pane="bottomLeft" activeCell="A7" sqref="A7"/>
      <selection pane="bottomRight" activeCell="M14" sqref="M14"/>
    </sheetView>
  </sheetViews>
  <sheetFormatPr defaultColWidth="9.140625" defaultRowHeight="12.75" x14ac:dyDescent="0.25"/>
  <cols>
    <col min="1" max="1" width="9.140625" style="1"/>
    <col min="2" max="2" width="10.140625" style="4" bestFit="1" customWidth="1"/>
    <col min="3" max="9" width="0" style="1" hidden="1" customWidth="1"/>
    <col min="10" max="10" width="9.140625" style="1"/>
    <col min="11" max="11" width="9.5703125" style="1" customWidth="1"/>
    <col min="12" max="12" width="9.140625" style="1"/>
    <col min="13" max="13" width="10.5703125" style="1" customWidth="1"/>
    <col min="14" max="20" width="9.140625" style="1"/>
    <col min="21" max="21" width="10" style="1" customWidth="1"/>
    <col min="22" max="23" width="9.140625" style="1"/>
    <col min="24" max="24" width="10" style="1" customWidth="1"/>
    <col min="25" max="16384" width="9.140625" style="1"/>
  </cols>
  <sheetData>
    <row r="3" spans="1:27" ht="15.75" x14ac:dyDescent="0.25">
      <c r="A3" s="2" t="s">
        <v>0</v>
      </c>
    </row>
    <row r="4" spans="1:27" ht="15.75" x14ac:dyDescent="0.25">
      <c r="A4" s="2" t="s">
        <v>61</v>
      </c>
    </row>
    <row r="5" spans="1:27" s="3" customFormat="1" ht="15" customHeight="1" x14ac:dyDescent="0.25">
      <c r="A5" s="170" t="s">
        <v>3</v>
      </c>
      <c r="B5" s="170" t="s">
        <v>4</v>
      </c>
      <c r="C5" s="170" t="s">
        <v>5</v>
      </c>
      <c r="D5" s="170" t="s">
        <v>6</v>
      </c>
      <c r="E5" s="170" t="s">
        <v>7</v>
      </c>
      <c r="F5" s="170" t="s">
        <v>8</v>
      </c>
      <c r="G5" s="170" t="s">
        <v>9</v>
      </c>
      <c r="H5" s="170" t="s">
        <v>10</v>
      </c>
      <c r="I5" s="170" t="s">
        <v>11</v>
      </c>
      <c r="J5" s="162" t="s">
        <v>2</v>
      </c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31"/>
    </row>
    <row r="6" spans="1:27" s="3" customFormat="1" ht="63.75" x14ac:dyDescent="0.25">
      <c r="A6" s="170"/>
      <c r="B6" s="170"/>
      <c r="C6" s="170"/>
      <c r="D6" s="170"/>
      <c r="E6" s="170"/>
      <c r="F6" s="170"/>
      <c r="G6" s="170"/>
      <c r="H6" s="170"/>
      <c r="I6" s="170"/>
      <c r="J6" s="32" t="s">
        <v>12</v>
      </c>
      <c r="K6" s="32" t="s">
        <v>13</v>
      </c>
      <c r="L6" s="32" t="s">
        <v>14</v>
      </c>
      <c r="M6" s="32" t="s">
        <v>15</v>
      </c>
      <c r="N6" s="32" t="s">
        <v>16</v>
      </c>
      <c r="O6" s="32" t="s">
        <v>17</v>
      </c>
      <c r="P6" s="32" t="s">
        <v>18</v>
      </c>
      <c r="Q6" s="32" t="s">
        <v>19</v>
      </c>
      <c r="R6" s="32" t="s">
        <v>20</v>
      </c>
      <c r="S6" s="32" t="s">
        <v>21</v>
      </c>
      <c r="T6" s="32" t="s">
        <v>22</v>
      </c>
      <c r="U6" s="32" t="s">
        <v>23</v>
      </c>
      <c r="V6" s="32" t="s">
        <v>24</v>
      </c>
      <c r="W6" s="32" t="s">
        <v>25</v>
      </c>
      <c r="X6" s="32" t="s">
        <v>26</v>
      </c>
      <c r="Y6" s="32" t="s">
        <v>27</v>
      </c>
      <c r="Z6" s="32" t="s">
        <v>38</v>
      </c>
      <c r="AA6" s="32" t="s">
        <v>28</v>
      </c>
    </row>
    <row r="7" spans="1:27" x14ac:dyDescent="0.25">
      <c r="A7" s="163" t="s">
        <v>29</v>
      </c>
      <c r="B7" s="28" t="s">
        <v>30</v>
      </c>
      <c r="C7" s="29"/>
      <c r="D7" s="29"/>
      <c r="E7" s="29"/>
      <c r="F7" s="29"/>
      <c r="G7" s="29"/>
      <c r="H7" s="29"/>
      <c r="I7" s="29"/>
      <c r="J7" s="155">
        <f>'01'!J8+'02'!J8+'03'!J8+'04'!J8+'05'!J8+'06'!J8+'07'!J8+'08'!J8+'09'!J8+'10'!J8+'11'!J8+'12'!J8+'13'!J8+'14'!J8+'15'!J8+'16'!J8+'17'!J8+'18'!J8+'19'!J8+'20'!J8+'21'!J8+'22'!J8+'23'!J8+'24'!J8+'25'!J8+'26'!J8+'27'!J8+'28'!J8+'29'!J8+'30'!J8+'31'!J8</f>
        <v>3.7388888888888889</v>
      </c>
      <c r="K7" s="155">
        <f>'01'!K8+'02'!K8+'03'!K8+'04'!K8+'05'!K8+'06'!K8+'07'!K8+'08'!K8+'09'!K8+'10'!K8+'11'!K8+'12'!K8+'13'!K8+'14'!K8+'15'!K8+'16'!K8+'17'!K8+'18'!K8+'19'!K8+'20'!K8+'21'!K8+'22'!K8+'23'!K8+'24'!K8+'25'!K8+'26'!K8+'27'!K8+'28'!K8+'29'!K8+'30'!K8+'31'!K8</f>
        <v>5.1388888888888887E-2</v>
      </c>
      <c r="L7" s="155">
        <f>'01'!L8+'02'!L8+'03'!L8+'04'!L8+'05'!L8+'06'!L8+'07'!L8+'08'!L8+'09'!L8+'10'!L8+'11'!L8+'12'!L8+'13'!L8+'14'!L8+'15'!L8+'16'!L8+'17'!L8+'18'!L8+'19'!L8+'20'!L8+'21'!L8+'22'!L8+'23'!L8+'24'!L8+'25'!L8+'26'!L8+'27'!L8+'28'!L8+'29'!L8+'30'!L8+'31'!L8</f>
        <v>0</v>
      </c>
      <c r="M7" s="155">
        <f>'01'!M8+'02'!M8+'03'!M8+'04'!M8+'05'!M8+'06'!M8+'07'!M8+'08'!M8+'09'!M8+'10'!M8+'11'!M8+'12'!M8+'13'!M8+'14'!M8+'15'!M8+'16'!M8+'17'!M8+'18'!M8+'19'!M8+'20'!M8+'21'!M8+'22'!M8+'23'!M8+'24'!M8+'25'!M8+'26'!M8+'27'!M8+'28'!M8+'29'!M8+'30'!M8+'31'!M8</f>
        <v>7.5000000000000011E-2</v>
      </c>
      <c r="N7" s="155">
        <f>'01'!N8+'02'!N8+'03'!N8+'04'!N8+'05'!N8+'06'!N8+'07'!N8+'08'!N8+'09'!N8+'10'!N8+'11'!N8+'12'!N8+'13'!N8+'14'!N8+'15'!N8+'16'!N8+'17'!N8+'18'!N8+'19'!N8+'20'!N8+'21'!N8+'22'!N8+'23'!N8+'24'!N8+'25'!N8+'26'!N8+'27'!N8+'28'!N8+'29'!N8+'30'!N8+'31'!N8</f>
        <v>7.7083333333333337E-2</v>
      </c>
      <c r="O7" s="155">
        <f>'01'!O8+'02'!O8+'03'!O8+'04'!O8+'05'!O8+'06'!O8+'07'!O8+'08'!O8+'09'!O8+'10'!O8+'11'!O8+'12'!O8+'13'!O8+'14'!O8+'15'!O8+'16'!O8+'17'!O8+'18'!O8+'19'!O8+'20'!O8+'21'!O8+'22'!O8+'23'!O8+'24'!O8+'25'!O8+'26'!O8+'27'!O8+'28'!O8+'29'!O8+'30'!O8+'31'!O8</f>
        <v>2.9861111111111109E-2</v>
      </c>
      <c r="P7" s="155">
        <f>'01'!P8+'02'!P8+'03'!P8+'04'!P8+'05'!P8+'06'!P8+'07'!P8+'08'!P8+'09'!P8+'10'!P8+'11'!P8+'12'!P8+'13'!P8+'14'!P8+'15'!P8+'16'!P8+'17'!P8+'18'!P8+'19'!P8+'20'!P8+'21'!P8+'22'!P8+'23'!P8+'24'!P8+'25'!P8+'26'!P8+'27'!P8+'28'!P8+'29'!P8+'30'!P8+'31'!P8</f>
        <v>0.12708333333333333</v>
      </c>
      <c r="Q7" s="155">
        <f>'01'!Q8+'02'!Q8+'03'!Q8+'04'!Q8+'05'!Q8+'06'!Q8+'07'!Q8+'08'!Q8+'09'!Q8+'10'!Q8+'11'!Q8+'12'!Q8+'13'!Q8+'14'!Q8+'15'!Q8+'16'!Q8+'17'!Q8+'18'!Q8+'19'!Q8+'20'!Q8+'21'!Q8+'22'!Q8+'23'!Q8+'24'!Q8+'25'!Q8+'26'!Q8+'27'!Q8+'28'!Q8+'29'!Q8+'30'!Q8+'31'!Q8</f>
        <v>0</v>
      </c>
      <c r="R7" s="155">
        <f>'01'!R8+'02'!R8+'03'!R8+'04'!R8+'05'!R8+'06'!R8+'07'!R8+'08'!R8+'09'!R8+'10'!R8+'11'!R8+'12'!R8+'13'!R8+'14'!R8+'15'!R8+'16'!R8+'17'!R8+'18'!R8+'19'!R8+'20'!R8+'21'!R8+'22'!R8+'23'!R8+'24'!R8+'25'!R8+'26'!R8+'27'!R8+'28'!R8+'29'!R8+'30'!R8+'31'!R8</f>
        <v>6.9444444444444441E-3</v>
      </c>
      <c r="S7" s="155">
        <f>'01'!S8+'02'!S8+'03'!S8+'04'!S8+'05'!S8+'06'!S8+'07'!S8+'08'!S8+'09'!S8+'10'!S8+'11'!S8+'12'!S8+'13'!S8+'14'!S8+'15'!S8+'16'!S8+'17'!S8+'18'!S8+'19'!S8+'20'!S8+'21'!S8+'22'!S8+'23'!S8+'24'!S8+'25'!S8+'26'!S8+'27'!S8+'28'!S8+'29'!S8+'30'!S8+'31'!S8</f>
        <v>0.60624999999999996</v>
      </c>
      <c r="T7" s="155">
        <f>'01'!T8+'02'!T8+'03'!T8+'04'!T8+'05'!T8+'06'!T8+'07'!T8+'08'!T8+'09'!T8+'10'!T8+'11'!T8+'12'!T8+'13'!T8+'14'!T8+'15'!T8+'16'!T8+'17'!T8+'18'!T8+'19'!T8+'20'!T8+'21'!T8+'22'!T8+'23'!T8+'24'!T8+'25'!T8+'26'!T8+'27'!T8+'28'!T8+'29'!T8+'30'!T8+'31'!T8</f>
        <v>0.45347222222222222</v>
      </c>
      <c r="U7" s="155">
        <f>'01'!U8+'02'!U8+'03'!U8+'04'!U8+'05'!U8+'06'!U8+'07'!U8+'08'!U8+'09'!U8+'10'!U8+'11'!U8+'12'!U8+'13'!U8+'14'!U8+'15'!U8+'16'!U8+'17'!U8+'18'!U8+'19'!U8+'20'!U8+'21'!U8+'22'!U8+'23'!U8+'24'!U8+'25'!U8+'26'!U8+'27'!U8+'28'!U8+'29'!U8+'30'!U8+'31'!U8</f>
        <v>0</v>
      </c>
      <c r="V7" s="155">
        <f>'01'!V8+'02'!V8+'03'!V8+'04'!V8+'05'!V8+'06'!V8+'07'!V8+'08'!V8+'09'!V8+'10'!V8+'11'!V8+'12'!V8+'13'!V8+'14'!V8+'15'!V8+'16'!V8+'17'!V8+'18'!V8+'19'!V8+'20'!V8+'21'!V8+'22'!V8+'23'!V8+'24'!V8+'25'!V8+'26'!V8+'27'!V8+'28'!V8+'29'!V8+'30'!V8+'31'!V8</f>
        <v>0.21875</v>
      </c>
      <c r="W7" s="155">
        <f>'01'!W8+'02'!W8+'03'!W8+'04'!W8+'05'!W8+'06'!W8+'07'!W8+'08'!W8+'09'!W8+'10'!W8+'11'!W8+'12'!W8+'13'!W8+'14'!W8+'15'!W8+'16'!W8+'17'!W8+'18'!W8+'19'!W8+'20'!W8+'21'!W8+'22'!W8+'23'!W8+'24'!W8+'25'!W8+'26'!W8+'27'!W8+'28'!W8+'29'!W8+'30'!W8+'31'!W8</f>
        <v>0</v>
      </c>
      <c r="X7" s="155">
        <f>'01'!X8+'02'!X8+'03'!X8+'04'!X8+'05'!X8+'06'!X8+'07'!X8+'08'!X8+'09'!X8+'10'!X8+'11'!X8+'12'!X8+'13'!X8+'14'!X8+'15'!X8+'16'!X8+'17'!X8+'18'!X8+'19'!X8+'20'!X8+'21'!X8+'22'!X8+'23'!X8+'24'!X8+'25'!X8+'26'!X8+'27'!X8+'28'!X8+'29'!X8+'30'!X8+'31'!X8</f>
        <v>0</v>
      </c>
      <c r="Y7" s="155">
        <f>'01'!Y8+'02'!Y8+'03'!Y8+'04'!Y8+'05'!Y8+'06'!Y8+'07'!Y8+'08'!Y8+'09'!Y8+'10'!Y8+'11'!Y8+'12'!Y8+'13'!Y8+'14'!Y8+'15'!Y8+'16'!Y8+'17'!Y8+'18'!Y8+'19'!Y8+'20'!Y8+'21'!Y8+'22'!Y8+'23'!Y8+'24'!Y8+'25'!Y8+'26'!Y8+'27'!Y8+'28'!Y8+'29'!Y8+'30'!Y8+'31'!Y8</f>
        <v>0</v>
      </c>
      <c r="Z7" s="155">
        <f>'01'!Z8+'02'!Z8+'03'!Z8+'04'!Z8+'05'!Z8+'06'!Z8+'07'!Z8+'08'!Z8+'09'!Z8+'10'!Z8+'11'!Z8+'12'!Z8+'13'!Z8+'14'!Z8+'15'!Z8+'16'!Z8+'17'!Z8+'18'!Z8+'19'!Z8+'20'!Z8+'21'!Z8+'22'!Z8+'23'!Z8+'24'!Z8+'25'!Z8+'26'!Z8+'27'!Z8+'28'!Z8+'29'!Z8+'30'!Z8+'31'!Z8</f>
        <v>9.7222222222222224E-3</v>
      </c>
      <c r="AA7" s="49">
        <f>SUM(J7:Z7)</f>
        <v>5.3944444444444448</v>
      </c>
    </row>
    <row r="8" spans="1:27" x14ac:dyDescent="0.25">
      <c r="A8" s="164"/>
      <c r="B8" s="7" t="s">
        <v>31</v>
      </c>
      <c r="C8" s="8"/>
      <c r="D8" s="8"/>
      <c r="E8" s="8"/>
      <c r="F8" s="8"/>
      <c r="G8" s="8"/>
      <c r="H8" s="8"/>
      <c r="I8" s="8"/>
      <c r="J8" s="51">
        <f>'01'!J9+'02'!J9+'03'!J9+'04'!J9+'05'!J9+'06'!J9+'07'!J9+'08'!J9+'09'!J9+'10'!J9+'11'!J9+'12'!J9+'13'!J9+'14'!J9+'15'!J9+'16'!J9+'17'!J9+'18'!J9+'19'!J9+'20'!J9+'21'!J9+'22'!J9+'23'!J9+'24'!J9+'25'!J9+'26'!J9+'27'!J9+'28'!J9+'29'!J9+'30'!J9+'31'!J9</f>
        <v>1.6236111111111107</v>
      </c>
      <c r="K8" s="51">
        <f>'01'!K9+'02'!K9+'03'!K9+'04'!K9+'05'!K9+'06'!K9+'07'!K9+'08'!K9+'09'!K9+'10'!K9+'11'!K9+'12'!K9+'13'!K9+'14'!K9+'15'!K9+'16'!K9+'17'!K9+'18'!K9+'19'!K9+'20'!K9+'21'!K9+'22'!K9+'23'!K9+'24'!K9+'25'!K9+'26'!K9+'27'!K9+'28'!K9+'29'!K9+'30'!K9+'31'!K9</f>
        <v>0.1</v>
      </c>
      <c r="L8" s="51">
        <f>'01'!L9+'02'!L9+'03'!L9+'04'!L9+'05'!L9+'06'!L9+'07'!L9+'08'!L9+'09'!L9+'10'!L9+'11'!L9+'12'!L9+'13'!L9+'14'!L9+'15'!L9+'16'!L9+'17'!L9+'18'!L9+'19'!L9+'20'!L9+'21'!L9+'22'!L9+'23'!L9+'24'!L9+'25'!L9+'26'!L9+'27'!L9+'28'!L9+'29'!L9+'30'!L9+'31'!L9</f>
        <v>8.9583333333333334E-2</v>
      </c>
      <c r="M8" s="51">
        <f>'01'!M9+'02'!M9+'03'!M9+'04'!M9+'05'!M9+'06'!M9+'07'!M9+'08'!M9+'09'!M9+'10'!M9+'11'!M9+'12'!M9+'13'!M9+'14'!M9+'15'!M9+'16'!M9+'17'!M9+'18'!M9+'19'!M9+'20'!M9+'21'!M9+'22'!M9+'23'!M9+'24'!M9+'25'!M9+'26'!M9+'27'!M9+'28'!M9+'29'!M9+'30'!M9+'31'!M9</f>
        <v>0.12361111111111112</v>
      </c>
      <c r="N8" s="51">
        <f>'01'!N9+'02'!N9+'03'!N9+'04'!N9+'05'!N9+'06'!N9+'07'!N9+'08'!N9+'09'!N9+'10'!N9+'11'!N9+'12'!N9+'13'!N9+'14'!N9+'15'!N9+'16'!N9+'17'!N9+'18'!N9+'19'!N9+'20'!N9+'21'!N9+'22'!N9+'23'!N9+'24'!N9+'25'!N9+'26'!N9+'27'!N9+'28'!N9+'29'!N9+'30'!N9+'31'!N9</f>
        <v>0.10069444444444443</v>
      </c>
      <c r="O8" s="51">
        <f>'01'!O9+'02'!O9+'03'!O9+'04'!O9+'05'!O9+'06'!O9+'07'!O9+'08'!O9+'09'!O9+'10'!O9+'11'!O9+'12'!O9+'13'!O9+'14'!O9+'15'!O9+'16'!O9+'17'!O9+'18'!O9+'19'!O9+'20'!O9+'21'!O9+'22'!O9+'23'!O9+'24'!O9+'25'!O9+'26'!O9+'27'!O9+'28'!O9+'29'!O9+'30'!O9+'31'!O9</f>
        <v>3.680555555555555E-2</v>
      </c>
      <c r="P8" s="51">
        <f>'01'!P9+'02'!P9+'03'!P9+'04'!P9+'05'!P9+'06'!P9+'07'!P9+'08'!P9+'09'!P9+'10'!P9+'11'!P9+'12'!P9+'13'!P9+'14'!P9+'15'!P9+'16'!P9+'17'!P9+'18'!P9+'19'!P9+'20'!P9+'21'!P9+'22'!P9+'23'!P9+'24'!P9+'25'!P9+'26'!P9+'27'!P9+'28'!P9+'29'!P9+'30'!P9+'31'!P9</f>
        <v>0</v>
      </c>
      <c r="Q8" s="51">
        <f>'01'!Q9+'02'!Q9+'03'!Q9+'04'!Q9+'05'!Q9+'06'!Q9+'07'!Q9+'08'!Q9+'09'!Q9+'10'!Q9+'11'!Q9+'12'!Q9+'13'!Q9+'14'!Q9+'15'!Q9+'16'!Q9+'17'!Q9+'18'!Q9+'19'!Q9+'20'!Q9+'21'!Q9+'22'!Q9+'23'!Q9+'24'!Q9+'25'!Q9+'26'!Q9+'27'!Q9+'28'!Q9+'29'!Q9+'30'!Q9+'31'!Q9</f>
        <v>0</v>
      </c>
      <c r="R8" s="51">
        <f>'01'!R9+'02'!R9+'03'!R9+'04'!R9+'05'!R9+'06'!R9+'07'!R9+'08'!R9+'09'!R9+'10'!R9+'11'!R9+'12'!R9+'13'!R9+'14'!R9+'15'!R9+'16'!R9+'17'!R9+'18'!R9+'19'!R9+'20'!R9+'21'!R9+'22'!R9+'23'!R9+'24'!R9+'25'!R9+'26'!R9+'27'!R9+'28'!R9+'29'!R9+'30'!R9+'31'!R9</f>
        <v>0.1388888888888889</v>
      </c>
      <c r="S8" s="51">
        <f>'01'!S9+'02'!S9+'03'!S9+'04'!S9+'05'!S9+'06'!S9+'07'!S9+'08'!S9+'09'!S9+'10'!S9+'11'!S9+'12'!S9+'13'!S9+'14'!S9+'15'!S9+'16'!S9+'17'!S9+'18'!S9+'19'!S9+'20'!S9+'21'!S9+'22'!S9+'23'!S9+'24'!S9+'25'!S9+'26'!S9+'27'!S9+'28'!S9+'29'!S9+'30'!S9+'31'!S9</f>
        <v>0.58263888888888893</v>
      </c>
      <c r="T8" s="51">
        <f>'01'!T9+'02'!T9+'03'!T9+'04'!T9+'05'!T9+'06'!T9+'07'!T9+'08'!T9+'09'!T9+'10'!T9+'11'!T9+'12'!T9+'13'!T9+'14'!T9+'15'!T9+'16'!T9+'17'!T9+'18'!T9+'19'!T9+'20'!T9+'21'!T9+'22'!T9+'23'!T9+'24'!T9+'25'!T9+'26'!T9+'27'!T9+'28'!T9+'29'!T9+'30'!T9+'31'!T9</f>
        <v>0.46875</v>
      </c>
      <c r="U8" s="51">
        <f>'01'!U9+'02'!U9+'03'!U9+'04'!U9+'05'!U9+'06'!U9+'07'!U9+'08'!U9+'09'!U9+'10'!U9+'11'!U9+'12'!U9+'13'!U9+'14'!U9+'15'!U9+'16'!U9+'17'!U9+'18'!U9+'19'!U9+'20'!U9+'21'!U9+'22'!U9+'23'!U9+'24'!U9+'25'!U9+'26'!U9+'27'!U9+'28'!U9+'29'!U9+'30'!U9+'31'!U9</f>
        <v>0</v>
      </c>
      <c r="V8" s="51">
        <f>'01'!V9+'02'!V9+'03'!V9+'04'!V9+'05'!V9+'06'!V9+'07'!V9+'08'!V9+'09'!V9+'10'!V9+'11'!V9+'12'!V9+'13'!V9+'14'!V9+'15'!V9+'16'!V9+'17'!V9+'18'!V9+'19'!V9+'20'!V9+'21'!V9+'22'!V9+'23'!V9+'24'!V9+'25'!V9+'26'!V9+'27'!V9+'28'!V9+'29'!V9+'30'!V9+'31'!V9</f>
        <v>2.4999999999999998E-2</v>
      </c>
      <c r="W8" s="51">
        <f>'01'!W9+'02'!W9+'03'!W9+'04'!W9+'05'!W9+'06'!W9+'07'!W9+'08'!W9+'09'!W9+'10'!W9+'11'!W9+'12'!W9+'13'!W9+'14'!W9+'15'!W9+'16'!W9+'17'!W9+'18'!W9+'19'!W9+'20'!W9+'21'!W9+'22'!W9+'23'!W9+'24'!W9+'25'!W9+'26'!W9+'27'!W9+'28'!W9+'29'!W9+'30'!W9+'31'!W9</f>
        <v>0.4236111111111111</v>
      </c>
      <c r="X8" s="51">
        <f>'01'!X9+'02'!X9+'03'!X9+'04'!X9+'05'!X9+'06'!X9+'07'!X9+'08'!X9+'09'!X9+'10'!X9+'11'!X9+'12'!X9+'13'!X9+'14'!X9+'15'!X9+'16'!X9+'17'!X9+'18'!X9+'19'!X9+'20'!X9+'21'!X9+'22'!X9+'23'!X9+'24'!X9+'25'!X9+'26'!X9+'27'!X9+'28'!X9+'29'!X9+'30'!X9+'31'!X9</f>
        <v>0</v>
      </c>
      <c r="Y8" s="51">
        <f>'01'!Y9+'02'!Y9+'03'!Y9+'04'!Y9+'05'!Y9+'06'!Y9+'07'!Y9+'08'!Y9+'09'!Y9+'10'!Y9+'11'!Y9+'12'!Y9+'13'!Y9+'14'!Y9+'15'!Y9+'16'!Y9+'17'!Y9+'18'!Y9+'19'!Y9+'20'!Y9+'21'!Y9+'22'!Y9+'23'!Y9+'24'!Y9+'25'!Y9+'26'!Y9+'27'!Y9+'28'!Y9+'29'!Y9+'30'!Y9+'31'!Y9</f>
        <v>0</v>
      </c>
      <c r="Z8" s="51">
        <f>'01'!Z9+'02'!Z9+'03'!Z9+'04'!Z9+'05'!Z9+'06'!Z9+'07'!Z9+'08'!Z9+'09'!Z9+'10'!Z9+'11'!Z9+'12'!Z9+'13'!Z9+'14'!Z9+'15'!Z9+'16'!Z9+'17'!Z9+'18'!Z9+'19'!Z9+'20'!Z9+'21'!Z9+'22'!Z9+'23'!Z9+'24'!Z9+'25'!Z9+'26'!Z9+'27'!Z9+'28'!Z9+'29'!Z9+'30'!Z9+'31'!Z9</f>
        <v>5.0694444444444452E-2</v>
      </c>
      <c r="AA8" s="51">
        <f t="shared" ref="AA8:AA15" si="0">SUM(J8:Z8)</f>
        <v>3.7638888888888884</v>
      </c>
    </row>
    <row r="9" spans="1:27" x14ac:dyDescent="0.25">
      <c r="A9" s="164"/>
      <c r="B9" s="112" t="s">
        <v>59</v>
      </c>
      <c r="C9" s="8"/>
      <c r="D9" s="8"/>
      <c r="E9" s="8"/>
      <c r="F9" s="8"/>
      <c r="G9" s="8"/>
      <c r="H9" s="8"/>
      <c r="I9" s="8"/>
      <c r="J9" s="51">
        <f>'01'!J10+'02'!J10+'03'!J10+'04'!J10+'05'!J10+'06'!J10+'07'!J10+'08'!J10+'09'!J10+'10'!J10+'11'!J10+'12'!J10+'13'!J10+'14'!J10+'15'!J10+'16'!J10+'17'!J10+'18'!J10+'19'!J10+'20'!J10+'21'!J10+'22'!J10+'23'!J10+'24'!J10+'25'!J10+'26'!J10+'27'!J10+'28'!J10+'29'!J10+'30'!J10+'31'!J10</f>
        <v>0</v>
      </c>
      <c r="K9" s="51">
        <f>'01'!K10+'02'!K10+'03'!K10+'04'!K10+'05'!K10+'06'!K10+'07'!K10+'08'!K10+'09'!K10+'10'!K10+'11'!K10+'12'!K10+'13'!K10+'14'!K10+'15'!K10+'16'!K10+'17'!K10+'18'!K10+'19'!K10+'20'!K10+'21'!K10+'22'!K10+'23'!K10+'24'!K10+'25'!K10+'26'!K10+'27'!K10+'28'!K10+'29'!K10+'30'!K10+'31'!K10</f>
        <v>0</v>
      </c>
      <c r="L9" s="51">
        <f>'01'!L10+'02'!L10+'03'!L10+'04'!L10+'05'!L10+'06'!L10+'07'!L10+'08'!L10+'09'!L10+'10'!L10+'11'!L10+'12'!L10+'13'!L10+'14'!L10+'15'!L10+'16'!L10+'17'!L10+'18'!L10+'19'!L10+'20'!L10+'21'!L10+'22'!L10+'23'!L10+'24'!L10+'25'!L10+'26'!L10+'27'!L10+'28'!L10+'29'!L10+'30'!L10+'31'!L10</f>
        <v>0</v>
      </c>
      <c r="M9" s="51">
        <f>'01'!M10+'02'!M10+'03'!M10+'04'!M10+'05'!M10+'06'!M10+'07'!M10+'08'!M10+'09'!M10+'10'!M10+'11'!M10+'12'!M10+'13'!M10+'14'!M10+'15'!M10+'16'!M10+'17'!M10+'18'!M10+'19'!M10+'20'!M10+'21'!M10+'22'!M10+'23'!M10+'24'!M10+'25'!M10+'26'!M10+'27'!M10+'28'!M10+'29'!M10+'30'!M10+'31'!M10</f>
        <v>0</v>
      </c>
      <c r="N9" s="51">
        <f>'01'!N10+'02'!N10+'03'!N10+'04'!N10+'05'!N10+'06'!N10+'07'!N10+'08'!N10+'09'!N10+'10'!N10+'11'!N10+'12'!N10+'13'!N10+'14'!N10+'15'!N10+'16'!N10+'17'!N10+'18'!N10+'19'!N10+'20'!N10+'21'!N10+'22'!N10+'23'!N10+'24'!N10+'25'!N10+'26'!N10+'27'!N10+'28'!N10+'29'!N10+'30'!N10+'31'!N10</f>
        <v>0</v>
      </c>
      <c r="O9" s="51">
        <f>'01'!O10+'02'!O10+'03'!O10+'04'!O10+'05'!O10+'06'!O10+'07'!O10+'08'!O10+'09'!O10+'10'!O10+'11'!O10+'12'!O10+'13'!O10+'14'!O10+'15'!O10+'16'!O10+'17'!O10+'18'!O10+'19'!O10+'20'!O10+'21'!O10+'22'!O10+'23'!O10+'24'!O10+'25'!O10+'26'!O10+'27'!O10+'28'!O10+'29'!O10+'30'!O10+'31'!O10</f>
        <v>0</v>
      </c>
      <c r="P9" s="51">
        <f>'01'!P10+'02'!P10+'03'!P10+'04'!P10+'05'!P10+'06'!P10+'07'!P10+'08'!P10+'09'!P10+'10'!P10+'11'!P10+'12'!P10+'13'!P10+'14'!P10+'15'!P10+'16'!P10+'17'!P10+'18'!P10+'19'!P10+'20'!P10+'21'!P10+'22'!P10+'23'!P10+'24'!P10+'25'!P10+'26'!P10+'27'!P10+'28'!P10+'29'!P10+'30'!P10+'31'!P10</f>
        <v>0</v>
      </c>
      <c r="Q9" s="51">
        <f>'01'!Q10+'02'!Q10+'03'!Q10+'04'!Q10+'05'!Q10+'06'!Q10+'07'!Q10+'08'!Q10+'09'!Q10+'10'!Q10+'11'!Q10+'12'!Q10+'13'!Q10+'14'!Q10+'15'!Q10+'16'!Q10+'17'!Q10+'18'!Q10+'19'!Q10+'20'!Q10+'21'!Q10+'22'!Q10+'23'!Q10+'24'!Q10+'25'!Q10+'26'!Q10+'27'!Q10+'28'!Q10+'29'!Q10+'30'!Q10+'31'!Q10</f>
        <v>0</v>
      </c>
      <c r="R9" s="51">
        <f>'01'!R10+'02'!R10+'03'!R10+'04'!R10+'05'!R10+'06'!R10+'07'!R10+'08'!R10+'09'!R10+'10'!R10+'11'!R10+'12'!R10+'13'!R10+'14'!R10+'15'!R10+'16'!R10+'17'!R10+'18'!R10+'19'!R10+'20'!R10+'21'!R10+'22'!R10+'23'!R10+'24'!R10+'25'!R10+'26'!R10+'27'!R10+'28'!R10+'29'!R10+'30'!R10+'31'!R10</f>
        <v>0</v>
      </c>
      <c r="S9" s="51">
        <f>'01'!S10+'02'!S10+'03'!S10+'04'!S10+'05'!S10+'06'!S10+'07'!S10+'08'!S10+'09'!S10+'10'!S10+'11'!S10+'12'!S10+'13'!S10+'14'!S10+'15'!S10+'16'!S10+'17'!S10+'18'!S10+'19'!S10+'20'!S10+'21'!S10+'22'!S10+'23'!S10+'24'!S10+'25'!S10+'26'!S10+'27'!S10+'28'!S10+'29'!S10+'30'!S10+'31'!S10</f>
        <v>0</v>
      </c>
      <c r="T9" s="51">
        <f>'01'!T10+'02'!T10+'03'!T10+'04'!T10+'05'!T10+'06'!T10+'07'!T10+'08'!T10+'09'!T10+'10'!T10+'11'!T10+'12'!T10+'13'!T10+'14'!T10+'15'!T10+'16'!T10+'17'!T10+'18'!T10+'19'!T10+'20'!T10+'21'!T10+'22'!T10+'23'!T10+'24'!T10+'25'!T10+'26'!T10+'27'!T10+'28'!T10+'29'!T10+'30'!T10+'31'!T10</f>
        <v>0</v>
      </c>
      <c r="U9" s="51">
        <f>'01'!U10+'02'!U10+'03'!U10+'04'!U10+'05'!U10+'06'!U10+'07'!U10+'08'!U10+'09'!U10+'10'!U10+'11'!U10+'12'!U10+'13'!U10+'14'!U10+'15'!U10+'16'!U10+'17'!U10+'18'!U10+'19'!U10+'20'!U10+'21'!U10+'22'!U10+'23'!U10+'24'!U10+'25'!U10+'26'!U10+'27'!U10+'28'!U10+'29'!U10+'30'!U10+'31'!U10</f>
        <v>0</v>
      </c>
      <c r="V9" s="51">
        <f>'01'!V10+'02'!V10+'03'!V10+'04'!V10+'05'!V10+'06'!V10+'07'!V10+'08'!V10+'09'!V10+'10'!V10+'11'!V10+'12'!V10+'13'!V10+'14'!V10+'15'!V10+'16'!V10+'17'!V10+'18'!V10+'19'!V10+'20'!V10+'21'!V10+'22'!V10+'23'!V10+'24'!V10+'25'!V10+'26'!V10+'27'!V10+'28'!V10+'29'!V10+'30'!V10+'31'!V10</f>
        <v>0</v>
      </c>
      <c r="W9" s="51">
        <f>'01'!W10+'02'!W10+'03'!W10+'04'!W10+'05'!W10+'06'!W10+'07'!W10+'08'!W10+'09'!W10+'10'!W10+'11'!W10+'12'!W10+'13'!W10+'14'!W10+'15'!W10+'16'!W10+'17'!W10+'18'!W10+'19'!W10+'20'!W10+'21'!W10+'22'!W10+'23'!W10+'24'!W10+'25'!W10+'26'!W10+'27'!W10+'28'!W10+'29'!W10+'30'!W10+'31'!W10</f>
        <v>0</v>
      </c>
      <c r="X9" s="51">
        <f>'01'!X10+'02'!X10+'03'!X10+'04'!X10+'05'!X10+'06'!X10+'07'!X10+'08'!X10+'09'!X10+'10'!X10+'11'!X10+'12'!X10+'13'!X10+'14'!X10+'15'!X10+'16'!X10+'17'!X10+'18'!X10+'19'!X10+'20'!X10+'21'!X10+'22'!X10+'23'!X10+'24'!X10+'25'!X10+'26'!X10+'27'!X10+'28'!X10+'29'!X10+'30'!X10+'31'!X10</f>
        <v>0</v>
      </c>
      <c r="Y9" s="51">
        <f>'01'!Y10+'02'!Y10+'03'!Y10+'04'!Y10+'05'!Y10+'06'!Y10+'07'!Y10+'08'!Y10+'09'!Y10+'10'!Y10+'11'!Y10+'12'!Y10+'13'!Y10+'14'!Y10+'15'!Y10+'16'!Y10+'17'!Y10+'18'!Y10+'19'!Y10+'20'!Y10+'21'!Y10+'22'!Y10+'23'!Y10+'24'!Y10+'25'!Y10+'26'!Y10+'27'!Y10+'28'!Y10+'29'!Y10+'30'!Y10+'31'!Y10</f>
        <v>0</v>
      </c>
      <c r="Z9" s="51">
        <f>'01'!Z10+'02'!Z10+'03'!Z10+'04'!Z10+'05'!Z10+'06'!Z10+'07'!Z10+'08'!Z10+'09'!Z10+'10'!Z10+'11'!Z10+'12'!Z10+'13'!Z10+'14'!Z10+'15'!Z10+'16'!Z10+'17'!Z10+'18'!Z10+'19'!Z10+'20'!Z10+'21'!Z10+'22'!Z10+'23'!Z10+'24'!Z10+'25'!Z10+'26'!Z10+'27'!Z10+'28'!Z10+'29'!Z10+'30'!Z10+'31'!Z10</f>
        <v>0</v>
      </c>
      <c r="AA9" s="51">
        <f t="shared" ref="AA9:AA13" si="1">SUM(J9:Z9)</f>
        <v>0</v>
      </c>
    </row>
    <row r="10" spans="1:27" x14ac:dyDescent="0.25">
      <c r="A10" s="164"/>
      <c r="B10" s="7" t="s">
        <v>32</v>
      </c>
      <c r="C10" s="8"/>
      <c r="D10" s="8"/>
      <c r="E10" s="8"/>
      <c r="F10" s="8"/>
      <c r="G10" s="8"/>
      <c r="H10" s="8"/>
      <c r="I10" s="8"/>
      <c r="J10" s="51">
        <f>'01'!J11+'02'!J11+'03'!J11+'04'!J11+'05'!J11+'06'!J11+'07'!J11+'08'!J11+'09'!J11+'10'!J11+'11'!J11+'12'!J11+'13'!J11+'14'!J11+'15'!J11+'16'!J11+'17'!J11+'18'!J11+'19'!J11+'20'!J11+'21'!J11+'22'!J11+'23'!J11+'24'!J11+'25'!J11+'26'!J11+'27'!J11+'28'!J11+'29'!J11+'30'!J11+'31'!J11</f>
        <v>2.3611111111111112</v>
      </c>
      <c r="K10" s="51">
        <f>'01'!K11+'02'!K11+'03'!K11+'04'!K11+'05'!K11+'06'!K11+'07'!K11+'08'!K11+'09'!K11+'10'!K11+'11'!K11+'12'!K11+'13'!K11+'14'!K11+'15'!K11+'16'!K11+'17'!K11+'18'!K11+'19'!K11+'20'!K11+'21'!K11+'22'!K11+'23'!K11+'24'!K11+'25'!K11+'26'!K11+'27'!K11+'28'!K11+'29'!K11+'30'!K11+'31'!K11</f>
        <v>2.361111111111111E-2</v>
      </c>
      <c r="L10" s="51">
        <f>'01'!L11+'02'!L11+'03'!L11+'04'!L11+'05'!L11+'06'!L11+'07'!L11+'08'!L11+'09'!L11+'10'!L11+'11'!L11+'12'!L11+'13'!L11+'14'!L11+'15'!L11+'16'!L11+'17'!L11+'18'!L11+'19'!L11+'20'!L11+'21'!L11+'22'!L11+'23'!L11+'24'!L11+'25'!L11+'26'!L11+'27'!L11+'28'!L11+'29'!L11+'30'!L11+'31'!L11</f>
        <v>6.9444444444444441E-3</v>
      </c>
      <c r="M10" s="51">
        <f>'01'!M11+'02'!M11+'03'!M11+'04'!M11+'05'!M11+'06'!M11+'07'!M11+'08'!M11+'09'!M11+'10'!M11+'11'!M11+'12'!M11+'13'!M11+'14'!M11+'15'!M11+'16'!M11+'17'!M11+'18'!M11+'19'!M11+'20'!M11+'21'!M11+'22'!M11+'23'!M11+'24'!M11+'25'!M11+'26'!M11+'27'!M11+'28'!M11+'29'!M11+'30'!M11+'31'!M11</f>
        <v>0.12083333333333333</v>
      </c>
      <c r="N10" s="51">
        <f>'01'!N11+'02'!N11+'03'!N11+'04'!N11+'05'!N11+'06'!N11+'07'!N11+'08'!N11+'09'!N11+'10'!N11+'11'!N11+'12'!N11+'13'!N11+'14'!N11+'15'!N11+'16'!N11+'17'!N11+'18'!N11+'19'!N11+'20'!N11+'21'!N11+'22'!N11+'23'!N11+'24'!N11+'25'!N11+'26'!N11+'27'!N11+'28'!N11+'29'!N11+'30'!N11+'31'!N11</f>
        <v>0.10972222222222223</v>
      </c>
      <c r="O10" s="51">
        <f>'01'!O11+'02'!O11+'03'!O11+'04'!O11+'05'!O11+'06'!O11+'07'!O11+'08'!O11+'09'!O11+'10'!O11+'11'!O11+'12'!O11+'13'!O11+'14'!O11+'15'!O11+'16'!O11+'17'!O11+'18'!O11+'19'!O11+'20'!O11+'21'!O11+'22'!O11+'23'!O11+'24'!O11+'25'!O11+'26'!O11+'27'!O11+'28'!O11+'29'!O11+'30'!O11+'31'!O11</f>
        <v>5.5555555555555558E-3</v>
      </c>
      <c r="P10" s="51">
        <f>'01'!P11+'02'!P11+'03'!P11+'04'!P11+'05'!P11+'06'!P11+'07'!P11+'08'!P11+'09'!P11+'10'!P11+'11'!P11+'12'!P11+'13'!P11+'14'!P11+'15'!P11+'16'!P11+'17'!P11+'18'!P11+'19'!P11+'20'!P11+'21'!P11+'22'!P11+'23'!P11+'24'!P11+'25'!P11+'26'!P11+'27'!P11+'28'!P11+'29'!P11+'30'!P11+'31'!P11</f>
        <v>0</v>
      </c>
      <c r="Q10" s="51">
        <f>'01'!Q11+'02'!Q11+'03'!Q11+'04'!Q11+'05'!Q11+'06'!Q11+'07'!Q11+'08'!Q11+'09'!Q11+'10'!Q11+'11'!Q11+'12'!Q11+'13'!Q11+'14'!Q11+'15'!Q11+'16'!Q11+'17'!Q11+'18'!Q11+'19'!Q11+'20'!Q11+'21'!Q11+'22'!Q11+'23'!Q11+'24'!Q11+'25'!Q11+'26'!Q11+'27'!Q11+'28'!Q11+'29'!Q11+'30'!Q11+'31'!Q11</f>
        <v>0</v>
      </c>
      <c r="R10" s="51">
        <f>'01'!R11+'02'!R11+'03'!R11+'04'!R11+'05'!R11+'06'!R11+'07'!R11+'08'!R11+'09'!R11+'10'!R11+'11'!R11+'12'!R11+'13'!R11+'14'!R11+'15'!R11+'16'!R11+'17'!R11+'18'!R11+'19'!R11+'20'!R11+'21'!R11+'22'!R11+'23'!R11+'24'!R11+'25'!R11+'26'!R11+'27'!R11+'28'!R11+'29'!R11+'30'!R11+'31'!R11</f>
        <v>0.1590277777777778</v>
      </c>
      <c r="S10" s="51">
        <f>'01'!S11+'02'!S11+'03'!S11+'04'!S11+'05'!S11+'06'!S11+'07'!S11+'08'!S11+'09'!S11+'10'!S11+'11'!S11+'12'!S11+'13'!S11+'14'!S11+'15'!S11+'16'!S11+'17'!S11+'18'!S11+'19'!S11+'20'!S11+'21'!S11+'22'!S11+'23'!S11+'24'!S11+'25'!S11+'26'!S11+'27'!S11+'28'!S11+'29'!S11+'30'!S11+'31'!S11</f>
        <v>0.53750000000000009</v>
      </c>
      <c r="T10" s="51">
        <f>'01'!T11+'02'!T11+'03'!T11+'04'!T11+'05'!T11+'06'!T11+'07'!T11+'08'!T11+'09'!T11+'10'!T11+'11'!T11+'12'!T11+'13'!T11+'14'!T11+'15'!T11+'16'!T11+'17'!T11+'18'!T11+'19'!T11+'20'!T11+'21'!T11+'22'!T11+'23'!T11+'24'!T11+'25'!T11+'26'!T11+'27'!T11+'28'!T11+'29'!T11+'30'!T11+'31'!T11</f>
        <v>0.6513888888888888</v>
      </c>
      <c r="U10" s="51">
        <f>'01'!U11+'02'!U11+'03'!U11+'04'!U11+'05'!U11+'06'!U11+'07'!U11+'08'!U11+'09'!U11+'10'!U11+'11'!U11+'12'!U11+'13'!U11+'14'!U11+'15'!U11+'16'!U11+'17'!U11+'18'!U11+'19'!U11+'20'!U11+'21'!U11+'22'!U11+'23'!U11+'24'!U11+'25'!U11+'26'!U11+'27'!U11+'28'!U11+'29'!U11+'30'!U11+'31'!U11</f>
        <v>0</v>
      </c>
      <c r="V10" s="51">
        <f>'01'!V11+'02'!V11+'03'!V11+'04'!V11+'05'!V11+'06'!V11+'07'!V11+'08'!V11+'09'!V11+'10'!V11+'11'!V11+'12'!V11+'13'!V11+'14'!V11+'15'!V11+'16'!V11+'17'!V11+'18'!V11+'19'!V11+'20'!V11+'21'!V11+'22'!V11+'23'!V11+'24'!V11+'25'!V11+'26'!V11+'27'!V11+'28'!V11+'29'!V11+'30'!V11+'31'!V11</f>
        <v>0.19513888888888889</v>
      </c>
      <c r="W10" s="51">
        <f>'01'!W11+'02'!W11+'03'!W11+'04'!W11+'05'!W11+'06'!W11+'07'!W11+'08'!W11+'09'!W11+'10'!W11+'11'!W11+'12'!W11+'13'!W11+'14'!W11+'15'!W11+'16'!W11+'17'!W11+'18'!W11+'19'!W11+'20'!W11+'21'!W11+'22'!W11+'23'!W11+'24'!W11+'25'!W11+'26'!W11+'27'!W11+'28'!W11+'29'!W11+'30'!W11+'31'!W11</f>
        <v>0.69791666666666674</v>
      </c>
      <c r="X10" s="51">
        <f>'01'!X11+'02'!X11+'03'!X11+'04'!X11+'05'!X11+'06'!X11+'07'!X11+'08'!X11+'09'!X11+'10'!X11+'11'!X11+'12'!X11+'13'!X11+'14'!X11+'15'!X11+'16'!X11+'17'!X11+'18'!X11+'19'!X11+'20'!X11+'21'!X11+'22'!X11+'23'!X11+'24'!X11+'25'!X11+'26'!X11+'27'!X11+'28'!X11+'29'!X11+'30'!X11+'31'!X11</f>
        <v>0</v>
      </c>
      <c r="Y10" s="51">
        <f>'01'!Y11+'02'!Y11+'03'!Y11+'04'!Y11+'05'!Y11+'06'!Y11+'07'!Y11+'08'!Y11+'09'!Y11+'10'!Y11+'11'!Y11+'12'!Y11+'13'!Y11+'14'!Y11+'15'!Y11+'16'!Y11+'17'!Y11+'18'!Y11+'19'!Y11+'20'!Y11+'21'!Y11+'22'!Y11+'23'!Y11+'24'!Y11+'25'!Y11+'26'!Y11+'27'!Y11+'28'!Y11+'29'!Y11+'30'!Y11+'31'!Y11</f>
        <v>0</v>
      </c>
      <c r="Z10" s="51">
        <f>'01'!Z11+'02'!Z11+'03'!Z11+'04'!Z11+'05'!Z11+'06'!Z11+'07'!Z11+'08'!Z11+'09'!Z11+'10'!Z11+'11'!Z11+'12'!Z11+'13'!Z11+'14'!Z11+'15'!Z11+'16'!Z11+'17'!Z11+'18'!Z11+'19'!Z11+'20'!Z11+'21'!Z11+'22'!Z11+'23'!Z11+'24'!Z11+'25'!Z11+'26'!Z11+'27'!Z11+'28'!Z11+'29'!Z11+'30'!Z11+'31'!Z11</f>
        <v>4.5138888888888888E-2</v>
      </c>
      <c r="AA10" s="51">
        <f t="shared" si="1"/>
        <v>4.9138888888888896</v>
      </c>
    </row>
    <row r="11" spans="1:27" x14ac:dyDescent="0.25">
      <c r="A11" s="164"/>
      <c r="B11" s="7" t="s">
        <v>33</v>
      </c>
      <c r="C11" s="8"/>
      <c r="D11" s="8"/>
      <c r="E11" s="8"/>
      <c r="F11" s="8"/>
      <c r="G11" s="8"/>
      <c r="H11" s="8"/>
      <c r="I11" s="8"/>
      <c r="J11" s="51">
        <f>'01'!J12+'02'!J12+'03'!J12+'04'!J12+'05'!J12+'06'!J12+'07'!J12+'08'!J12+'09'!J12+'10'!J12+'11'!J12+'12'!J12+'13'!J12+'14'!J12+'15'!J12+'16'!J12+'17'!J12+'18'!J12+'19'!J12+'20'!J12+'21'!J12+'22'!J12+'23'!J12+'24'!J12+'25'!J12+'26'!J12+'27'!J12+'28'!J12+'29'!J12+'30'!J12+'31'!J12</f>
        <v>1.3354166666666665</v>
      </c>
      <c r="K11" s="51">
        <f>'01'!K12+'02'!K12+'03'!K12+'04'!K12+'05'!K12+'06'!K12+'07'!K12+'08'!K12+'09'!K12+'10'!K12+'11'!K12+'12'!K12+'13'!K12+'14'!K12+'15'!K12+'16'!K12+'17'!K12+'18'!K12+'19'!K12+'20'!K12+'21'!K12+'22'!K12+'23'!K12+'24'!K12+'25'!K12+'26'!K12+'27'!K12+'28'!K12+'29'!K12+'30'!K12+'31'!K12</f>
        <v>9.236111111111113E-2</v>
      </c>
      <c r="L11" s="51">
        <f>'01'!L12+'02'!L12+'03'!L12+'04'!L12+'05'!L12+'06'!L12+'07'!L12+'08'!L12+'09'!L12+'10'!L12+'11'!L12+'12'!L12+'13'!L12+'14'!L12+'15'!L12+'16'!L12+'17'!L12+'18'!L12+'19'!L12+'20'!L12+'21'!L12+'22'!L12+'23'!L12+'24'!L12+'25'!L12+'26'!L12+'27'!L12+'28'!L12+'29'!L12+'30'!L12+'31'!L12</f>
        <v>4.1666666666666664E-2</v>
      </c>
      <c r="M11" s="51">
        <f>'01'!M12+'02'!M12+'03'!M12+'04'!M12+'05'!M12+'06'!M12+'07'!M12+'08'!M12+'09'!M12+'10'!M12+'11'!M12+'12'!M12+'13'!M12+'14'!M12+'15'!M12+'16'!M12+'17'!M12+'18'!M12+'19'!M12+'20'!M12+'21'!M12+'22'!M12+'23'!M12+'24'!M12+'25'!M12+'26'!M12+'27'!M12+'28'!M12+'29'!M12+'30'!M12+'31'!M12</f>
        <v>0.15555555555555553</v>
      </c>
      <c r="N11" s="51">
        <f>'01'!N12+'02'!N12+'03'!N12+'04'!N12+'05'!N12+'06'!N12+'07'!N12+'08'!N12+'09'!N12+'10'!N12+'11'!N12+'12'!N12+'13'!N12+'14'!N12+'15'!N12+'16'!N12+'17'!N12+'18'!N12+'19'!N12+'20'!N12+'21'!N12+'22'!N12+'23'!N12+'24'!N12+'25'!N12+'26'!N12+'27'!N12+'28'!N12+'29'!N12+'30'!N12+'31'!N12</f>
        <v>0.12638888888888891</v>
      </c>
      <c r="O11" s="51">
        <f>'01'!O12+'02'!O12+'03'!O12+'04'!O12+'05'!O12+'06'!O12+'07'!O12+'08'!O12+'09'!O12+'10'!O12+'11'!O12+'12'!O12+'13'!O12+'14'!O12+'15'!O12+'16'!O12+'17'!O12+'18'!O12+'19'!O12+'20'!O12+'21'!O12+'22'!O12+'23'!O12+'24'!O12+'25'!O12+'26'!O12+'27'!O12+'28'!O12+'29'!O12+'30'!O12+'31'!O12</f>
        <v>2.7777777777777776E-2</v>
      </c>
      <c r="P11" s="51">
        <f>'01'!P12+'02'!P12+'03'!P12+'04'!P12+'05'!P12+'06'!P12+'07'!P12+'08'!P12+'09'!P12+'10'!P12+'11'!P12+'12'!P12+'13'!P12+'14'!P12+'15'!P12+'16'!P12+'17'!P12+'18'!P12+'19'!P12+'20'!P12+'21'!P12+'22'!P12+'23'!P12+'24'!P12+'25'!P12+'26'!P12+'27'!P12+'28'!P12+'29'!P12+'30'!P12+'31'!P12</f>
        <v>0</v>
      </c>
      <c r="Q11" s="51">
        <f>'01'!Q12+'02'!Q12+'03'!Q12+'04'!Q12+'05'!Q12+'06'!Q12+'07'!Q12+'08'!Q12+'09'!Q12+'10'!Q12+'11'!Q12+'12'!Q12+'13'!Q12+'14'!Q12+'15'!Q12+'16'!Q12+'17'!Q12+'18'!Q12+'19'!Q12+'20'!Q12+'21'!Q12+'22'!Q12+'23'!Q12+'24'!Q12+'25'!Q12+'26'!Q12+'27'!Q12+'28'!Q12+'29'!Q12+'30'!Q12+'31'!Q12</f>
        <v>0</v>
      </c>
      <c r="R11" s="51">
        <f>'01'!R12+'02'!R12+'03'!R12+'04'!R12+'05'!R12+'06'!R12+'07'!R12+'08'!R12+'09'!R12+'10'!R12+'11'!R12+'12'!R12+'13'!R12+'14'!R12+'15'!R12+'16'!R12+'17'!R12+'18'!R12+'19'!R12+'20'!R12+'21'!R12+'22'!R12+'23'!R12+'24'!R12+'25'!R12+'26'!R12+'27'!R12+'28'!R12+'29'!R12+'30'!R12+'31'!R12</f>
        <v>0.18263888888888891</v>
      </c>
      <c r="S11" s="51">
        <f>'01'!S12+'02'!S12+'03'!S12+'04'!S12+'05'!S12+'06'!S12+'07'!S12+'08'!S12+'09'!S12+'10'!S12+'11'!S12+'12'!S12+'13'!S12+'14'!S12+'15'!S12+'16'!S12+'17'!S12+'18'!S12+'19'!S12+'20'!S12+'21'!S12+'22'!S12+'23'!S12+'24'!S12+'25'!S12+'26'!S12+'27'!S12+'28'!S12+'29'!S12+'30'!S12+'31'!S12</f>
        <v>0.53472222222222232</v>
      </c>
      <c r="T11" s="51">
        <f>'01'!T12+'02'!T12+'03'!T12+'04'!T12+'05'!T12+'06'!T12+'07'!T12+'08'!T12+'09'!T12+'10'!T12+'11'!T12+'12'!T12+'13'!T12+'14'!T12+'15'!T12+'16'!T12+'17'!T12+'18'!T12+'19'!T12+'20'!T12+'21'!T12+'22'!T12+'23'!T12+'24'!T12+'25'!T12+'26'!T12+'27'!T12+'28'!T12+'29'!T12+'30'!T12+'31'!T12</f>
        <v>0.78472222222222221</v>
      </c>
      <c r="U11" s="51">
        <f>'01'!U12+'02'!U12+'03'!U12+'04'!U12+'05'!U12+'06'!U12+'07'!U12+'08'!U12+'09'!U12+'10'!U12+'11'!U12+'12'!U12+'13'!U12+'14'!U12+'15'!U12+'16'!U12+'17'!U12+'18'!U12+'19'!U12+'20'!U12+'21'!U12+'22'!U12+'23'!U12+'24'!U12+'25'!U12+'26'!U12+'27'!U12+'28'!U12+'29'!U12+'30'!U12+'31'!U12</f>
        <v>3.9583333333333331E-2</v>
      </c>
      <c r="V11" s="51">
        <f>'01'!V12+'02'!V12+'03'!V12+'04'!V12+'05'!V12+'06'!V12+'07'!V12+'08'!V12+'09'!V12+'10'!V12+'11'!V12+'12'!V12+'13'!V12+'14'!V12+'15'!V12+'16'!V12+'17'!V12+'18'!V12+'19'!V12+'20'!V12+'21'!V12+'22'!V12+'23'!V12+'24'!V12+'25'!V12+'26'!V12+'27'!V12+'28'!V12+'29'!V12+'30'!V12+'31'!V12</f>
        <v>0.11249999999999999</v>
      </c>
      <c r="W11" s="51">
        <f>'01'!W12+'02'!W12+'03'!W12+'04'!W12+'05'!W12+'06'!W12+'07'!W12+'08'!W12+'09'!W12+'10'!W12+'11'!W12+'12'!W12+'13'!W12+'14'!W12+'15'!W12+'16'!W12+'17'!W12+'18'!W12+'19'!W12+'20'!W12+'21'!W12+'22'!W12+'23'!W12+'24'!W12+'25'!W12+'26'!W12+'27'!W12+'28'!W12+'29'!W12+'30'!W12+'31'!W12</f>
        <v>0.29097222222222224</v>
      </c>
      <c r="X11" s="51">
        <f>'01'!X12+'02'!X12+'03'!X12+'04'!X12+'05'!X12+'06'!X12+'07'!X12+'08'!X12+'09'!X12+'10'!X12+'11'!X12+'12'!X12+'13'!X12+'14'!X12+'15'!X12+'16'!X12+'17'!X12+'18'!X12+'19'!X12+'20'!X12+'21'!X12+'22'!X12+'23'!X12+'24'!X12+'25'!X12+'26'!X12+'27'!X12+'28'!X12+'29'!X12+'30'!X12+'31'!X12</f>
        <v>0</v>
      </c>
      <c r="Y11" s="51">
        <f>'01'!Y12+'02'!Y12+'03'!Y12+'04'!Y12+'05'!Y12+'06'!Y12+'07'!Y12+'08'!Y12+'09'!Y12+'10'!Y12+'11'!Y12+'12'!Y12+'13'!Y12+'14'!Y12+'15'!Y12+'16'!Y12+'17'!Y12+'18'!Y12+'19'!Y12+'20'!Y12+'21'!Y12+'22'!Y12+'23'!Y12+'24'!Y12+'25'!Y12+'26'!Y12+'27'!Y12+'28'!Y12+'29'!Y12+'30'!Y12+'31'!Y12</f>
        <v>0</v>
      </c>
      <c r="Z11" s="51">
        <f>'01'!Z12+'02'!Z12+'03'!Z12+'04'!Z12+'05'!Z12+'06'!Z12+'07'!Z12+'08'!Z12+'09'!Z12+'10'!Z12+'11'!Z12+'12'!Z12+'13'!Z12+'14'!Z12+'15'!Z12+'16'!Z12+'17'!Z12+'18'!Z12+'19'!Z12+'20'!Z12+'21'!Z12+'22'!Z12+'23'!Z12+'24'!Z12+'25'!Z12+'26'!Z12+'27'!Z12+'28'!Z12+'29'!Z12+'30'!Z12+'31'!Z12</f>
        <v>7.2222222222222229E-2</v>
      </c>
      <c r="AA11" s="51">
        <f t="shared" si="1"/>
        <v>3.7965277777777779</v>
      </c>
    </row>
    <row r="12" spans="1:27" x14ac:dyDescent="0.25">
      <c r="A12" s="164"/>
      <c r="B12" s="7" t="s">
        <v>34</v>
      </c>
      <c r="C12" s="8"/>
      <c r="D12" s="8"/>
      <c r="E12" s="8"/>
      <c r="F12" s="8"/>
      <c r="G12" s="8"/>
      <c r="H12" s="8"/>
      <c r="I12" s="8"/>
      <c r="J12" s="51">
        <f>'01'!J13+'02'!J13+'03'!J13+'04'!J13+'05'!J13+'06'!J13+'07'!J13+'08'!J13+'09'!J13+'10'!J13+'11'!J13+'12'!J13+'13'!J13+'14'!J13+'15'!J13+'16'!J13+'17'!J13+'18'!J13+'19'!J13+'20'!J13+'21'!J13+'22'!J13+'23'!J13+'24'!J13+'25'!J13+'26'!J13+'27'!J13+'28'!J13+'29'!J13+'30'!J13+'31'!J13</f>
        <v>0.77708333333333335</v>
      </c>
      <c r="K12" s="51">
        <f>'01'!K13+'02'!K13+'03'!K13+'04'!K13+'05'!K13+'06'!K13+'07'!K13+'08'!K13+'09'!K13+'10'!K13+'11'!K13+'12'!K13+'13'!K13+'14'!K13+'15'!K13+'16'!K13+'17'!K13+'18'!K13+'19'!K13+'20'!K13+'21'!K13+'22'!K13+'23'!K13+'24'!K13+'25'!K13+'26'!K13+'27'!K13+'28'!K13+'29'!K13+'30'!K13+'31'!K13</f>
        <v>7.5000000000000011E-2</v>
      </c>
      <c r="L12" s="51">
        <f>'01'!L13+'02'!L13+'03'!L13+'04'!L13+'05'!L13+'06'!L13+'07'!L13+'08'!L13+'09'!L13+'10'!L13+'11'!L13+'12'!L13+'13'!L13+'14'!L13+'15'!L13+'16'!L13+'17'!L13+'18'!L13+'19'!L13+'20'!L13+'21'!L13+'22'!L13+'23'!L13+'24'!L13+'25'!L13+'26'!L13+'27'!L13+'28'!L13+'29'!L13+'30'!L13+'31'!L13</f>
        <v>3.6111111111111108E-2</v>
      </c>
      <c r="M12" s="51">
        <f>'01'!M13+'02'!M13+'03'!M13+'04'!M13+'05'!M13+'06'!M13+'07'!M13+'08'!M13+'09'!M13+'10'!M13+'11'!M13+'12'!M13+'13'!M13+'14'!M13+'15'!M13+'16'!M13+'17'!M13+'18'!M13+'19'!M13+'20'!M13+'21'!M13+'22'!M13+'23'!M13+'24'!M13+'25'!M13+'26'!M13+'27'!M13+'28'!M13+'29'!M13+'30'!M13+'31'!M13</f>
        <v>0.13125000000000001</v>
      </c>
      <c r="N12" s="51">
        <f>'01'!N13+'02'!N13+'03'!N13+'04'!N13+'05'!N13+'06'!N13+'07'!N13+'08'!N13+'09'!N13+'10'!N13+'11'!N13+'12'!N13+'13'!N13+'14'!N13+'15'!N13+'16'!N13+'17'!N13+'18'!N13+'19'!N13+'20'!N13+'21'!N13+'22'!N13+'23'!N13+'24'!N13+'25'!N13+'26'!N13+'27'!N13+'28'!N13+'29'!N13+'30'!N13+'31'!N13</f>
        <v>0.12708333333333335</v>
      </c>
      <c r="O12" s="51">
        <f>'01'!O13+'02'!O13+'03'!O13+'04'!O13+'05'!O13+'06'!O13+'07'!O13+'08'!O13+'09'!O13+'10'!O13+'11'!O13+'12'!O13+'13'!O13+'14'!O13+'15'!O13+'16'!O13+'17'!O13+'18'!O13+'19'!O13+'20'!O13+'21'!O13+'22'!O13+'23'!O13+'24'!O13+'25'!O13+'26'!O13+'27'!O13+'28'!O13+'29'!O13+'30'!O13+'31'!O13</f>
        <v>0</v>
      </c>
      <c r="P12" s="51">
        <f>'01'!P13+'02'!P13+'03'!P13+'04'!P13+'05'!P13+'06'!P13+'07'!P13+'08'!P13+'09'!P13+'10'!P13+'11'!P13+'12'!P13+'13'!P13+'14'!P13+'15'!P13+'16'!P13+'17'!P13+'18'!P13+'19'!P13+'20'!P13+'21'!P13+'22'!P13+'23'!P13+'24'!P13+'25'!P13+'26'!P13+'27'!P13+'28'!P13+'29'!P13+'30'!P13+'31'!P13</f>
        <v>0</v>
      </c>
      <c r="Q12" s="51">
        <f>'01'!Q13+'02'!Q13+'03'!Q13+'04'!Q13+'05'!Q13+'06'!Q13+'07'!Q13+'08'!Q13+'09'!Q13+'10'!Q13+'11'!Q13+'12'!Q13+'13'!Q13+'14'!Q13+'15'!Q13+'16'!Q13+'17'!Q13+'18'!Q13+'19'!Q13+'20'!Q13+'21'!Q13+'22'!Q13+'23'!Q13+'24'!Q13+'25'!Q13+'26'!Q13+'27'!Q13+'28'!Q13+'29'!Q13+'30'!Q13+'31'!Q13</f>
        <v>0</v>
      </c>
      <c r="R12" s="51">
        <f>'01'!R13+'02'!R13+'03'!R13+'04'!R13+'05'!R13+'06'!R13+'07'!R13+'08'!R13+'09'!R13+'10'!R13+'11'!R13+'12'!R13+'13'!R13+'14'!R13+'15'!R13+'16'!R13+'17'!R13+'18'!R13+'19'!R13+'20'!R13+'21'!R13+'22'!R13+'23'!R13+'24'!R13+'25'!R13+'26'!R13+'27'!R13+'28'!R13+'29'!R13+'30'!R13+'31'!R13</f>
        <v>0.14652777777777778</v>
      </c>
      <c r="S12" s="51">
        <f>'01'!S13+'02'!S13+'03'!S13+'04'!S13+'05'!S13+'06'!S13+'07'!S13+'08'!S13+'09'!S13+'10'!S13+'11'!S13+'12'!S13+'13'!S13+'14'!S13+'15'!S13+'16'!S13+'17'!S13+'18'!S13+'19'!S13+'20'!S13+'21'!S13+'22'!S13+'23'!S13+'24'!S13+'25'!S13+'26'!S13+'27'!S13+'28'!S13+'29'!S13+'30'!S13+'31'!S13</f>
        <v>0.53750000000000009</v>
      </c>
      <c r="T12" s="51">
        <f>'01'!T13+'02'!T13+'03'!T13+'04'!T13+'05'!T13+'06'!T13+'07'!T13+'08'!T13+'09'!T13+'10'!T13+'11'!T13+'12'!T13+'13'!T13+'14'!T13+'15'!T13+'16'!T13+'17'!T13+'18'!T13+'19'!T13+'20'!T13+'21'!T13+'22'!T13+'23'!T13+'24'!T13+'25'!T13+'26'!T13+'27'!T13+'28'!T13+'29'!T13+'30'!T13+'31'!T13</f>
        <v>0.83750000000000013</v>
      </c>
      <c r="U12" s="51">
        <f>'01'!U13+'02'!U13+'03'!U13+'04'!U13+'05'!U13+'06'!U13+'07'!U13+'08'!U13+'09'!U13+'10'!U13+'11'!U13+'12'!U13+'13'!U13+'14'!U13+'15'!U13+'16'!U13+'17'!U13+'18'!U13+'19'!U13+'20'!U13+'21'!U13+'22'!U13+'23'!U13+'24'!U13+'25'!U13+'26'!U13+'27'!U13+'28'!U13+'29'!U13+'30'!U13+'31'!U13</f>
        <v>2.7777777777777779E-3</v>
      </c>
      <c r="V12" s="51">
        <f>'01'!V13+'02'!V13+'03'!V13+'04'!V13+'05'!V13+'06'!V13+'07'!V13+'08'!V13+'09'!V13+'10'!V13+'11'!V13+'12'!V13+'13'!V13+'14'!V13+'15'!V13+'16'!V13+'17'!V13+'18'!V13+'19'!V13+'20'!V13+'21'!V13+'22'!V13+'23'!V13+'24'!V13+'25'!V13+'26'!V13+'27'!V13+'28'!V13+'29'!V13+'30'!V13+'31'!V13</f>
        <v>0.22222222222222224</v>
      </c>
      <c r="W12" s="51">
        <f>'01'!W13+'02'!W13+'03'!W13+'04'!W13+'05'!W13+'06'!W13+'07'!W13+'08'!W13+'09'!W13+'10'!W13+'11'!W13+'12'!W13+'13'!W13+'14'!W13+'15'!W13+'16'!W13+'17'!W13+'18'!W13+'19'!W13+'20'!W13+'21'!W13+'22'!W13+'23'!W13+'24'!W13+'25'!W13+'26'!W13+'27'!W13+'28'!W13+'29'!W13+'30'!W13+'31'!W13</f>
        <v>0.2673611111111111</v>
      </c>
      <c r="X12" s="51">
        <f>'01'!X13+'02'!X13+'03'!X13+'04'!X13+'05'!X13+'06'!X13+'07'!X13+'08'!X13+'09'!X13+'10'!X13+'11'!X13+'12'!X13+'13'!X13+'14'!X13+'15'!X13+'16'!X13+'17'!X13+'18'!X13+'19'!X13+'20'!X13+'21'!X13+'22'!X13+'23'!X13+'24'!X13+'25'!X13+'26'!X13+'27'!X13+'28'!X13+'29'!X13+'30'!X13+'31'!X13</f>
        <v>0</v>
      </c>
      <c r="Y12" s="51">
        <f>'01'!Y13+'02'!Y13+'03'!Y13+'04'!Y13+'05'!Y13+'06'!Y13+'07'!Y13+'08'!Y13+'09'!Y13+'10'!Y13+'11'!Y13+'12'!Y13+'13'!Y13+'14'!Y13+'15'!Y13+'16'!Y13+'17'!Y13+'18'!Y13+'19'!Y13+'20'!Y13+'21'!Y13+'22'!Y13+'23'!Y13+'24'!Y13+'25'!Y13+'26'!Y13+'27'!Y13+'28'!Y13+'29'!Y13+'30'!Y13+'31'!Y13</f>
        <v>0</v>
      </c>
      <c r="Z12" s="51">
        <f>'01'!Z13+'02'!Z13+'03'!Z13+'04'!Z13+'05'!Z13+'06'!Z13+'07'!Z13+'08'!Z13+'09'!Z13+'10'!Z13+'11'!Z13+'12'!Z13+'13'!Z13+'14'!Z13+'15'!Z13+'16'!Z13+'17'!Z13+'18'!Z13+'19'!Z13+'20'!Z13+'21'!Z13+'22'!Z13+'23'!Z13+'24'!Z13+'25'!Z13+'26'!Z13+'27'!Z13+'28'!Z13+'29'!Z13+'30'!Z13+'31'!Z13</f>
        <v>4.2361111111111113E-2</v>
      </c>
      <c r="AA12" s="51">
        <f t="shared" si="1"/>
        <v>3.2027777777777784</v>
      </c>
    </row>
    <row r="13" spans="1:27" x14ac:dyDescent="0.25">
      <c r="A13" s="165"/>
      <c r="B13" s="21" t="s">
        <v>35</v>
      </c>
      <c r="C13" s="22"/>
      <c r="D13" s="22"/>
      <c r="E13" s="22"/>
      <c r="F13" s="22"/>
      <c r="G13" s="22"/>
      <c r="H13" s="22"/>
      <c r="I13" s="22"/>
      <c r="J13" s="52">
        <f>'01'!J14+'02'!J14+'03'!J14+'04'!J14+'05'!J14+'06'!J14+'07'!J14+'08'!J14+'09'!J14+'10'!J14+'11'!J14+'12'!J14+'13'!J14+'14'!J14+'15'!J14+'16'!J14+'17'!J14+'18'!J14+'19'!J14+'20'!J14+'21'!J14+'22'!J14+'23'!J14+'24'!J14+'25'!J14+'26'!J14+'27'!J14+'28'!J14+'29'!J14+'30'!J14+'31'!J14</f>
        <v>1.1243055555555554</v>
      </c>
      <c r="K13" s="52">
        <f>'01'!K14+'02'!K14+'03'!K14+'04'!K14+'05'!K14+'06'!K14+'07'!K14+'08'!K14+'09'!K14+'10'!K14+'11'!K14+'12'!K14+'13'!K14+'14'!K14+'15'!K14+'16'!K14+'17'!K14+'18'!K14+'19'!K14+'20'!K14+'21'!K14+'22'!K14+'23'!K14+'24'!K14+'25'!K14+'26'!K14+'27'!K14+'28'!K14+'29'!K14+'30'!K14+'31'!K14</f>
        <v>9.0972222222222218E-2</v>
      </c>
      <c r="L13" s="52">
        <f>'01'!L14+'02'!L14+'03'!L14+'04'!L14+'05'!L14+'06'!L14+'07'!L14+'08'!L14+'09'!L14+'10'!L14+'11'!L14+'12'!L14+'13'!L14+'14'!L14+'15'!L14+'16'!L14+'17'!L14+'18'!L14+'19'!L14+'20'!L14+'21'!L14+'22'!L14+'23'!L14+'24'!L14+'25'!L14+'26'!L14+'27'!L14+'28'!L14+'29'!L14+'30'!L14+'31'!L14</f>
        <v>0</v>
      </c>
      <c r="M13" s="52">
        <f>'01'!M14+'02'!M14+'03'!M14+'04'!M14+'05'!M14+'06'!M14+'07'!M14+'08'!M14+'09'!M14+'10'!M14+'11'!M14+'12'!M14+'13'!M14+'14'!M14+'15'!M14+'16'!M14+'17'!M14+'18'!M14+'19'!M14+'20'!M14+'21'!M14+'22'!M14+'23'!M14+'24'!M14+'25'!M14+'26'!M14+'27'!M14+'28'!M14+'29'!M14+'30'!M14+'31'!M14</f>
        <v>0.1236111111111111</v>
      </c>
      <c r="N13" s="52">
        <f>'01'!N14+'02'!N14+'03'!N14+'04'!N14+'05'!N14+'06'!N14+'07'!N14+'08'!N14+'09'!N14+'10'!N14+'11'!N14+'12'!N14+'13'!N14+'14'!N14+'15'!N14+'16'!N14+'17'!N14+'18'!N14+'19'!N14+'20'!N14+'21'!N14+'22'!N14+'23'!N14+'24'!N14+'25'!N14+'26'!N14+'27'!N14+'28'!N14+'29'!N14+'30'!N14+'31'!N14</f>
        <v>0.1076388888888889</v>
      </c>
      <c r="O13" s="52">
        <f>'01'!O14+'02'!O14+'03'!O14+'04'!O14+'05'!O14+'06'!O14+'07'!O14+'08'!O14+'09'!O14+'10'!O14+'11'!O14+'12'!O14+'13'!O14+'14'!O14+'15'!O14+'16'!O14+'17'!O14+'18'!O14+'19'!O14+'20'!O14+'21'!O14+'22'!O14+'23'!O14+'24'!O14+'25'!O14+'26'!O14+'27'!O14+'28'!O14+'29'!O14+'30'!O14+'31'!O14</f>
        <v>0</v>
      </c>
      <c r="P13" s="52">
        <f>'01'!P14+'02'!P14+'03'!P14+'04'!P14+'05'!P14+'06'!P14+'07'!P14+'08'!P14+'09'!P14+'10'!P14+'11'!P14+'12'!P14+'13'!P14+'14'!P14+'15'!P14+'16'!P14+'17'!P14+'18'!P14+'19'!P14+'20'!P14+'21'!P14+'22'!P14+'23'!P14+'24'!P14+'25'!P14+'26'!P14+'27'!P14+'28'!P14+'29'!P14+'30'!P14+'31'!P14</f>
        <v>4.3055555555555555E-2</v>
      </c>
      <c r="Q13" s="52">
        <f>'01'!Q14+'02'!Q14+'03'!Q14+'04'!Q14+'05'!Q14+'06'!Q14+'07'!Q14+'08'!Q14+'09'!Q14+'10'!Q14+'11'!Q14+'12'!Q14+'13'!Q14+'14'!Q14+'15'!Q14+'16'!Q14+'17'!Q14+'18'!Q14+'19'!Q14+'20'!Q14+'21'!Q14+'22'!Q14+'23'!Q14+'24'!Q14+'25'!Q14+'26'!Q14+'27'!Q14+'28'!Q14+'29'!Q14+'30'!Q14+'31'!Q14</f>
        <v>0</v>
      </c>
      <c r="R13" s="52">
        <f>'01'!R14+'02'!R14+'03'!R14+'04'!R14+'05'!R14+'06'!R14+'07'!R14+'08'!R14+'09'!R14+'10'!R14+'11'!R14+'12'!R14+'13'!R14+'14'!R14+'15'!R14+'16'!R14+'17'!R14+'18'!R14+'19'!R14+'20'!R14+'21'!R14+'22'!R14+'23'!R14+'24'!R14+'25'!R14+'26'!R14+'27'!R14+'28'!R14+'29'!R14+'30'!R14+'31'!R14</f>
        <v>6.1805555555555551E-2</v>
      </c>
      <c r="S13" s="52">
        <f>'01'!S14+'02'!S14+'03'!S14+'04'!S14+'05'!S14+'06'!S14+'07'!S14+'08'!S14+'09'!S14+'10'!S14+'11'!S14+'12'!S14+'13'!S14+'14'!S14+'15'!S14+'16'!S14+'17'!S14+'18'!S14+'19'!S14+'20'!S14+'21'!S14+'22'!S14+'23'!S14+'24'!S14+'25'!S14+'26'!S14+'27'!S14+'28'!S14+'29'!S14+'30'!S14+'31'!S14</f>
        <v>0.24375000000000002</v>
      </c>
      <c r="T13" s="52">
        <f>'01'!T14+'02'!T14+'03'!T14+'04'!T14+'05'!T14+'06'!T14+'07'!T14+'08'!T14+'09'!T14+'10'!T14+'11'!T14+'12'!T14+'13'!T14+'14'!T14+'15'!T14+'16'!T14+'17'!T14+'18'!T14+'19'!T14+'20'!T14+'21'!T14+'22'!T14+'23'!T14+'24'!T14+'25'!T14+'26'!T14+'27'!T14+'28'!T14+'29'!T14+'30'!T14+'31'!T14</f>
        <v>0.27847222222222223</v>
      </c>
      <c r="U13" s="52">
        <f>'01'!U14+'02'!U14+'03'!U14+'04'!U14+'05'!U14+'06'!U14+'07'!U14+'08'!U14+'09'!U14+'10'!U14+'11'!U14+'12'!U14+'13'!U14+'14'!U14+'15'!U14+'16'!U14+'17'!U14+'18'!U14+'19'!U14+'20'!U14+'21'!U14+'22'!U14+'23'!U14+'24'!U14+'25'!U14+'26'!U14+'27'!U14+'28'!U14+'29'!U14+'30'!U14+'31'!U14</f>
        <v>1.4583333333333334E-2</v>
      </c>
      <c r="V13" s="52">
        <f>'01'!V14+'02'!V14+'03'!V14+'04'!V14+'05'!V14+'06'!V14+'07'!V14+'08'!V14+'09'!V14+'10'!V14+'11'!V14+'12'!V14+'13'!V14+'14'!V14+'15'!V14+'16'!V14+'17'!V14+'18'!V14+'19'!V14+'20'!V14+'21'!V14+'22'!V14+'23'!V14+'24'!V14+'25'!V14+'26'!V14+'27'!V14+'28'!V14+'29'!V14+'30'!V14+'31'!V14</f>
        <v>1.3006944444444446</v>
      </c>
      <c r="W13" s="52">
        <f>'01'!W14+'02'!W14+'03'!W14+'04'!W14+'05'!W14+'06'!W14+'07'!W14+'08'!W14+'09'!W14+'10'!W14+'11'!W14+'12'!W14+'13'!W14+'14'!W14+'15'!W14+'16'!W14+'17'!W14+'18'!W14+'19'!W14+'20'!W14+'21'!W14+'22'!W14+'23'!W14+'24'!W14+'25'!W14+'26'!W14+'27'!W14+'28'!W14+'29'!W14+'30'!W14+'31'!W14</f>
        <v>0.50277777777777777</v>
      </c>
      <c r="X13" s="52">
        <f>'01'!X14+'02'!X14+'03'!X14+'04'!X14+'05'!X14+'06'!X14+'07'!X14+'08'!X14+'09'!X14+'10'!X14+'11'!X14+'12'!X14+'13'!X14+'14'!X14+'15'!X14+'16'!X14+'17'!X14+'18'!X14+'19'!X14+'20'!X14+'21'!X14+'22'!X14+'23'!X14+'24'!X14+'25'!X14+'26'!X14+'27'!X14+'28'!X14+'29'!X14+'30'!X14+'31'!X14</f>
        <v>0</v>
      </c>
      <c r="Y13" s="52">
        <f>'01'!Y14+'02'!Y14+'03'!Y14+'04'!Y14+'05'!Y14+'06'!Y14+'07'!Y14+'08'!Y14+'09'!Y14+'10'!Y14+'11'!Y14+'12'!Y14+'13'!Y14+'14'!Y14+'15'!Y14+'16'!Y14+'17'!Y14+'18'!Y14+'19'!Y14+'20'!Y14+'21'!Y14+'22'!Y14+'23'!Y14+'24'!Y14+'25'!Y14+'26'!Y14+'27'!Y14+'28'!Y14+'29'!Y14+'30'!Y14+'31'!Y14</f>
        <v>0</v>
      </c>
      <c r="Z13" s="52">
        <f>'01'!Z14+'02'!Z14+'03'!Z14+'04'!Z14+'05'!Z14+'06'!Z14+'07'!Z14+'08'!Z14+'09'!Z14+'10'!Z14+'11'!Z14+'12'!Z14+'13'!Z14+'14'!Z14+'15'!Z14+'16'!Z14+'17'!Z14+'18'!Z14+'19'!Z14+'20'!Z14+'21'!Z14+'22'!Z14+'23'!Z14+'24'!Z14+'25'!Z14+'26'!Z14+'27'!Z14+'28'!Z14+'29'!Z14+'30'!Z14+'31'!Z14</f>
        <v>2.1527777777777778E-2</v>
      </c>
      <c r="AA13" s="51">
        <f t="shared" si="1"/>
        <v>3.9131944444444446</v>
      </c>
    </row>
    <row r="14" spans="1:27" x14ac:dyDescent="0.25">
      <c r="A14" s="163" t="s">
        <v>36</v>
      </c>
      <c r="B14" s="152" t="s">
        <v>30</v>
      </c>
      <c r="C14" s="29"/>
      <c r="D14" s="29"/>
      <c r="E14" s="29"/>
      <c r="F14" s="29"/>
      <c r="G14" s="29"/>
      <c r="H14" s="29"/>
      <c r="I14" s="29"/>
      <c r="J14" s="49">
        <f>'01'!J15+'02'!J15+'03'!J15+'04'!J15+'05'!J15+'06'!J15+'07'!J15+'08'!J15+'09'!J15+'10'!J15+'11'!J15+'12'!J15+'13'!J15+'14'!J15+'15'!J15+'16'!J15+'17'!J15+'18'!J15+'19'!J15+'20'!J15+'21'!J15+'22'!J15+'23'!J15+'24'!J15+'25'!J15+'26'!J15+'27'!J15+'28'!J15+'29'!J15+'30'!J15+'31'!J15</f>
        <v>3.4930555555555558</v>
      </c>
      <c r="K14" s="49">
        <f>'01'!K15+'02'!K15+'03'!K15+'04'!K15+'05'!K15+'06'!K15+'07'!K15+'08'!K15+'09'!K15+'10'!K15+'11'!K15+'12'!K15+'13'!K15+'14'!K15+'15'!K15+'16'!K15+'17'!K15+'18'!K15+'19'!K15+'20'!K15+'21'!K15+'22'!K15+'23'!K15+'24'!K15+'25'!K15+'26'!K15+'27'!K15+'28'!K15+'29'!K15+'30'!K15+'31'!K15</f>
        <v>4.9305555555555554E-2</v>
      </c>
      <c r="L14" s="49">
        <f>'01'!L15+'02'!L15+'03'!L15+'04'!L15+'05'!L15+'06'!L15+'07'!L15+'08'!L15+'09'!L15+'10'!L15+'11'!L15+'12'!L15+'13'!L15+'14'!L15+'15'!L15+'16'!L15+'17'!L15+'18'!L15+'19'!L15+'20'!L15+'21'!L15+'22'!L15+'23'!L15+'24'!L15+'25'!L15+'26'!L15+'27'!L15+'28'!L15+'29'!L15+'30'!L15+'31'!L15</f>
        <v>5.5555555555555558E-3</v>
      </c>
      <c r="M14" s="49">
        <f>'01'!M15+'02'!M15+'03'!M15+'04'!M15+'05'!M15+'06'!M15+'07'!M15+'08'!M15+'09'!M15+'10'!M15+'11'!M15+'12'!M15+'13'!M15+'14'!M15+'15'!M15+'16'!M15+'17'!M15+'18'!M15+'19'!M15+'20'!M15+'21'!M15+'22'!M15+'23'!M15+'24'!M15+'25'!M15+'26'!M15+'27'!M15+'28'!M15+'29'!M15+'30'!M15+'31'!M15</f>
        <v>4.1666666666666664E-2</v>
      </c>
      <c r="N14" s="49">
        <f>'01'!N15+'02'!N15+'03'!N15+'04'!N15+'05'!N15+'06'!N15+'07'!N15+'08'!N15+'09'!N15+'10'!N15+'11'!N15+'12'!N15+'13'!N15+'14'!N15+'15'!N15+'16'!N15+'17'!N15+'18'!N15+'19'!N15+'20'!N15+'21'!N15+'22'!N15+'23'!N15+'24'!N15+'25'!N15+'26'!N15+'27'!N15+'28'!N15+'29'!N15+'30'!N15+'31'!N15</f>
        <v>4.9305555555555554E-2</v>
      </c>
      <c r="O14" s="49">
        <f>'01'!O15+'02'!O15+'03'!O15+'04'!O15+'05'!O15+'06'!O15+'07'!O15+'08'!O15+'09'!O15+'10'!O15+'11'!O15+'12'!O15+'13'!O15+'14'!O15+'15'!O15+'16'!O15+'17'!O15+'18'!O15+'19'!O15+'20'!O15+'21'!O15+'22'!O15+'23'!O15+'24'!O15+'25'!O15+'26'!O15+'27'!O15+'28'!O15+'29'!O15+'30'!O15+'31'!O15</f>
        <v>0</v>
      </c>
      <c r="P14" s="49">
        <f>'01'!P15+'02'!P15+'03'!P15+'04'!P15+'05'!P15+'06'!P15+'07'!P15+'08'!P15+'09'!P15+'10'!P15+'11'!P15+'12'!P15+'13'!P15+'14'!P15+'15'!P15+'16'!P15+'17'!P15+'18'!P15+'19'!P15+'20'!P15+'21'!P15+'22'!P15+'23'!P15+'24'!P15+'25'!P15+'26'!P15+'27'!P15+'28'!P15+'29'!P15+'30'!P15+'31'!P15</f>
        <v>6.0416666666666667E-2</v>
      </c>
      <c r="Q14" s="49">
        <f>'01'!Q15+'02'!Q15+'03'!Q15+'04'!Q15+'05'!Q15+'06'!Q15+'07'!Q15+'08'!Q15+'09'!Q15+'10'!Q15+'11'!Q15+'12'!Q15+'13'!Q15+'14'!Q15+'15'!Q15+'16'!Q15+'17'!Q15+'18'!Q15+'19'!Q15+'20'!Q15+'21'!Q15+'22'!Q15+'23'!Q15+'24'!Q15+'25'!Q15+'26'!Q15+'27'!Q15+'28'!Q15+'29'!Q15+'30'!Q15+'31'!Q15</f>
        <v>0</v>
      </c>
      <c r="R14" s="49">
        <f>'01'!R15+'02'!R15+'03'!R15+'04'!R15+'05'!R15+'06'!R15+'07'!R15+'08'!R15+'09'!R15+'10'!R15+'11'!R15+'12'!R15+'13'!R15+'14'!R15+'15'!R15+'16'!R15+'17'!R15+'18'!R15+'19'!R15+'20'!R15+'21'!R15+'22'!R15+'23'!R15+'24'!R15+'25'!R15+'26'!R15+'27'!R15+'28'!R15+'29'!R15+'30'!R15+'31'!R15</f>
        <v>0</v>
      </c>
      <c r="S14" s="49">
        <f>'01'!S15+'02'!S15+'03'!S15+'04'!S15+'05'!S15+'06'!S15+'07'!S15+'08'!S15+'09'!S15+'10'!S15+'11'!S15+'12'!S15+'13'!S15+'14'!S15+'15'!S15+'16'!S15+'17'!S15+'18'!S15+'19'!S15+'20'!S15+'21'!S15+'22'!S15+'23'!S15+'24'!S15+'25'!S15+'26'!S15+'27'!S15+'28'!S15+'29'!S15+'30'!S15+'31'!S15</f>
        <v>1.7750000000000004</v>
      </c>
      <c r="T14" s="49">
        <f>'01'!T15+'02'!T15+'03'!T15+'04'!T15+'05'!T15+'06'!T15+'07'!T15+'08'!T15+'09'!T15+'10'!T15+'11'!T15+'12'!T15+'13'!T15+'14'!T15+'15'!T15+'16'!T15+'17'!T15+'18'!T15+'19'!T15+'20'!T15+'21'!T15+'22'!T15+'23'!T15+'24'!T15+'25'!T15+'26'!T15+'27'!T15+'28'!T15+'29'!T15+'30'!T15+'31'!T15</f>
        <v>0.77083333333333315</v>
      </c>
      <c r="U14" s="49">
        <f>'01'!U15+'02'!U15+'03'!U15+'04'!U15+'05'!U15+'06'!U15+'07'!U15+'08'!U15+'09'!U15+'10'!U15+'11'!U15+'12'!U15+'13'!U15+'14'!U15+'15'!U15+'16'!U15+'17'!U15+'18'!U15+'19'!U15+'20'!U15+'21'!U15+'22'!U15+'23'!U15+'24'!U15+'25'!U15+'26'!U15+'27'!U15+'28'!U15+'29'!U15+'30'!U15+'31'!U15</f>
        <v>0</v>
      </c>
      <c r="V14" s="49">
        <f>'01'!V15+'02'!V15+'03'!V15+'04'!V15+'05'!V15+'06'!V15+'07'!V15+'08'!V15+'09'!V15+'10'!V15+'11'!V15+'12'!V15+'13'!V15+'14'!V15+'15'!V15+'16'!V15+'17'!V15+'18'!V15+'19'!V15+'20'!V15+'21'!V15+'22'!V15+'23'!V15+'24'!V15+'25'!V15+'26'!V15+'27'!V15+'28'!V15+'29'!V15+'30'!V15+'31'!V15</f>
        <v>0.12847222222222224</v>
      </c>
      <c r="W14" s="49">
        <f>'01'!W15+'02'!W15+'03'!W15+'04'!W15+'05'!W15+'06'!W15+'07'!W15+'08'!W15+'09'!W15+'10'!W15+'11'!W15+'12'!W15+'13'!W15+'14'!W15+'15'!W15+'16'!W15+'17'!W15+'18'!W15+'19'!W15+'20'!W15+'21'!W15+'22'!W15+'23'!W15+'24'!W15+'25'!W15+'26'!W15+'27'!W15+'28'!W15+'29'!W15+'30'!W15+'31'!W15</f>
        <v>0.15069444444444444</v>
      </c>
      <c r="X14" s="49">
        <f>'01'!X15+'02'!X15+'03'!X15+'04'!X15+'05'!X15+'06'!X15+'07'!X15+'08'!X15+'09'!X15+'10'!X15+'11'!X15+'12'!X15+'13'!X15+'14'!X15+'15'!X15+'16'!X15+'17'!X15+'18'!X15+'19'!X15+'20'!X15+'21'!X15+'22'!X15+'23'!X15+'24'!X15+'25'!X15+'26'!X15+'27'!X15+'28'!X15+'29'!X15+'30'!X15+'31'!X15</f>
        <v>0.15694444444444444</v>
      </c>
      <c r="Y14" s="49">
        <f>'01'!Y15+'02'!Y15+'03'!Y15+'04'!Y15+'05'!Y15+'06'!Y15+'07'!Y15+'08'!Y15+'09'!Y15+'10'!Y15+'11'!Y15+'12'!Y15+'13'!Y15+'14'!Y15+'15'!Y15+'16'!Y15+'17'!Y15+'18'!Y15+'19'!Y15+'20'!Y15+'21'!Y15+'22'!Y15+'23'!Y15+'24'!Y15+'25'!Y15+'26'!Y15+'27'!Y15+'28'!Y15+'29'!Y15+'30'!Y15+'31'!Y15</f>
        <v>0</v>
      </c>
      <c r="Z14" s="49">
        <f>'01'!Z15+'02'!Z15+'03'!Z15+'04'!Z15+'05'!Z15+'06'!Z15+'07'!Z15+'08'!Z15+'09'!Z15+'10'!Z15+'11'!Z15+'12'!Z15+'13'!Z15+'14'!Z15+'15'!Z15+'16'!Z15+'17'!Z15+'18'!Z15+'19'!Z15+'20'!Z15+'21'!Z15+'22'!Z15+'23'!Z15+'24'!Z15+'25'!Z15+'26'!Z15+'27'!Z15+'28'!Z15+'29'!Z15+'30'!Z15+'31'!Z15</f>
        <v>0</v>
      </c>
      <c r="AA14" s="49">
        <f t="shared" si="0"/>
        <v>6.6812500000000004</v>
      </c>
    </row>
    <row r="15" spans="1:27" x14ac:dyDescent="0.25">
      <c r="A15" s="164"/>
      <c r="B15" s="153" t="s">
        <v>31</v>
      </c>
      <c r="C15" s="8"/>
      <c r="D15" s="8"/>
      <c r="E15" s="8"/>
      <c r="F15" s="8"/>
      <c r="G15" s="8"/>
      <c r="H15" s="8"/>
      <c r="I15" s="8"/>
      <c r="J15" s="51">
        <f>'01'!J16+'02'!J16+'03'!J16+'04'!J16+'05'!J16+'06'!J16+'07'!J16+'08'!J16+'09'!J16+'10'!J16+'11'!J16+'12'!J16+'13'!J16+'14'!J16+'15'!J16+'16'!J16+'17'!J16+'18'!J16+'19'!J16+'20'!J16+'21'!J16+'22'!J16+'23'!J16+'24'!J16+'25'!J16+'26'!J16+'27'!J16+'28'!J16+'29'!J16+'30'!J16+'31'!J16</f>
        <v>1.7909722222222222</v>
      </c>
      <c r="K15" s="51">
        <f>'01'!K16+'02'!K16+'03'!K16+'04'!K16+'05'!K16+'06'!K16+'07'!K16+'08'!K16+'09'!K16+'10'!K16+'11'!K16+'12'!K16+'13'!K16+'14'!K16+'15'!K16+'16'!K16+'17'!K16+'18'!K16+'19'!K16+'20'!K16+'21'!K16+'22'!K16+'23'!K16+'24'!K16+'25'!K16+'26'!K16+'27'!K16+'28'!K16+'29'!K16+'30'!K16+'31'!K16</f>
        <v>4.0972222222222215E-2</v>
      </c>
      <c r="L15" s="51">
        <f>'01'!L16+'02'!L16+'03'!L16+'04'!L16+'05'!L16+'06'!L16+'07'!L16+'08'!L16+'09'!L16+'10'!L16+'11'!L16+'12'!L16+'13'!L16+'14'!L16+'15'!L16+'16'!L16+'17'!L16+'18'!L16+'19'!L16+'20'!L16+'21'!L16+'22'!L16+'23'!L16+'24'!L16+'25'!L16+'26'!L16+'27'!L16+'28'!L16+'29'!L16+'30'!L16+'31'!L16</f>
        <v>9.0277777777777787E-3</v>
      </c>
      <c r="M15" s="51">
        <f>'01'!M16+'02'!M16+'03'!M16+'04'!M16+'05'!M16+'06'!M16+'07'!M16+'08'!M16+'09'!M16+'10'!M16+'11'!M16+'12'!M16+'13'!M16+'14'!M16+'15'!M16+'16'!M16+'17'!M16+'18'!M16+'19'!M16+'20'!M16+'21'!M16+'22'!M16+'23'!M16+'24'!M16+'25'!M16+'26'!M16+'27'!M16+'28'!M16+'29'!M16+'30'!M16+'31'!M16</f>
        <v>8.5416666666666655E-2</v>
      </c>
      <c r="N15" s="51">
        <f>'01'!N16+'02'!N16+'03'!N16+'04'!N16+'05'!N16+'06'!N16+'07'!N16+'08'!N16+'09'!N16+'10'!N16+'11'!N16+'12'!N16+'13'!N16+'14'!N16+'15'!N16+'16'!N16+'17'!N16+'18'!N16+'19'!N16+'20'!N16+'21'!N16+'22'!N16+'23'!N16+'24'!N16+'25'!N16+'26'!N16+'27'!N16+'28'!N16+'29'!N16+'30'!N16+'31'!N16</f>
        <v>8.1250000000000003E-2</v>
      </c>
      <c r="O15" s="51">
        <f>'01'!O16+'02'!O16+'03'!O16+'04'!O16+'05'!O16+'06'!O16+'07'!O16+'08'!O16+'09'!O16+'10'!O16+'11'!O16+'12'!O16+'13'!O16+'14'!O16+'15'!O16+'16'!O16+'17'!O16+'18'!O16+'19'!O16+'20'!O16+'21'!O16+'22'!O16+'23'!O16+'24'!O16+'25'!O16+'26'!O16+'27'!O16+'28'!O16+'29'!O16+'30'!O16+'31'!O16</f>
        <v>0</v>
      </c>
      <c r="P15" s="51">
        <f>'01'!P16+'02'!P16+'03'!P16+'04'!P16+'05'!P16+'06'!P16+'07'!P16+'08'!P16+'09'!P16+'10'!P16+'11'!P16+'12'!P16+'13'!P16+'14'!P16+'15'!P16+'16'!P16+'17'!P16+'18'!P16+'19'!P16+'20'!P16+'21'!P16+'22'!P16+'23'!P16+'24'!P16+'25'!P16+'26'!P16+'27'!P16+'28'!P16+'29'!P16+'30'!P16+'31'!P16</f>
        <v>0</v>
      </c>
      <c r="Q15" s="51">
        <f>'01'!Q16+'02'!Q16+'03'!Q16+'04'!Q16+'05'!Q16+'06'!Q16+'07'!Q16+'08'!Q16+'09'!Q16+'10'!Q16+'11'!Q16+'12'!Q16+'13'!Q16+'14'!Q16+'15'!Q16+'16'!Q16+'17'!Q16+'18'!Q16+'19'!Q16+'20'!Q16+'21'!Q16+'22'!Q16+'23'!Q16+'24'!Q16+'25'!Q16+'26'!Q16+'27'!Q16+'28'!Q16+'29'!Q16+'30'!Q16+'31'!Q16</f>
        <v>1.0416666666666666E-2</v>
      </c>
      <c r="R15" s="51">
        <f>'01'!R16+'02'!R16+'03'!R16+'04'!R16+'05'!R16+'06'!R16+'07'!R16+'08'!R16+'09'!R16+'10'!R16+'11'!R16+'12'!R16+'13'!R16+'14'!R16+'15'!R16+'16'!R16+'17'!R16+'18'!R16+'19'!R16+'20'!R16+'21'!R16+'22'!R16+'23'!R16+'24'!R16+'25'!R16+'26'!R16+'27'!R16+'28'!R16+'29'!R16+'30'!R16+'31'!R16</f>
        <v>0</v>
      </c>
      <c r="S15" s="51">
        <f>'01'!S16+'02'!S16+'03'!S16+'04'!S16+'05'!S16+'06'!S16+'07'!S16+'08'!S16+'09'!S16+'10'!S16+'11'!S16+'12'!S16+'13'!S16+'14'!S16+'15'!S16+'16'!S16+'17'!S16+'18'!S16+'19'!S16+'20'!S16+'21'!S16+'22'!S16+'23'!S16+'24'!S16+'25'!S16+'26'!S16+'27'!S16+'28'!S16+'29'!S16+'30'!S16+'31'!S16</f>
        <v>1.8493055555555558</v>
      </c>
      <c r="T15" s="51">
        <f>'01'!T16+'02'!T16+'03'!T16+'04'!T16+'05'!T16+'06'!T16+'07'!T16+'08'!T16+'09'!T16+'10'!T16+'11'!T16+'12'!T16+'13'!T16+'14'!T16+'15'!T16+'16'!T16+'17'!T16+'18'!T16+'19'!T16+'20'!T16+'21'!T16+'22'!T16+'23'!T16+'24'!T16+'25'!T16+'26'!T16+'27'!T16+'28'!T16+'29'!T16+'30'!T16+'31'!T16</f>
        <v>0.64444444444444449</v>
      </c>
      <c r="U15" s="51">
        <f>'01'!U16+'02'!U16+'03'!U16+'04'!U16+'05'!U16+'06'!U16+'07'!U16+'08'!U16+'09'!U16+'10'!U16+'11'!U16+'12'!U16+'13'!U16+'14'!U16+'15'!U16+'16'!U16+'17'!U16+'18'!U16+'19'!U16+'20'!U16+'21'!U16+'22'!U16+'23'!U16+'24'!U16+'25'!U16+'26'!U16+'27'!U16+'28'!U16+'29'!U16+'30'!U16+'31'!U16</f>
        <v>0</v>
      </c>
      <c r="V15" s="51">
        <f>'01'!V16+'02'!V16+'03'!V16+'04'!V16+'05'!V16+'06'!V16+'07'!V16+'08'!V16+'09'!V16+'10'!V16+'11'!V16+'12'!V16+'13'!V16+'14'!V16+'15'!V16+'16'!V16+'17'!V16+'18'!V16+'19'!V16+'20'!V16+'21'!V16+'22'!V16+'23'!V16+'24'!V16+'25'!V16+'26'!V16+'27'!V16+'28'!V16+'29'!V16+'30'!V16+'31'!V16</f>
        <v>0</v>
      </c>
      <c r="W15" s="51">
        <f>'01'!W16+'02'!W16+'03'!W16+'04'!W16+'05'!W16+'06'!W16+'07'!W16+'08'!W16+'09'!W16+'10'!W16+'11'!W16+'12'!W16+'13'!W16+'14'!W16+'15'!W16+'16'!W16+'17'!W16+'18'!W16+'19'!W16+'20'!W16+'21'!W16+'22'!W16+'23'!W16+'24'!W16+'25'!W16+'26'!W16+'27'!W16+'28'!W16+'29'!W16+'30'!W16+'31'!W16</f>
        <v>0.56180555555555556</v>
      </c>
      <c r="X15" s="51">
        <f>'01'!X16+'02'!X16+'03'!X16+'04'!X16+'05'!X16+'06'!X16+'07'!X16+'08'!X16+'09'!X16+'10'!X16+'11'!X16+'12'!X16+'13'!X16+'14'!X16+'15'!X16+'16'!X16+'17'!X16+'18'!X16+'19'!X16+'20'!X16+'21'!X16+'22'!X16+'23'!X16+'24'!X16+'25'!X16+'26'!X16+'27'!X16+'28'!X16+'29'!X16+'30'!X16+'31'!X16</f>
        <v>0.17500000000000002</v>
      </c>
      <c r="Y15" s="51">
        <f>'01'!Y16+'02'!Y16+'03'!Y16+'04'!Y16+'05'!Y16+'06'!Y16+'07'!Y16+'08'!Y16+'09'!Y16+'10'!Y16+'11'!Y16+'12'!Y16+'13'!Y16+'14'!Y16+'15'!Y16+'16'!Y16+'17'!Y16+'18'!Y16+'19'!Y16+'20'!Y16+'21'!Y16+'22'!Y16+'23'!Y16+'24'!Y16+'25'!Y16+'26'!Y16+'27'!Y16+'28'!Y16+'29'!Y16+'30'!Y16+'31'!Y16</f>
        <v>0</v>
      </c>
      <c r="Z15" s="51">
        <f>'01'!Z16+'02'!Z16+'03'!Z16+'04'!Z16+'05'!Z16+'06'!Z16+'07'!Z16+'08'!Z16+'09'!Z16+'10'!Z16+'11'!Z16+'12'!Z16+'13'!Z16+'14'!Z16+'15'!Z16+'16'!Z16+'17'!Z16+'18'!Z16+'19'!Z16+'20'!Z16+'21'!Z16+'22'!Z16+'23'!Z16+'24'!Z16+'25'!Z16+'26'!Z16+'27'!Z16+'28'!Z16+'29'!Z16+'30'!Z16+'31'!Z16</f>
        <v>0</v>
      </c>
      <c r="AA15" s="51">
        <f t="shared" si="0"/>
        <v>5.2486111111111118</v>
      </c>
    </row>
    <row r="16" spans="1:27" x14ac:dyDescent="0.25">
      <c r="A16" s="164"/>
      <c r="B16" s="153" t="s">
        <v>59</v>
      </c>
      <c r="C16" s="8"/>
      <c r="D16" s="8"/>
      <c r="E16" s="8"/>
      <c r="F16" s="8"/>
      <c r="G16" s="8"/>
      <c r="H16" s="8"/>
      <c r="I16" s="8"/>
      <c r="J16" s="51">
        <f>'01'!J17+'02'!J17+'03'!J17+'04'!J17+'05'!J17+'06'!J17+'07'!J17+'08'!J17+'09'!J17+'10'!J17+'11'!J17+'12'!J17+'13'!J17+'14'!J17+'15'!J17+'16'!J17+'17'!J17+'18'!J17+'19'!J17+'20'!J17+'21'!J17+'22'!J17+'23'!J17+'24'!J17+'25'!J17+'26'!J17+'27'!J17+'28'!J17+'29'!J17+'30'!J17+'31'!J17</f>
        <v>0</v>
      </c>
      <c r="K16" s="51">
        <f>'01'!K17+'02'!K17+'03'!K17+'04'!K17+'05'!K17+'06'!K17+'07'!K17+'08'!K17+'09'!K17+'10'!K17+'11'!K17+'12'!K17+'13'!K17+'14'!K17+'15'!K17+'16'!K17+'17'!K17+'18'!K17+'19'!K17+'20'!K17+'21'!K17+'22'!K17+'23'!K17+'24'!K17+'25'!K17+'26'!K17+'27'!K17+'28'!K17+'29'!K17+'30'!K17+'31'!K17</f>
        <v>0</v>
      </c>
      <c r="L16" s="51">
        <f>'01'!L17+'02'!L17+'03'!L17+'04'!L17+'05'!L17+'06'!L17+'07'!L17+'08'!L17+'09'!L17+'10'!L17+'11'!L17+'12'!L17+'13'!L17+'14'!L17+'15'!L17+'16'!L17+'17'!L17+'18'!L17+'19'!L17+'20'!L17+'21'!L17+'22'!L17+'23'!L17+'24'!L17+'25'!L17+'26'!L17+'27'!L17+'28'!L17+'29'!L17+'30'!L17+'31'!L17</f>
        <v>0</v>
      </c>
      <c r="M16" s="51">
        <f>'01'!M17+'02'!M17+'03'!M17+'04'!M17+'05'!M17+'06'!M17+'07'!M17+'08'!M17+'09'!M17+'10'!M17+'11'!M17+'12'!M17+'13'!M17+'14'!M17+'15'!M17+'16'!M17+'17'!M17+'18'!M17+'19'!M17+'20'!M17+'21'!M17+'22'!M17+'23'!M17+'24'!M17+'25'!M17+'26'!M17+'27'!M17+'28'!M17+'29'!M17+'30'!M17+'31'!M17</f>
        <v>0</v>
      </c>
      <c r="N16" s="51">
        <f>'01'!N17+'02'!N17+'03'!N17+'04'!N17+'05'!N17+'06'!N17+'07'!N17+'08'!N17+'09'!N17+'10'!N17+'11'!N17+'12'!N17+'13'!N17+'14'!N17+'15'!N17+'16'!N17+'17'!N17+'18'!N17+'19'!N17+'20'!N17+'21'!N17+'22'!N17+'23'!N17+'24'!N17+'25'!N17+'26'!N17+'27'!N17+'28'!N17+'29'!N17+'30'!N17+'31'!N17</f>
        <v>0</v>
      </c>
      <c r="O16" s="51">
        <f>'01'!O17+'02'!O17+'03'!O17+'04'!O17+'05'!O17+'06'!O17+'07'!O17+'08'!O17+'09'!O17+'10'!O17+'11'!O17+'12'!O17+'13'!O17+'14'!O17+'15'!O17+'16'!O17+'17'!O17+'18'!O17+'19'!O17+'20'!O17+'21'!O17+'22'!O17+'23'!O17+'24'!O17+'25'!O17+'26'!O17+'27'!O17+'28'!O17+'29'!O17+'30'!O17+'31'!O17</f>
        <v>0</v>
      </c>
      <c r="P16" s="51">
        <f>'01'!P17+'02'!P17+'03'!P17+'04'!P17+'05'!P17+'06'!P17+'07'!P17+'08'!P17+'09'!P17+'10'!P17+'11'!P17+'12'!P17+'13'!P17+'14'!P17+'15'!P17+'16'!P17+'17'!P17+'18'!P17+'19'!P17+'20'!P17+'21'!P17+'22'!P17+'23'!P17+'24'!P17+'25'!P17+'26'!P17+'27'!P17+'28'!P17+'29'!P17+'30'!P17+'31'!P17</f>
        <v>0</v>
      </c>
      <c r="Q16" s="51">
        <f>'01'!Q17+'02'!Q17+'03'!Q17+'04'!Q17+'05'!Q17+'06'!Q17+'07'!Q17+'08'!Q17+'09'!Q17+'10'!Q17+'11'!Q17+'12'!Q17+'13'!Q17+'14'!Q17+'15'!Q17+'16'!Q17+'17'!Q17+'18'!Q17+'19'!Q17+'20'!Q17+'21'!Q17+'22'!Q17+'23'!Q17+'24'!Q17+'25'!Q17+'26'!Q17+'27'!Q17+'28'!Q17+'29'!Q17+'30'!Q17+'31'!Q17</f>
        <v>0</v>
      </c>
      <c r="R16" s="51">
        <f>'01'!R17+'02'!R17+'03'!R17+'04'!R17+'05'!R17+'06'!R17+'07'!R17+'08'!R17+'09'!R17+'10'!R17+'11'!R17+'12'!R17+'13'!R17+'14'!R17+'15'!R17+'16'!R17+'17'!R17+'18'!R17+'19'!R17+'20'!R17+'21'!R17+'22'!R17+'23'!R17+'24'!R17+'25'!R17+'26'!R17+'27'!R17+'28'!R17+'29'!R17+'30'!R17+'31'!R17</f>
        <v>0</v>
      </c>
      <c r="S16" s="51">
        <f>'01'!S17+'02'!S17+'03'!S17+'04'!S17+'05'!S17+'06'!S17+'07'!S17+'08'!S17+'09'!S17+'10'!S17+'11'!S17+'12'!S17+'13'!S17+'14'!S17+'15'!S17+'16'!S17+'17'!S17+'18'!S17+'19'!S17+'20'!S17+'21'!S17+'22'!S17+'23'!S17+'24'!S17+'25'!S17+'26'!S17+'27'!S17+'28'!S17+'29'!S17+'30'!S17+'31'!S17</f>
        <v>0</v>
      </c>
      <c r="T16" s="51">
        <f>'01'!T17+'02'!T17+'03'!T17+'04'!T17+'05'!T17+'06'!T17+'07'!T17+'08'!T17+'09'!T17+'10'!T17+'11'!T17+'12'!T17+'13'!T17+'14'!T17+'15'!T17+'16'!T17+'17'!T17+'18'!T17+'19'!T17+'20'!T17+'21'!T17+'22'!T17+'23'!T17+'24'!T17+'25'!T17+'26'!T17+'27'!T17+'28'!T17+'29'!T17+'30'!T17+'31'!T17</f>
        <v>0</v>
      </c>
      <c r="U16" s="51">
        <f>'01'!U17+'02'!U17+'03'!U17+'04'!U17+'05'!U17+'06'!U17+'07'!U17+'08'!U17+'09'!U17+'10'!U17+'11'!U17+'12'!U17+'13'!U17+'14'!U17+'15'!U17+'16'!U17+'17'!U17+'18'!U17+'19'!U17+'20'!U17+'21'!U17+'22'!U17+'23'!U17+'24'!U17+'25'!U17+'26'!U17+'27'!U17+'28'!U17+'29'!U17+'30'!U17+'31'!U17</f>
        <v>0</v>
      </c>
      <c r="V16" s="51">
        <f>'01'!V17+'02'!V17+'03'!V17+'04'!V17+'05'!V17+'06'!V17+'07'!V17+'08'!V17+'09'!V17+'10'!V17+'11'!V17+'12'!V17+'13'!V17+'14'!V17+'15'!V17+'16'!V17+'17'!V17+'18'!V17+'19'!V17+'20'!V17+'21'!V17+'22'!V17+'23'!V17+'24'!V17+'25'!V17+'26'!V17+'27'!V17+'28'!V17+'29'!V17+'30'!V17+'31'!V17</f>
        <v>0</v>
      </c>
      <c r="W16" s="51">
        <f>'01'!W17+'02'!W17+'03'!W17+'04'!W17+'05'!W17+'06'!W17+'07'!W17+'08'!W17+'09'!W17+'10'!W17+'11'!W17+'12'!W17+'13'!W17+'14'!W17+'15'!W17+'16'!W17+'17'!W17+'18'!W17+'19'!W17+'20'!W17+'21'!W17+'22'!W17+'23'!W17+'24'!W17+'25'!W17+'26'!W17+'27'!W17+'28'!W17+'29'!W17+'30'!W17+'31'!W17</f>
        <v>0</v>
      </c>
      <c r="X16" s="51">
        <f>'01'!X17+'02'!X17+'03'!X17+'04'!X17+'05'!X17+'06'!X17+'07'!X17+'08'!X17+'09'!X17+'10'!X17+'11'!X17+'12'!X17+'13'!X17+'14'!X17+'15'!X17+'16'!X17+'17'!X17+'18'!X17+'19'!X17+'20'!X17+'21'!X17+'22'!X17+'23'!X17+'24'!X17+'25'!X17+'26'!X17+'27'!X17+'28'!X17+'29'!X17+'30'!X17+'31'!X17</f>
        <v>0</v>
      </c>
      <c r="Y16" s="51">
        <f>'01'!Y17+'02'!Y17+'03'!Y17+'04'!Y17+'05'!Y17+'06'!Y17+'07'!Y17+'08'!Y17+'09'!Y17+'10'!Y17+'11'!Y17+'12'!Y17+'13'!Y17+'14'!Y17+'15'!Y17+'16'!Y17+'17'!Y17+'18'!Y17+'19'!Y17+'20'!Y17+'21'!Y17+'22'!Y17+'23'!Y17+'24'!Y17+'25'!Y17+'26'!Y17+'27'!Y17+'28'!Y17+'29'!Y17+'30'!Y17+'31'!Y17</f>
        <v>0</v>
      </c>
      <c r="Z16" s="51">
        <f>'01'!Z17+'02'!Z17+'03'!Z17+'04'!Z17+'05'!Z17+'06'!Z17+'07'!Z17+'08'!Z17+'09'!Z17+'10'!Z17+'11'!Z17+'12'!Z17+'13'!Z17+'14'!Z17+'15'!Z17+'16'!Z17+'17'!Z17+'18'!Z17+'19'!Z17+'20'!Z17+'21'!Z17+'22'!Z17+'23'!Z17+'24'!Z17+'25'!Z17+'26'!Z17+'27'!Z17+'28'!Z17+'29'!Z17+'30'!Z17+'31'!Z17</f>
        <v>0</v>
      </c>
      <c r="AA16" s="51">
        <f t="shared" ref="AA16:AA20" si="2">SUM(J16:Z16)</f>
        <v>0</v>
      </c>
    </row>
    <row r="17" spans="1:27" x14ac:dyDescent="0.25">
      <c r="A17" s="164"/>
      <c r="B17" s="153" t="s">
        <v>32</v>
      </c>
      <c r="C17" s="8"/>
      <c r="D17" s="8"/>
      <c r="E17" s="8"/>
      <c r="F17" s="8"/>
      <c r="G17" s="8"/>
      <c r="H17" s="8"/>
      <c r="I17" s="8"/>
      <c r="J17" s="51">
        <f>'01'!J18+'02'!J18+'03'!J18+'04'!J18+'05'!J18+'06'!J18+'07'!J18+'08'!J18+'09'!J18+'10'!J18+'11'!J18+'12'!J18+'13'!J18+'14'!J18+'15'!J18+'16'!J18+'17'!J18+'18'!J18+'19'!J18+'20'!J18+'21'!J18+'22'!J18+'23'!J18+'24'!J18+'25'!J18+'26'!J18+'27'!J18+'28'!J18+'29'!J18+'30'!J18+'31'!J18</f>
        <v>2.0812500000000003</v>
      </c>
      <c r="K17" s="51">
        <f>'01'!K18+'02'!K18+'03'!K18+'04'!K18+'05'!K18+'06'!K18+'07'!K18+'08'!K18+'09'!K18+'10'!K18+'11'!K18+'12'!K18+'13'!K18+'14'!K18+'15'!K18+'16'!K18+'17'!K18+'18'!K18+'19'!K18+'20'!K18+'21'!K18+'22'!K18+'23'!K18+'24'!K18+'25'!K18+'26'!K18+'27'!K18+'28'!K18+'29'!K18+'30'!K18+'31'!K18</f>
        <v>6.3888888888888884E-2</v>
      </c>
      <c r="L17" s="51">
        <f>'01'!L18+'02'!L18+'03'!L18+'04'!L18+'05'!L18+'06'!L18+'07'!L18+'08'!L18+'09'!L18+'10'!L18+'11'!L18+'12'!L18+'13'!L18+'14'!L18+'15'!L18+'16'!L18+'17'!L18+'18'!L18+'19'!L18+'20'!L18+'21'!L18+'22'!L18+'23'!L18+'24'!L18+'25'!L18+'26'!L18+'27'!L18+'28'!L18+'29'!L18+'30'!L18+'31'!L18</f>
        <v>1.2499999999999999E-2</v>
      </c>
      <c r="M17" s="51">
        <f>'01'!M18+'02'!M18+'03'!M18+'04'!M18+'05'!M18+'06'!M18+'07'!M18+'08'!M18+'09'!M18+'10'!M18+'11'!M18+'12'!M18+'13'!M18+'14'!M18+'15'!M18+'16'!M18+'17'!M18+'18'!M18+'19'!M18+'20'!M18+'21'!M18+'22'!M18+'23'!M18+'24'!M18+'25'!M18+'26'!M18+'27'!M18+'28'!M18+'29'!M18+'30'!M18+'31'!M18</f>
        <v>9.9999999999999992E-2</v>
      </c>
      <c r="N17" s="51">
        <f>'01'!N18+'02'!N18+'03'!N18+'04'!N18+'05'!N18+'06'!N18+'07'!N18+'08'!N18+'09'!N18+'10'!N18+'11'!N18+'12'!N18+'13'!N18+'14'!N18+'15'!N18+'16'!N18+'17'!N18+'18'!N18+'19'!N18+'20'!N18+'21'!N18+'22'!N18+'23'!N18+'24'!N18+'25'!N18+'26'!N18+'27'!N18+'28'!N18+'29'!N18+'30'!N18+'31'!N18</f>
        <v>8.4027777777777785E-2</v>
      </c>
      <c r="O17" s="51">
        <f>'01'!O18+'02'!O18+'03'!O18+'04'!O18+'05'!O18+'06'!O18+'07'!O18+'08'!O18+'09'!O18+'10'!O18+'11'!O18+'12'!O18+'13'!O18+'14'!O18+'15'!O18+'16'!O18+'17'!O18+'18'!O18+'19'!O18+'20'!O18+'21'!O18+'22'!O18+'23'!O18+'24'!O18+'25'!O18+'26'!O18+'27'!O18+'28'!O18+'29'!O18+'30'!O18+'31'!O18</f>
        <v>0</v>
      </c>
      <c r="P17" s="51">
        <f>'01'!P18+'02'!P18+'03'!P18+'04'!P18+'05'!P18+'06'!P18+'07'!P18+'08'!P18+'09'!P18+'10'!P18+'11'!P18+'12'!P18+'13'!P18+'14'!P18+'15'!P18+'16'!P18+'17'!P18+'18'!P18+'19'!P18+'20'!P18+'21'!P18+'22'!P18+'23'!P18+'24'!P18+'25'!P18+'26'!P18+'27'!P18+'28'!P18+'29'!P18+'30'!P18+'31'!P18</f>
        <v>0</v>
      </c>
      <c r="Q17" s="51">
        <f>'01'!Q18+'02'!Q18+'03'!Q18+'04'!Q18+'05'!Q18+'06'!Q18+'07'!Q18+'08'!Q18+'09'!Q18+'10'!Q18+'11'!Q18+'12'!Q18+'13'!Q18+'14'!Q18+'15'!Q18+'16'!Q18+'17'!Q18+'18'!Q18+'19'!Q18+'20'!Q18+'21'!Q18+'22'!Q18+'23'!Q18+'24'!Q18+'25'!Q18+'26'!Q18+'27'!Q18+'28'!Q18+'29'!Q18+'30'!Q18+'31'!Q18</f>
        <v>0</v>
      </c>
      <c r="R17" s="51">
        <f>'01'!R18+'02'!R18+'03'!R18+'04'!R18+'05'!R18+'06'!R18+'07'!R18+'08'!R18+'09'!R18+'10'!R18+'11'!R18+'12'!R18+'13'!R18+'14'!R18+'15'!R18+'16'!R18+'17'!R18+'18'!R18+'19'!R18+'20'!R18+'21'!R18+'22'!R18+'23'!R18+'24'!R18+'25'!R18+'26'!R18+'27'!R18+'28'!R18+'29'!R18+'30'!R18+'31'!R18</f>
        <v>0</v>
      </c>
      <c r="S17" s="51">
        <f>'01'!S18+'02'!S18+'03'!S18+'04'!S18+'05'!S18+'06'!S18+'07'!S18+'08'!S18+'09'!S18+'10'!S18+'11'!S18+'12'!S18+'13'!S18+'14'!S18+'15'!S18+'16'!S18+'17'!S18+'18'!S18+'19'!S18+'20'!S18+'21'!S18+'22'!S18+'23'!S18+'24'!S18+'25'!S18+'26'!S18+'27'!S18+'28'!S18+'29'!S18+'30'!S18+'31'!S18</f>
        <v>1.7833333333333334</v>
      </c>
      <c r="T17" s="51">
        <f>'01'!T18+'02'!T18+'03'!T18+'04'!T18+'05'!T18+'06'!T18+'07'!T18+'08'!T18+'09'!T18+'10'!T18+'11'!T18+'12'!T18+'13'!T18+'14'!T18+'15'!T18+'16'!T18+'17'!T18+'18'!T18+'19'!T18+'20'!T18+'21'!T18+'22'!T18+'23'!T18+'24'!T18+'25'!T18+'26'!T18+'27'!T18+'28'!T18+'29'!T18+'30'!T18+'31'!T18</f>
        <v>0.68888888888888888</v>
      </c>
      <c r="U17" s="51">
        <f>'01'!U18+'02'!U18+'03'!U18+'04'!U18+'05'!U18+'06'!U18+'07'!U18+'08'!U18+'09'!U18+'10'!U18+'11'!U18+'12'!U18+'13'!U18+'14'!U18+'15'!U18+'16'!U18+'17'!U18+'18'!U18+'19'!U18+'20'!U18+'21'!U18+'22'!U18+'23'!U18+'24'!U18+'25'!U18+'26'!U18+'27'!U18+'28'!U18+'29'!U18+'30'!U18+'31'!U18</f>
        <v>1.0416666666666666E-2</v>
      </c>
      <c r="V17" s="51">
        <f>'01'!V18+'02'!V18+'03'!V18+'04'!V18+'05'!V18+'06'!V18+'07'!V18+'08'!V18+'09'!V18+'10'!V18+'11'!V18+'12'!V18+'13'!V18+'14'!V18+'15'!V18+'16'!V18+'17'!V18+'18'!V18+'19'!V18+'20'!V18+'21'!V18+'22'!V18+'23'!V18+'24'!V18+'25'!V18+'26'!V18+'27'!V18+'28'!V18+'29'!V18+'30'!V18+'31'!V18</f>
        <v>0</v>
      </c>
      <c r="W17" s="51">
        <f>'01'!W18+'02'!W18+'03'!W18+'04'!W18+'05'!W18+'06'!W18+'07'!W18+'08'!W18+'09'!W18+'10'!W18+'11'!W18+'12'!W18+'13'!W18+'14'!W18+'15'!W18+'16'!W18+'17'!W18+'18'!W18+'19'!W18+'20'!W18+'21'!W18+'22'!W18+'23'!W18+'24'!W18+'25'!W18+'26'!W18+'27'!W18+'28'!W18+'29'!W18+'30'!W18+'31'!W18</f>
        <v>0.31388888888888888</v>
      </c>
      <c r="X17" s="51">
        <f>'01'!X18+'02'!X18+'03'!X18+'04'!X18+'05'!X18+'06'!X18+'07'!X18+'08'!X18+'09'!X18+'10'!X18+'11'!X18+'12'!X18+'13'!X18+'14'!X18+'15'!X18+'16'!X18+'17'!X18+'18'!X18+'19'!X18+'20'!X18+'21'!X18+'22'!X18+'23'!X18+'24'!X18+'25'!X18+'26'!X18+'27'!X18+'28'!X18+'29'!X18+'30'!X18+'31'!X18</f>
        <v>0</v>
      </c>
      <c r="Y17" s="51">
        <f>'01'!Y18+'02'!Y18+'03'!Y18+'04'!Y18+'05'!Y18+'06'!Y18+'07'!Y18+'08'!Y18+'09'!Y18+'10'!Y18+'11'!Y18+'12'!Y18+'13'!Y18+'14'!Y18+'15'!Y18+'16'!Y18+'17'!Y18+'18'!Y18+'19'!Y18+'20'!Y18+'21'!Y18+'22'!Y18+'23'!Y18+'24'!Y18+'25'!Y18+'26'!Y18+'27'!Y18+'28'!Y18+'29'!Y18+'30'!Y18+'31'!Y18</f>
        <v>0</v>
      </c>
      <c r="Z17" s="51">
        <f>'01'!Z18+'02'!Z18+'03'!Z18+'04'!Z18+'05'!Z18+'06'!Z18+'07'!Z18+'08'!Z18+'09'!Z18+'10'!Z18+'11'!Z18+'12'!Z18+'13'!Z18+'14'!Z18+'15'!Z18+'16'!Z18+'17'!Z18+'18'!Z18+'19'!Z18+'20'!Z18+'21'!Z18+'22'!Z18+'23'!Z18+'24'!Z18+'25'!Z18+'26'!Z18+'27'!Z18+'28'!Z18+'29'!Z18+'30'!Z18+'31'!Z18</f>
        <v>0</v>
      </c>
      <c r="AA17" s="51">
        <f t="shared" si="2"/>
        <v>5.1381944444444452</v>
      </c>
    </row>
    <row r="18" spans="1:27" x14ac:dyDescent="0.25">
      <c r="A18" s="164"/>
      <c r="B18" s="153" t="s">
        <v>33</v>
      </c>
      <c r="C18" s="8"/>
      <c r="D18" s="8"/>
      <c r="E18" s="8"/>
      <c r="F18" s="8"/>
      <c r="G18" s="8"/>
      <c r="H18" s="8"/>
      <c r="I18" s="8"/>
      <c r="J18" s="51">
        <f>'01'!J19+'02'!J19+'03'!J19+'04'!J19+'05'!J19+'06'!J19+'07'!J19+'08'!J19+'09'!J19+'10'!J19+'11'!J19+'12'!J19+'13'!J19+'14'!J19+'15'!J19+'16'!J19+'17'!J19+'18'!J19+'19'!J19+'20'!J19+'21'!J19+'22'!J19+'23'!J19+'24'!J19+'25'!J19+'26'!J19+'27'!J19+'28'!J19+'29'!J19+'30'!J19+'31'!J19</f>
        <v>0.95277777777777772</v>
      </c>
      <c r="K18" s="51">
        <f>'01'!K19+'02'!K19+'03'!K19+'04'!K19+'05'!K19+'06'!K19+'07'!K19+'08'!K19+'09'!K19+'10'!K19+'11'!K19+'12'!K19+'13'!K19+'14'!K19+'15'!K19+'16'!K19+'17'!K19+'18'!K19+'19'!K19+'20'!K19+'21'!K19+'22'!K19+'23'!K19+'24'!K19+'25'!K19+'26'!K19+'27'!K19+'28'!K19+'29'!K19+'30'!K19+'31'!K19</f>
        <v>0.17569444444444443</v>
      </c>
      <c r="L18" s="51">
        <f>'01'!L19+'02'!L19+'03'!L19+'04'!L19+'05'!L19+'06'!L19+'07'!L19+'08'!L19+'09'!L19+'10'!L19+'11'!L19+'12'!L19+'13'!L19+'14'!L19+'15'!L19+'16'!L19+'17'!L19+'18'!L19+'19'!L19+'20'!L19+'21'!L19+'22'!L19+'23'!L19+'24'!L19+'25'!L19+'26'!L19+'27'!L19+'28'!L19+'29'!L19+'30'!L19+'31'!L19</f>
        <v>2.9166666666666667E-2</v>
      </c>
      <c r="M18" s="51">
        <f>'01'!M19+'02'!M19+'03'!M19+'04'!M19+'05'!M19+'06'!M19+'07'!M19+'08'!M19+'09'!M19+'10'!M19+'11'!M19+'12'!M19+'13'!M19+'14'!M19+'15'!M19+'16'!M19+'17'!M19+'18'!M19+'19'!M19+'20'!M19+'21'!M19+'22'!M19+'23'!M19+'24'!M19+'25'!M19+'26'!M19+'27'!M19+'28'!M19+'29'!M19+'30'!M19+'31'!M19</f>
        <v>7.2916666666666657E-2</v>
      </c>
      <c r="N18" s="51">
        <f>'01'!N19+'02'!N19+'03'!N19+'04'!N19+'05'!N19+'06'!N19+'07'!N19+'08'!N19+'09'!N19+'10'!N19+'11'!N19+'12'!N19+'13'!N19+'14'!N19+'15'!N19+'16'!N19+'17'!N19+'18'!N19+'19'!N19+'20'!N19+'21'!N19+'22'!N19+'23'!N19+'24'!N19+'25'!N19+'26'!N19+'27'!N19+'28'!N19+'29'!N19+'30'!N19+'31'!N19</f>
        <v>0.1125</v>
      </c>
      <c r="O18" s="51">
        <f>'01'!O19+'02'!O19+'03'!O19+'04'!O19+'05'!O19+'06'!O19+'07'!O19+'08'!O19+'09'!O19+'10'!O19+'11'!O19+'12'!O19+'13'!O19+'14'!O19+'15'!O19+'16'!O19+'17'!O19+'18'!O19+'19'!O19+'20'!O19+'21'!O19+'22'!O19+'23'!O19+'24'!O19+'25'!O19+'26'!O19+'27'!O19+'28'!O19+'29'!O19+'30'!O19+'31'!O19</f>
        <v>0</v>
      </c>
      <c r="P18" s="51">
        <f>'01'!P19+'02'!P19+'03'!P19+'04'!P19+'05'!P19+'06'!P19+'07'!P19+'08'!P19+'09'!P19+'10'!P19+'11'!P19+'12'!P19+'13'!P19+'14'!P19+'15'!P19+'16'!P19+'17'!P19+'18'!P19+'19'!P19+'20'!P19+'21'!P19+'22'!P19+'23'!P19+'24'!P19+'25'!P19+'26'!P19+'27'!P19+'28'!P19+'29'!P19+'30'!P19+'31'!P19</f>
        <v>0</v>
      </c>
      <c r="Q18" s="51">
        <f>'01'!Q19+'02'!Q19+'03'!Q19+'04'!Q19+'05'!Q19+'06'!Q19+'07'!Q19+'08'!Q19+'09'!Q19+'10'!Q19+'11'!Q19+'12'!Q19+'13'!Q19+'14'!Q19+'15'!Q19+'16'!Q19+'17'!Q19+'18'!Q19+'19'!Q19+'20'!Q19+'21'!Q19+'22'!Q19+'23'!Q19+'24'!Q19+'25'!Q19+'26'!Q19+'27'!Q19+'28'!Q19+'29'!Q19+'30'!Q19+'31'!Q19</f>
        <v>0</v>
      </c>
      <c r="R18" s="51">
        <f>'01'!R19+'02'!R19+'03'!R19+'04'!R19+'05'!R19+'06'!R19+'07'!R19+'08'!R19+'09'!R19+'10'!R19+'11'!R19+'12'!R19+'13'!R19+'14'!R19+'15'!R19+'16'!R19+'17'!R19+'18'!R19+'19'!R19+'20'!R19+'21'!R19+'22'!R19+'23'!R19+'24'!R19+'25'!R19+'26'!R19+'27'!R19+'28'!R19+'29'!R19+'30'!R19+'31'!R19</f>
        <v>0</v>
      </c>
      <c r="S18" s="51">
        <f>'01'!S19+'02'!S19+'03'!S19+'04'!S19+'05'!S19+'06'!S19+'07'!S19+'08'!S19+'09'!S19+'10'!S19+'11'!S19+'12'!S19+'13'!S19+'14'!S19+'15'!S19+'16'!S19+'17'!S19+'18'!S19+'19'!S19+'20'!S19+'21'!S19+'22'!S19+'23'!S19+'24'!S19+'25'!S19+'26'!S19+'27'!S19+'28'!S19+'29'!S19+'30'!S19+'31'!S19</f>
        <v>1.6618055555555558</v>
      </c>
      <c r="T18" s="51">
        <f>'01'!T19+'02'!T19+'03'!T19+'04'!T19+'05'!T19+'06'!T19+'07'!T19+'08'!T19+'09'!T19+'10'!T19+'11'!T19+'12'!T19+'13'!T19+'14'!T19+'15'!T19+'16'!T19+'17'!T19+'18'!T19+'19'!T19+'20'!T19+'21'!T19+'22'!T19+'23'!T19+'24'!T19+'25'!T19+'26'!T19+'27'!T19+'28'!T19+'29'!T19+'30'!T19+'31'!T19</f>
        <v>0.68472222222222212</v>
      </c>
      <c r="U18" s="51">
        <f>'01'!U19+'02'!U19+'03'!U19+'04'!U19+'05'!U19+'06'!U19+'07'!U19+'08'!U19+'09'!U19+'10'!U19+'11'!U19+'12'!U19+'13'!U19+'14'!U19+'15'!U19+'16'!U19+'17'!U19+'18'!U19+'19'!U19+'20'!U19+'21'!U19+'22'!U19+'23'!U19+'24'!U19+'25'!U19+'26'!U19+'27'!U19+'28'!U19+'29'!U19+'30'!U19+'31'!U19</f>
        <v>0</v>
      </c>
      <c r="V18" s="51">
        <f>'01'!V19+'02'!V19+'03'!V19+'04'!V19+'05'!V19+'06'!V19+'07'!V19+'08'!V19+'09'!V19+'10'!V19+'11'!V19+'12'!V19+'13'!V19+'14'!V19+'15'!V19+'16'!V19+'17'!V19+'18'!V19+'19'!V19+'20'!V19+'21'!V19+'22'!V19+'23'!V19+'24'!V19+'25'!V19+'26'!V19+'27'!V19+'28'!V19+'29'!V19+'30'!V19+'31'!V19</f>
        <v>1.8055555555555557E-2</v>
      </c>
      <c r="W18" s="51">
        <f>'01'!W19+'02'!W19+'03'!W19+'04'!W19+'05'!W19+'06'!W19+'07'!W19+'08'!W19+'09'!W19+'10'!W19+'11'!W19+'12'!W19+'13'!W19+'14'!W19+'15'!W19+'16'!W19+'17'!W19+'18'!W19+'19'!W19+'20'!W19+'21'!W19+'22'!W19+'23'!W19+'24'!W19+'25'!W19+'26'!W19+'27'!W19+'28'!W19+'29'!W19+'30'!W19+'31'!W19</f>
        <v>0.53611111111111109</v>
      </c>
      <c r="X18" s="51">
        <f>'01'!X19+'02'!X19+'03'!X19+'04'!X19+'05'!X19+'06'!X19+'07'!X19+'08'!X19+'09'!X19+'10'!X19+'11'!X19+'12'!X19+'13'!X19+'14'!X19+'15'!X19+'16'!X19+'17'!X19+'18'!X19+'19'!X19+'20'!X19+'21'!X19+'22'!X19+'23'!X19+'24'!X19+'25'!X19+'26'!X19+'27'!X19+'28'!X19+'29'!X19+'30'!X19+'31'!X19</f>
        <v>6.458333333333334E-2</v>
      </c>
      <c r="Y18" s="51">
        <f>'01'!Y19+'02'!Y19+'03'!Y19+'04'!Y19+'05'!Y19+'06'!Y19+'07'!Y19+'08'!Y19+'09'!Y19+'10'!Y19+'11'!Y19+'12'!Y19+'13'!Y19+'14'!Y19+'15'!Y19+'16'!Y19+'17'!Y19+'18'!Y19+'19'!Y19+'20'!Y19+'21'!Y19+'22'!Y19+'23'!Y19+'24'!Y19+'25'!Y19+'26'!Y19+'27'!Y19+'28'!Y19+'29'!Y19+'30'!Y19+'31'!Y19</f>
        <v>0</v>
      </c>
      <c r="Z18" s="51">
        <f>'01'!Z19+'02'!Z19+'03'!Z19+'04'!Z19+'05'!Z19+'06'!Z19+'07'!Z19+'08'!Z19+'09'!Z19+'10'!Z19+'11'!Z19+'12'!Z19+'13'!Z19+'14'!Z19+'15'!Z19+'16'!Z19+'17'!Z19+'18'!Z19+'19'!Z19+'20'!Z19+'21'!Z19+'22'!Z19+'23'!Z19+'24'!Z19+'25'!Z19+'26'!Z19+'27'!Z19+'28'!Z19+'29'!Z19+'30'!Z19+'31'!Z19</f>
        <v>0</v>
      </c>
      <c r="AA18" s="51">
        <f t="shared" si="2"/>
        <v>4.3083333333333336</v>
      </c>
    </row>
    <row r="19" spans="1:27" x14ac:dyDescent="0.25">
      <c r="A19" s="164"/>
      <c r="B19" s="153" t="s">
        <v>34</v>
      </c>
      <c r="C19" s="8"/>
      <c r="D19" s="8"/>
      <c r="E19" s="8"/>
      <c r="F19" s="8"/>
      <c r="G19" s="8"/>
      <c r="H19" s="8"/>
      <c r="I19" s="8"/>
      <c r="J19" s="51">
        <f>'01'!J20+'02'!J20+'03'!J20+'04'!J20+'05'!J20+'06'!J20+'07'!J20+'08'!J20+'09'!J20+'10'!J20+'11'!J20+'12'!J20+'13'!J20+'14'!J20+'15'!J20+'16'!J20+'17'!J20+'18'!J20+'19'!J20+'20'!J20+'21'!J20+'22'!J20+'23'!J20+'24'!J20+'25'!J20+'26'!J20+'27'!J20+'28'!J20+'29'!J20+'30'!J20+'31'!J20</f>
        <v>0.50347222222222221</v>
      </c>
      <c r="K19" s="51">
        <f>'01'!K20+'02'!K20+'03'!K20+'04'!K20+'05'!K20+'06'!K20+'07'!K20+'08'!K20+'09'!K20+'10'!K20+'11'!K20+'12'!K20+'13'!K20+'14'!K20+'15'!K20+'16'!K20+'17'!K20+'18'!K20+'19'!K20+'20'!K20+'21'!K20+'22'!K20+'23'!K20+'24'!K20+'25'!K20+'26'!K20+'27'!K20+'28'!K20+'29'!K20+'30'!K20+'31'!K20</f>
        <v>0.125</v>
      </c>
      <c r="L19" s="51">
        <f>'01'!L20+'02'!L20+'03'!L20+'04'!L20+'05'!L20+'06'!L20+'07'!L20+'08'!L20+'09'!L20+'10'!L20+'11'!L20+'12'!L20+'13'!L20+'14'!L20+'15'!L20+'16'!L20+'17'!L20+'18'!L20+'19'!L20+'20'!L20+'21'!L20+'22'!L20+'23'!L20+'24'!L20+'25'!L20+'26'!L20+'27'!L20+'28'!L20+'29'!L20+'30'!L20+'31'!L20</f>
        <v>0</v>
      </c>
      <c r="M19" s="51">
        <f>'01'!M20+'02'!M20+'03'!M20+'04'!M20+'05'!M20+'06'!M20+'07'!M20+'08'!M20+'09'!M20+'10'!M20+'11'!M20+'12'!M20+'13'!M20+'14'!M20+'15'!M20+'16'!M20+'17'!M20+'18'!M20+'19'!M20+'20'!M20+'21'!M20+'22'!M20+'23'!M20+'24'!M20+'25'!M20+'26'!M20+'27'!M20+'28'!M20+'29'!M20+'30'!M20+'31'!M20</f>
        <v>0.10069444444444448</v>
      </c>
      <c r="N19" s="51">
        <f>'01'!N20+'02'!N20+'03'!N20+'04'!N20+'05'!N20+'06'!N20+'07'!N20+'08'!N20+'09'!N20+'10'!N20+'11'!N20+'12'!N20+'13'!N20+'14'!N20+'15'!N20+'16'!N20+'17'!N20+'18'!N20+'19'!N20+'20'!N20+'21'!N20+'22'!N20+'23'!N20+'24'!N20+'25'!N20+'26'!N20+'27'!N20+'28'!N20+'29'!N20+'30'!N20+'31'!N20</f>
        <v>8.1944444444444445E-2</v>
      </c>
      <c r="O19" s="51">
        <f>'01'!O20+'02'!O20+'03'!O20+'04'!O20+'05'!O20+'06'!O20+'07'!O20+'08'!O20+'09'!O20+'10'!O20+'11'!O20+'12'!O20+'13'!O20+'14'!O20+'15'!O20+'16'!O20+'17'!O20+'18'!O20+'19'!O20+'20'!O20+'21'!O20+'22'!O20+'23'!O20+'24'!O20+'25'!O20+'26'!O20+'27'!O20+'28'!O20+'29'!O20+'30'!O20+'31'!O20</f>
        <v>2.1527777777777778E-2</v>
      </c>
      <c r="P19" s="51">
        <f>'01'!P20+'02'!P20+'03'!P20+'04'!P20+'05'!P20+'06'!P20+'07'!P20+'08'!P20+'09'!P20+'10'!P20+'11'!P20+'12'!P20+'13'!P20+'14'!P20+'15'!P20+'16'!P20+'17'!P20+'18'!P20+'19'!P20+'20'!P20+'21'!P20+'22'!P20+'23'!P20+'24'!P20+'25'!P20+'26'!P20+'27'!P20+'28'!P20+'29'!P20+'30'!P20+'31'!P20</f>
        <v>0</v>
      </c>
      <c r="Q19" s="51">
        <f>'01'!Q20+'02'!Q20+'03'!Q20+'04'!Q20+'05'!Q20+'06'!Q20+'07'!Q20+'08'!Q20+'09'!Q20+'10'!Q20+'11'!Q20+'12'!Q20+'13'!Q20+'14'!Q20+'15'!Q20+'16'!Q20+'17'!Q20+'18'!Q20+'19'!Q20+'20'!Q20+'21'!Q20+'22'!Q20+'23'!Q20+'24'!Q20+'25'!Q20+'26'!Q20+'27'!Q20+'28'!Q20+'29'!Q20+'30'!Q20+'31'!Q20</f>
        <v>0</v>
      </c>
      <c r="R19" s="51">
        <f>'01'!R20+'02'!R20+'03'!R20+'04'!R20+'05'!R20+'06'!R20+'07'!R20+'08'!R20+'09'!R20+'10'!R20+'11'!R20+'12'!R20+'13'!R20+'14'!R20+'15'!R20+'16'!R20+'17'!R20+'18'!R20+'19'!R20+'20'!R20+'21'!R20+'22'!R20+'23'!R20+'24'!R20+'25'!R20+'26'!R20+'27'!R20+'28'!R20+'29'!R20+'30'!R20+'31'!R20</f>
        <v>0</v>
      </c>
      <c r="S19" s="51">
        <f>'01'!S20+'02'!S20+'03'!S20+'04'!S20+'05'!S20+'06'!S20+'07'!S20+'08'!S20+'09'!S20+'10'!S20+'11'!S20+'12'!S20+'13'!S20+'14'!S20+'15'!S20+'16'!S20+'17'!S20+'18'!S20+'19'!S20+'20'!S20+'21'!S20+'22'!S20+'23'!S20+'24'!S20+'25'!S20+'26'!S20+'27'!S20+'28'!S20+'29'!S20+'30'!S20+'31'!S20</f>
        <v>1.9256944444444446</v>
      </c>
      <c r="T19" s="51">
        <f>'01'!T20+'02'!T20+'03'!T20+'04'!T20+'05'!T20+'06'!T20+'07'!T20+'08'!T20+'09'!T20+'10'!T20+'11'!T20+'12'!T20+'13'!T20+'14'!T20+'15'!T20+'16'!T20+'17'!T20+'18'!T20+'19'!T20+'20'!T20+'21'!T20+'22'!T20+'23'!T20+'24'!T20+'25'!T20+'26'!T20+'27'!T20+'28'!T20+'29'!T20+'30'!T20+'31'!T20</f>
        <v>0.70833333333333326</v>
      </c>
      <c r="U19" s="51">
        <f>'01'!U20+'02'!U20+'03'!U20+'04'!U20+'05'!U20+'06'!U20+'07'!U20+'08'!U20+'09'!U20+'10'!U20+'11'!U20+'12'!U20+'13'!U20+'14'!U20+'15'!U20+'16'!U20+'17'!U20+'18'!U20+'19'!U20+'20'!U20+'21'!U20+'22'!U20+'23'!U20+'24'!U20+'25'!U20+'26'!U20+'27'!U20+'28'!U20+'29'!U20+'30'!U20+'31'!U20</f>
        <v>2.2916666666666665E-2</v>
      </c>
      <c r="V19" s="51">
        <f>'01'!V20+'02'!V20+'03'!V20+'04'!V20+'05'!V20+'06'!V20+'07'!V20+'08'!V20+'09'!V20+'10'!V20+'11'!V20+'12'!V20+'13'!V20+'14'!V20+'15'!V20+'16'!V20+'17'!V20+'18'!V20+'19'!V20+'20'!V20+'21'!V20+'22'!V20+'23'!V20+'24'!V20+'25'!V20+'26'!V20+'27'!V20+'28'!V20+'29'!V20+'30'!V20+'31'!V20</f>
        <v>2.0833333333333332E-2</v>
      </c>
      <c r="W19" s="51">
        <f>'01'!W20+'02'!W20+'03'!W20+'04'!W20+'05'!W20+'06'!W20+'07'!W20+'08'!W20+'09'!W20+'10'!W20+'11'!W20+'12'!W20+'13'!W20+'14'!W20+'15'!W20+'16'!W20+'17'!W20+'18'!W20+'19'!W20+'20'!W20+'21'!W20+'22'!W20+'23'!W20+'24'!W20+'25'!W20+'26'!W20+'27'!W20+'28'!W20+'29'!W20+'30'!W20+'31'!W20</f>
        <v>0.3659722222222222</v>
      </c>
      <c r="X19" s="51">
        <f>'01'!X20+'02'!X20+'03'!X20+'04'!X20+'05'!X20+'06'!X20+'07'!X20+'08'!X20+'09'!X20+'10'!X20+'11'!X20+'12'!X20+'13'!X20+'14'!X20+'15'!X20+'16'!X20+'17'!X20+'18'!X20+'19'!X20+'20'!X20+'21'!X20+'22'!X20+'23'!X20+'24'!X20+'25'!X20+'26'!X20+'27'!X20+'28'!X20+'29'!X20+'30'!X20+'31'!X20</f>
        <v>0</v>
      </c>
      <c r="Y19" s="51">
        <f>'01'!Y20+'02'!Y20+'03'!Y20+'04'!Y20+'05'!Y20+'06'!Y20+'07'!Y20+'08'!Y20+'09'!Y20+'10'!Y20+'11'!Y20+'12'!Y20+'13'!Y20+'14'!Y20+'15'!Y20+'16'!Y20+'17'!Y20+'18'!Y20+'19'!Y20+'20'!Y20+'21'!Y20+'22'!Y20+'23'!Y20+'24'!Y20+'25'!Y20+'26'!Y20+'27'!Y20+'28'!Y20+'29'!Y20+'30'!Y20+'31'!Y20</f>
        <v>0</v>
      </c>
      <c r="Z19" s="51">
        <f>'01'!Z20+'02'!Z20+'03'!Z20+'04'!Z20+'05'!Z20+'06'!Z20+'07'!Z20+'08'!Z20+'09'!Z20+'10'!Z20+'11'!Z20+'12'!Z20+'13'!Z20+'14'!Z20+'15'!Z20+'16'!Z20+'17'!Z20+'18'!Z20+'19'!Z20+'20'!Z20+'21'!Z20+'22'!Z20+'23'!Z20+'24'!Z20+'25'!Z20+'26'!Z20+'27'!Z20+'28'!Z20+'29'!Z20+'30'!Z20+'31'!Z20</f>
        <v>0</v>
      </c>
      <c r="AA19" s="51">
        <f t="shared" si="2"/>
        <v>3.8763888888888891</v>
      </c>
    </row>
    <row r="20" spans="1:27" x14ac:dyDescent="0.25">
      <c r="A20" s="165"/>
      <c r="B20" s="154" t="s">
        <v>35</v>
      </c>
      <c r="C20" s="22"/>
      <c r="D20" s="22"/>
      <c r="E20" s="22"/>
      <c r="F20" s="22"/>
      <c r="G20" s="22"/>
      <c r="H20" s="22"/>
      <c r="I20" s="22"/>
      <c r="J20" s="52">
        <f>'01'!J21+'02'!J21+'03'!J21+'04'!J21+'05'!J21+'06'!J21+'07'!J21+'08'!J21+'09'!J21+'10'!J21+'11'!J21+'12'!J21+'13'!J21+'14'!J21+'15'!J21+'16'!J21+'17'!J21+'18'!J21+'19'!J21+'20'!J21+'21'!J21+'22'!J21+'23'!J21+'24'!J21+'25'!J21+'26'!J21+'27'!J21+'28'!J21+'29'!J21+'30'!J21+'31'!J21</f>
        <v>1.0708333333333333</v>
      </c>
      <c r="K20" s="52">
        <f>'01'!K21+'02'!K21+'03'!K21+'04'!K21+'05'!K21+'06'!K21+'07'!K21+'08'!K21+'09'!K21+'10'!K21+'11'!K21+'12'!K21+'13'!K21+'14'!K21+'15'!K21+'16'!K21+'17'!K21+'18'!K21+'19'!K21+'20'!K21+'21'!K21+'22'!K21+'23'!K21+'24'!K21+'25'!K21+'26'!K21+'27'!K21+'28'!K21+'29'!K21+'30'!K21+'31'!K21</f>
        <v>0.10138888888888889</v>
      </c>
      <c r="L20" s="52">
        <f>'01'!L21+'02'!L21+'03'!L21+'04'!L21+'05'!L21+'06'!L21+'07'!L21+'08'!L21+'09'!L21+'10'!L21+'11'!L21+'12'!L21+'13'!L21+'14'!L21+'15'!L21+'16'!L21+'17'!L21+'18'!L21+'19'!L21+'20'!L21+'21'!L21+'22'!L21+'23'!L21+'24'!L21+'25'!L21+'26'!L21+'27'!L21+'28'!L21+'29'!L21+'30'!L21+'31'!L21</f>
        <v>0</v>
      </c>
      <c r="M20" s="52">
        <f>'01'!M21+'02'!M21+'03'!M21+'04'!M21+'05'!M21+'06'!M21+'07'!M21+'08'!M21+'09'!M21+'10'!M21+'11'!M21+'12'!M21+'13'!M21+'14'!M21+'15'!M21+'16'!M21+'17'!M21+'18'!M21+'19'!M21+'20'!M21+'21'!M21+'22'!M21+'23'!M21+'24'!M21+'25'!M21+'26'!M21+'27'!M21+'28'!M21+'29'!M21+'30'!M21+'31'!M21</f>
        <v>6.7361111111111122E-2</v>
      </c>
      <c r="N20" s="52">
        <f>'01'!N21+'02'!N21+'03'!N21+'04'!N21+'05'!N21+'06'!N21+'07'!N21+'08'!N21+'09'!N21+'10'!N21+'11'!N21+'12'!N21+'13'!N21+'14'!N21+'15'!N21+'16'!N21+'17'!N21+'18'!N21+'19'!N21+'20'!N21+'21'!N21+'22'!N21+'23'!N21+'24'!N21+'25'!N21+'26'!N21+'27'!N21+'28'!N21+'29'!N21+'30'!N21+'31'!N21</f>
        <v>4.0972222222222215E-2</v>
      </c>
      <c r="O20" s="52">
        <f>'01'!O21+'02'!O21+'03'!O21+'04'!O21+'05'!O21+'06'!O21+'07'!O21+'08'!O21+'09'!O21+'10'!O21+'11'!O21+'12'!O21+'13'!O21+'14'!O21+'15'!O21+'16'!O21+'17'!O21+'18'!O21+'19'!O21+'20'!O21+'21'!O21+'22'!O21+'23'!O21+'24'!O21+'25'!O21+'26'!O21+'27'!O21+'28'!O21+'29'!O21+'30'!O21+'31'!O21</f>
        <v>0</v>
      </c>
      <c r="P20" s="52">
        <f>'01'!P21+'02'!P21+'03'!P21+'04'!P21+'05'!P21+'06'!P21+'07'!P21+'08'!P21+'09'!P21+'10'!P21+'11'!P21+'12'!P21+'13'!P21+'14'!P21+'15'!P21+'16'!P21+'17'!P21+'18'!P21+'19'!P21+'20'!P21+'21'!P21+'22'!P21+'23'!P21+'24'!P21+'25'!P21+'26'!P21+'27'!P21+'28'!P21+'29'!P21+'30'!P21+'31'!P21</f>
        <v>6.9444444444444434E-2</v>
      </c>
      <c r="Q20" s="52">
        <f>'01'!Q21+'02'!Q21+'03'!Q21+'04'!Q21+'05'!Q21+'06'!Q21+'07'!Q21+'08'!Q21+'09'!Q21+'10'!Q21+'11'!Q21+'12'!Q21+'13'!Q21+'14'!Q21+'15'!Q21+'16'!Q21+'17'!Q21+'18'!Q21+'19'!Q21+'20'!Q21+'21'!Q21+'22'!Q21+'23'!Q21+'24'!Q21+'25'!Q21+'26'!Q21+'27'!Q21+'28'!Q21+'29'!Q21+'30'!Q21+'31'!Q21</f>
        <v>0</v>
      </c>
      <c r="R20" s="52">
        <f>'01'!R21+'02'!R21+'03'!R21+'04'!R21+'05'!R21+'06'!R21+'07'!R21+'08'!R21+'09'!R21+'10'!R21+'11'!R21+'12'!R21+'13'!R21+'14'!R21+'15'!R21+'16'!R21+'17'!R21+'18'!R21+'19'!R21+'20'!R21+'21'!R21+'22'!R21+'23'!R21+'24'!R21+'25'!R21+'26'!R21+'27'!R21+'28'!R21+'29'!R21+'30'!R21+'31'!R21</f>
        <v>0</v>
      </c>
      <c r="S20" s="52">
        <f>'01'!S21+'02'!S21+'03'!S21+'04'!S21+'05'!S21+'06'!S21+'07'!S21+'08'!S21+'09'!S21+'10'!S21+'11'!S21+'12'!S21+'13'!S21+'14'!S21+'15'!S21+'16'!S21+'17'!S21+'18'!S21+'19'!S21+'20'!S21+'21'!S21+'22'!S21+'23'!S21+'24'!S21+'25'!S21+'26'!S21+'27'!S21+'28'!S21+'29'!S21+'30'!S21+'31'!S21</f>
        <v>1.4694444444444446</v>
      </c>
      <c r="T20" s="52">
        <f>'01'!T21+'02'!T21+'03'!T21+'04'!T21+'05'!T21+'06'!T21+'07'!T21+'08'!T21+'09'!T21+'10'!T21+'11'!T21+'12'!T21+'13'!T21+'14'!T21+'15'!T21+'16'!T21+'17'!T21+'18'!T21+'19'!T21+'20'!T21+'21'!T21+'22'!T21+'23'!T21+'24'!T21+'25'!T21+'26'!T21+'27'!T21+'28'!T21+'29'!T21+'30'!T21+'31'!T21</f>
        <v>0.45208333333333334</v>
      </c>
      <c r="U20" s="52">
        <f>'01'!U21+'02'!U21+'03'!U21+'04'!U21+'05'!U21+'06'!U21+'07'!U21+'08'!U21+'09'!U21+'10'!U21+'11'!U21+'12'!U21+'13'!U21+'14'!U21+'15'!U21+'16'!U21+'17'!U21+'18'!U21+'19'!U21+'20'!U21+'21'!U21+'22'!U21+'23'!U21+'24'!U21+'25'!U21+'26'!U21+'27'!U21+'28'!U21+'29'!U21+'30'!U21+'31'!U21</f>
        <v>0</v>
      </c>
      <c r="V20" s="52">
        <f>'01'!V21+'02'!V21+'03'!V21+'04'!V21+'05'!V21+'06'!V21+'07'!V21+'08'!V21+'09'!V21+'10'!V21+'11'!V21+'12'!V21+'13'!V21+'14'!V21+'15'!V21+'16'!V21+'17'!V21+'18'!V21+'19'!V21+'20'!V21+'21'!V21+'22'!V21+'23'!V21+'24'!V21+'25'!V21+'26'!V21+'27'!V21+'28'!V21+'29'!V21+'30'!V21+'31'!V21</f>
        <v>0.57013888888888886</v>
      </c>
      <c r="W20" s="52">
        <f>'01'!W21+'02'!W21+'03'!W21+'04'!W21+'05'!W21+'06'!W21+'07'!W21+'08'!W21+'09'!W21+'10'!W21+'11'!W21+'12'!W21+'13'!W21+'14'!W21+'15'!W21+'16'!W21+'17'!W21+'18'!W21+'19'!W21+'20'!W21+'21'!W21+'22'!W21+'23'!W21+'24'!W21+'25'!W21+'26'!W21+'27'!W21+'28'!W21+'29'!W21+'30'!W21+'31'!W21</f>
        <v>0.5215277777777777</v>
      </c>
      <c r="X20" s="52">
        <f>'01'!X21+'02'!X21+'03'!X21+'04'!X21+'05'!X21+'06'!X21+'07'!X21+'08'!X21+'09'!X21+'10'!X21+'11'!X21+'12'!X21+'13'!X21+'14'!X21+'15'!X21+'16'!X21+'17'!X21+'18'!X21+'19'!X21+'20'!X21+'21'!X21+'22'!X21+'23'!X21+'24'!X21+'25'!X21+'26'!X21+'27'!X21+'28'!X21+'29'!X21+'30'!X21+'31'!X21</f>
        <v>0</v>
      </c>
      <c r="Y20" s="52">
        <f>'01'!Y21+'02'!Y21+'03'!Y21+'04'!Y21+'05'!Y21+'06'!Y21+'07'!Y21+'08'!Y21+'09'!Y21+'10'!Y21+'11'!Y21+'12'!Y21+'13'!Y21+'14'!Y21+'15'!Y21+'16'!Y21+'17'!Y21+'18'!Y21+'19'!Y21+'20'!Y21+'21'!Y21+'22'!Y21+'23'!Y21+'24'!Y21+'25'!Y21+'26'!Y21+'27'!Y21+'28'!Y21+'29'!Y21+'30'!Y21+'31'!Y21</f>
        <v>0</v>
      </c>
      <c r="Z20" s="52">
        <f>'01'!Z21+'02'!Z21+'03'!Z21+'04'!Z21+'05'!Z21+'06'!Z21+'07'!Z21+'08'!Z21+'09'!Z21+'10'!Z21+'11'!Z21+'12'!Z21+'13'!Z21+'14'!Z21+'15'!Z21+'16'!Z21+'17'!Z21+'18'!Z21+'19'!Z21+'20'!Z21+'21'!Z21+'22'!Z21+'23'!Z21+'24'!Z21+'25'!Z21+'26'!Z21+'27'!Z21+'28'!Z21+'29'!Z21+'30'!Z21+'31'!Z21</f>
        <v>0</v>
      </c>
      <c r="AA20" s="52">
        <f t="shared" si="2"/>
        <v>4.3631944444444448</v>
      </c>
    </row>
    <row r="21" spans="1:27" s="5" customFormat="1" x14ac:dyDescent="0.25">
      <c r="A21" s="167" t="s">
        <v>37</v>
      </c>
      <c r="B21" s="24" t="s">
        <v>30</v>
      </c>
      <c r="C21" s="25"/>
      <c r="D21" s="25"/>
      <c r="E21" s="26">
        <f t="shared" ref="E21:F27" si="3">E7+E14</f>
        <v>0</v>
      </c>
      <c r="F21" s="26">
        <f t="shared" si="3"/>
        <v>0</v>
      </c>
      <c r="G21" s="25"/>
      <c r="H21" s="25"/>
      <c r="I21" s="25"/>
      <c r="J21" s="46">
        <f>J7+J14</f>
        <v>7.2319444444444443</v>
      </c>
      <c r="K21" s="46">
        <f t="shared" ref="K21:Z21" si="4">K7+K14</f>
        <v>0.10069444444444445</v>
      </c>
      <c r="L21" s="46">
        <f t="shared" si="4"/>
        <v>5.5555555555555558E-3</v>
      </c>
      <c r="M21" s="46">
        <f t="shared" si="4"/>
        <v>0.11666666666666667</v>
      </c>
      <c r="N21" s="46">
        <f t="shared" si="4"/>
        <v>0.12638888888888888</v>
      </c>
      <c r="O21" s="46">
        <f t="shared" si="4"/>
        <v>2.9861111111111109E-2</v>
      </c>
      <c r="P21" s="46">
        <f t="shared" si="4"/>
        <v>0.1875</v>
      </c>
      <c r="Q21" s="46">
        <f t="shared" si="4"/>
        <v>0</v>
      </c>
      <c r="R21" s="46">
        <f t="shared" si="4"/>
        <v>6.9444444444444441E-3</v>
      </c>
      <c r="S21" s="46">
        <f t="shared" si="4"/>
        <v>2.3812500000000005</v>
      </c>
      <c r="T21" s="46">
        <f t="shared" si="4"/>
        <v>1.2243055555555553</v>
      </c>
      <c r="U21" s="46">
        <f t="shared" si="4"/>
        <v>0</v>
      </c>
      <c r="V21" s="46">
        <f t="shared" si="4"/>
        <v>0.34722222222222221</v>
      </c>
      <c r="W21" s="46">
        <f t="shared" si="4"/>
        <v>0.15069444444444444</v>
      </c>
      <c r="X21" s="46">
        <f t="shared" si="4"/>
        <v>0.15694444444444444</v>
      </c>
      <c r="Y21" s="46">
        <f t="shared" si="4"/>
        <v>0</v>
      </c>
      <c r="Z21" s="46">
        <f t="shared" si="4"/>
        <v>9.7222222222222224E-3</v>
      </c>
      <c r="AA21" s="46">
        <f>SUM(J21:Z21)</f>
        <v>12.075694444444443</v>
      </c>
    </row>
    <row r="22" spans="1:27" s="5" customFormat="1" x14ac:dyDescent="0.25">
      <c r="A22" s="168"/>
      <c r="B22" s="10" t="s">
        <v>31</v>
      </c>
      <c r="C22" s="11"/>
      <c r="D22" s="11"/>
      <c r="E22" s="12">
        <f t="shared" si="3"/>
        <v>0</v>
      </c>
      <c r="F22" s="12">
        <f t="shared" si="3"/>
        <v>0</v>
      </c>
      <c r="G22" s="11"/>
      <c r="H22" s="11"/>
      <c r="I22" s="11"/>
      <c r="J22" s="46">
        <f t="shared" ref="J22:Z22" si="5">J8+J15</f>
        <v>3.4145833333333329</v>
      </c>
      <c r="K22" s="46">
        <f t="shared" si="5"/>
        <v>0.14097222222222222</v>
      </c>
      <c r="L22" s="46">
        <f t="shared" si="5"/>
        <v>9.8611111111111108E-2</v>
      </c>
      <c r="M22" s="46">
        <f t="shared" si="5"/>
        <v>0.20902777777777776</v>
      </c>
      <c r="N22" s="46">
        <f t="shared" si="5"/>
        <v>0.18194444444444444</v>
      </c>
      <c r="O22" s="46">
        <f t="shared" si="5"/>
        <v>3.680555555555555E-2</v>
      </c>
      <c r="P22" s="46">
        <f t="shared" si="5"/>
        <v>0</v>
      </c>
      <c r="Q22" s="46">
        <f t="shared" si="5"/>
        <v>1.0416666666666666E-2</v>
      </c>
      <c r="R22" s="46">
        <f t="shared" si="5"/>
        <v>0.1388888888888889</v>
      </c>
      <c r="S22" s="46">
        <f t="shared" si="5"/>
        <v>2.4319444444444445</v>
      </c>
      <c r="T22" s="46">
        <f t="shared" si="5"/>
        <v>1.1131944444444444</v>
      </c>
      <c r="U22" s="46">
        <f t="shared" si="5"/>
        <v>0</v>
      </c>
      <c r="V22" s="46">
        <f t="shared" si="5"/>
        <v>2.4999999999999998E-2</v>
      </c>
      <c r="W22" s="46">
        <f t="shared" si="5"/>
        <v>0.98541666666666661</v>
      </c>
      <c r="X22" s="46">
        <f t="shared" si="5"/>
        <v>0.17500000000000002</v>
      </c>
      <c r="Y22" s="46">
        <f t="shared" si="5"/>
        <v>0</v>
      </c>
      <c r="Z22" s="46">
        <f t="shared" si="5"/>
        <v>5.0694444444444452E-2</v>
      </c>
      <c r="AA22" s="46">
        <f t="shared" ref="AA22:AA27" si="6">SUM(J22:Z22)</f>
        <v>9.0125000000000011</v>
      </c>
    </row>
    <row r="23" spans="1:27" s="5" customFormat="1" x14ac:dyDescent="0.25">
      <c r="A23" s="168"/>
      <c r="B23" s="113" t="s">
        <v>59</v>
      </c>
      <c r="C23" s="11"/>
      <c r="D23" s="11"/>
      <c r="E23" s="12">
        <f t="shared" si="3"/>
        <v>0</v>
      </c>
      <c r="F23" s="12">
        <f t="shared" si="3"/>
        <v>0</v>
      </c>
      <c r="G23" s="11"/>
      <c r="H23" s="11"/>
      <c r="I23" s="11"/>
      <c r="J23" s="46">
        <f t="shared" ref="J23:Z23" si="7">J9+J16</f>
        <v>0</v>
      </c>
      <c r="K23" s="46">
        <f t="shared" si="7"/>
        <v>0</v>
      </c>
      <c r="L23" s="46">
        <f t="shared" si="7"/>
        <v>0</v>
      </c>
      <c r="M23" s="46">
        <f t="shared" si="7"/>
        <v>0</v>
      </c>
      <c r="N23" s="46">
        <f t="shared" si="7"/>
        <v>0</v>
      </c>
      <c r="O23" s="46">
        <f t="shared" si="7"/>
        <v>0</v>
      </c>
      <c r="P23" s="46">
        <f t="shared" si="7"/>
        <v>0</v>
      </c>
      <c r="Q23" s="46">
        <f t="shared" si="7"/>
        <v>0</v>
      </c>
      <c r="R23" s="46">
        <f t="shared" si="7"/>
        <v>0</v>
      </c>
      <c r="S23" s="46">
        <f t="shared" si="7"/>
        <v>0</v>
      </c>
      <c r="T23" s="46">
        <f t="shared" si="7"/>
        <v>0</v>
      </c>
      <c r="U23" s="46">
        <f t="shared" si="7"/>
        <v>0</v>
      </c>
      <c r="V23" s="46">
        <f t="shared" si="7"/>
        <v>0</v>
      </c>
      <c r="W23" s="46">
        <f t="shared" si="7"/>
        <v>0</v>
      </c>
      <c r="X23" s="46">
        <f t="shared" si="7"/>
        <v>0</v>
      </c>
      <c r="Y23" s="46">
        <f t="shared" si="7"/>
        <v>0</v>
      </c>
      <c r="Z23" s="46">
        <f t="shared" si="7"/>
        <v>0</v>
      </c>
      <c r="AA23" s="46">
        <f t="shared" si="6"/>
        <v>0</v>
      </c>
    </row>
    <row r="24" spans="1:27" s="5" customFormat="1" x14ac:dyDescent="0.25">
      <c r="A24" s="168"/>
      <c r="B24" s="10" t="s">
        <v>32</v>
      </c>
      <c r="C24" s="11"/>
      <c r="D24" s="11"/>
      <c r="E24" s="12">
        <f t="shared" si="3"/>
        <v>0</v>
      </c>
      <c r="F24" s="12">
        <f t="shared" si="3"/>
        <v>0</v>
      </c>
      <c r="G24" s="11"/>
      <c r="H24" s="11"/>
      <c r="I24" s="11"/>
      <c r="J24" s="46">
        <f t="shared" ref="J24:Z24" si="8">J10+J17</f>
        <v>4.4423611111111114</v>
      </c>
      <c r="K24" s="46">
        <f t="shared" si="8"/>
        <v>8.7499999999999994E-2</v>
      </c>
      <c r="L24" s="46">
        <f t="shared" si="8"/>
        <v>1.9444444444444445E-2</v>
      </c>
      <c r="M24" s="46">
        <f t="shared" si="8"/>
        <v>0.22083333333333333</v>
      </c>
      <c r="N24" s="46">
        <f t="shared" si="8"/>
        <v>0.19375000000000003</v>
      </c>
      <c r="O24" s="46">
        <f t="shared" si="8"/>
        <v>5.5555555555555558E-3</v>
      </c>
      <c r="P24" s="46">
        <f t="shared" si="8"/>
        <v>0</v>
      </c>
      <c r="Q24" s="46">
        <f t="shared" si="8"/>
        <v>0</v>
      </c>
      <c r="R24" s="46">
        <f t="shared" si="8"/>
        <v>0.1590277777777778</v>
      </c>
      <c r="S24" s="46">
        <f t="shared" si="8"/>
        <v>2.3208333333333337</v>
      </c>
      <c r="T24" s="46">
        <f t="shared" si="8"/>
        <v>1.3402777777777777</v>
      </c>
      <c r="U24" s="46">
        <f t="shared" si="8"/>
        <v>1.0416666666666666E-2</v>
      </c>
      <c r="V24" s="46">
        <f t="shared" si="8"/>
        <v>0.19513888888888889</v>
      </c>
      <c r="W24" s="46">
        <f t="shared" si="8"/>
        <v>1.0118055555555556</v>
      </c>
      <c r="X24" s="46">
        <f t="shared" si="8"/>
        <v>0</v>
      </c>
      <c r="Y24" s="46">
        <f t="shared" si="8"/>
        <v>0</v>
      </c>
      <c r="Z24" s="46">
        <f t="shared" si="8"/>
        <v>4.5138888888888888E-2</v>
      </c>
      <c r="AA24" s="46">
        <f t="shared" si="6"/>
        <v>10.052083333333336</v>
      </c>
    </row>
    <row r="25" spans="1:27" s="5" customFormat="1" x14ac:dyDescent="0.25">
      <c r="A25" s="168"/>
      <c r="B25" s="10" t="s">
        <v>33</v>
      </c>
      <c r="C25" s="11"/>
      <c r="D25" s="11"/>
      <c r="E25" s="12">
        <f t="shared" si="3"/>
        <v>0</v>
      </c>
      <c r="F25" s="12">
        <f t="shared" si="3"/>
        <v>0</v>
      </c>
      <c r="G25" s="11"/>
      <c r="H25" s="11"/>
      <c r="I25" s="11"/>
      <c r="J25" s="46">
        <f>J11+J18</f>
        <v>2.2881944444444442</v>
      </c>
      <c r="K25" s="46">
        <f t="shared" ref="K25:Z25" si="9">K11+K18</f>
        <v>0.26805555555555555</v>
      </c>
      <c r="L25" s="46">
        <f t="shared" si="9"/>
        <v>7.0833333333333331E-2</v>
      </c>
      <c r="M25" s="46">
        <f t="shared" si="9"/>
        <v>0.22847222222222219</v>
      </c>
      <c r="N25" s="46">
        <f t="shared" si="9"/>
        <v>0.23888888888888893</v>
      </c>
      <c r="O25" s="46">
        <f t="shared" si="9"/>
        <v>2.7777777777777776E-2</v>
      </c>
      <c r="P25" s="46">
        <f t="shared" si="9"/>
        <v>0</v>
      </c>
      <c r="Q25" s="46">
        <f t="shared" si="9"/>
        <v>0</v>
      </c>
      <c r="R25" s="46">
        <f t="shared" si="9"/>
        <v>0.18263888888888891</v>
      </c>
      <c r="S25" s="46">
        <f t="shared" si="9"/>
        <v>2.1965277777777779</v>
      </c>
      <c r="T25" s="46">
        <f t="shared" si="9"/>
        <v>1.4694444444444443</v>
      </c>
      <c r="U25" s="46">
        <f t="shared" si="9"/>
        <v>3.9583333333333331E-2</v>
      </c>
      <c r="V25" s="46">
        <f t="shared" si="9"/>
        <v>0.13055555555555554</v>
      </c>
      <c r="W25" s="46">
        <f t="shared" si="9"/>
        <v>0.82708333333333339</v>
      </c>
      <c r="X25" s="46">
        <f t="shared" si="9"/>
        <v>6.458333333333334E-2</v>
      </c>
      <c r="Y25" s="46">
        <f t="shared" si="9"/>
        <v>0</v>
      </c>
      <c r="Z25" s="46">
        <f t="shared" si="9"/>
        <v>7.2222222222222229E-2</v>
      </c>
      <c r="AA25" s="46">
        <f t="shared" si="6"/>
        <v>8.1048611111111111</v>
      </c>
    </row>
    <row r="26" spans="1:27" s="5" customFormat="1" x14ac:dyDescent="0.25">
      <c r="A26" s="168"/>
      <c r="B26" s="10" t="s">
        <v>34</v>
      </c>
      <c r="C26" s="11"/>
      <c r="D26" s="11"/>
      <c r="E26" s="12">
        <f t="shared" si="3"/>
        <v>0</v>
      </c>
      <c r="F26" s="12">
        <f t="shared" si="3"/>
        <v>0</v>
      </c>
      <c r="G26" s="11"/>
      <c r="H26" s="11"/>
      <c r="I26" s="11"/>
      <c r="J26" s="46">
        <f t="shared" ref="J26:Z26" si="10">J12+J19</f>
        <v>1.2805555555555554</v>
      </c>
      <c r="K26" s="46">
        <f t="shared" si="10"/>
        <v>0.2</v>
      </c>
      <c r="L26" s="46">
        <f t="shared" si="10"/>
        <v>3.6111111111111108E-2</v>
      </c>
      <c r="M26" s="46">
        <f t="shared" si="10"/>
        <v>0.23194444444444448</v>
      </c>
      <c r="N26" s="46">
        <f t="shared" si="10"/>
        <v>0.20902777777777781</v>
      </c>
      <c r="O26" s="46">
        <f t="shared" si="10"/>
        <v>2.1527777777777778E-2</v>
      </c>
      <c r="P26" s="46">
        <f t="shared" si="10"/>
        <v>0</v>
      </c>
      <c r="Q26" s="46">
        <f t="shared" si="10"/>
        <v>0</v>
      </c>
      <c r="R26" s="46">
        <f t="shared" si="10"/>
        <v>0.14652777777777778</v>
      </c>
      <c r="S26" s="46">
        <f t="shared" si="10"/>
        <v>2.4631944444444445</v>
      </c>
      <c r="T26" s="46">
        <f t="shared" si="10"/>
        <v>1.5458333333333334</v>
      </c>
      <c r="U26" s="46">
        <f t="shared" si="10"/>
        <v>2.5694444444444443E-2</v>
      </c>
      <c r="V26" s="46">
        <f t="shared" si="10"/>
        <v>0.24305555555555558</v>
      </c>
      <c r="W26" s="46">
        <f t="shared" si="10"/>
        <v>0.6333333333333333</v>
      </c>
      <c r="X26" s="46">
        <f t="shared" si="10"/>
        <v>0</v>
      </c>
      <c r="Y26" s="46">
        <f t="shared" si="10"/>
        <v>0</v>
      </c>
      <c r="Z26" s="46">
        <f t="shared" si="10"/>
        <v>4.2361111111111113E-2</v>
      </c>
      <c r="AA26" s="46">
        <f t="shared" si="6"/>
        <v>7.0791666666666657</v>
      </c>
    </row>
    <row r="27" spans="1:27" s="5" customFormat="1" x14ac:dyDescent="0.25">
      <c r="A27" s="169"/>
      <c r="B27" s="14" t="s">
        <v>35</v>
      </c>
      <c r="C27" s="15"/>
      <c r="D27" s="15"/>
      <c r="E27" s="16">
        <f t="shared" si="3"/>
        <v>0</v>
      </c>
      <c r="F27" s="16">
        <f t="shared" si="3"/>
        <v>0</v>
      </c>
      <c r="G27" s="15"/>
      <c r="H27" s="15"/>
      <c r="I27" s="15"/>
      <c r="J27" s="48">
        <f t="shared" ref="J27:Z27" si="11">J13+J20</f>
        <v>2.1951388888888888</v>
      </c>
      <c r="K27" s="48">
        <f t="shared" si="11"/>
        <v>0.19236111111111109</v>
      </c>
      <c r="L27" s="48">
        <f t="shared" si="11"/>
        <v>0</v>
      </c>
      <c r="M27" s="48">
        <f t="shared" si="11"/>
        <v>0.19097222222222221</v>
      </c>
      <c r="N27" s="48">
        <f t="shared" si="11"/>
        <v>0.14861111111111111</v>
      </c>
      <c r="O27" s="48">
        <f t="shared" si="11"/>
        <v>0</v>
      </c>
      <c r="P27" s="48">
        <f t="shared" si="11"/>
        <v>0.11249999999999999</v>
      </c>
      <c r="Q27" s="48">
        <f t="shared" si="11"/>
        <v>0</v>
      </c>
      <c r="R27" s="48">
        <f t="shared" si="11"/>
        <v>6.1805555555555551E-2</v>
      </c>
      <c r="S27" s="48">
        <f t="shared" si="11"/>
        <v>1.7131944444444445</v>
      </c>
      <c r="T27" s="48">
        <f t="shared" si="11"/>
        <v>0.73055555555555562</v>
      </c>
      <c r="U27" s="48">
        <f t="shared" si="11"/>
        <v>1.4583333333333334E-2</v>
      </c>
      <c r="V27" s="48">
        <f t="shared" si="11"/>
        <v>1.8708333333333336</v>
      </c>
      <c r="W27" s="48">
        <f t="shared" si="11"/>
        <v>1.0243055555555554</v>
      </c>
      <c r="X27" s="48">
        <f t="shared" si="11"/>
        <v>0</v>
      </c>
      <c r="Y27" s="48">
        <f t="shared" si="11"/>
        <v>0</v>
      </c>
      <c r="Z27" s="48">
        <f t="shared" si="11"/>
        <v>2.1527777777777778E-2</v>
      </c>
      <c r="AA27" s="48">
        <f t="shared" si="6"/>
        <v>8.2763888888888886</v>
      </c>
    </row>
  </sheetData>
  <mergeCells count="13">
    <mergeCell ref="A21:A27"/>
    <mergeCell ref="G5:G6"/>
    <mergeCell ref="H5:H6"/>
    <mergeCell ref="I5:I6"/>
    <mergeCell ref="J5:Z5"/>
    <mergeCell ref="A7:A13"/>
    <mergeCell ref="A14:A20"/>
    <mergeCell ref="A5:A6"/>
    <mergeCell ref="B5:B6"/>
    <mergeCell ref="C5:C6"/>
    <mergeCell ref="D5:D6"/>
    <mergeCell ref="E5:E6"/>
    <mergeCell ref="F5:F6"/>
  </mergeCells>
  <printOptions horizontalCentered="1"/>
  <pageMargins left="0.45" right="0.45" top="0.75" bottom="0.5" header="0.3" footer="0.3"/>
  <pageSetup paperSize="8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B2:F11"/>
  <sheetViews>
    <sheetView workbookViewId="0">
      <selection activeCell="L7" sqref="L7"/>
    </sheetView>
  </sheetViews>
  <sheetFormatPr defaultColWidth="9.140625" defaultRowHeight="14.25" x14ac:dyDescent="0.25"/>
  <cols>
    <col min="1" max="1" width="9.140625" style="35"/>
    <col min="2" max="2" width="19.7109375" style="35" customWidth="1"/>
    <col min="3" max="3" width="15.7109375" style="35" hidden="1" customWidth="1"/>
    <col min="4" max="4" width="18.42578125" style="35" customWidth="1"/>
    <col min="5" max="5" width="17.140625" style="35" customWidth="1"/>
    <col min="6" max="6" width="17.28515625" style="35" customWidth="1"/>
    <col min="7" max="16384" width="9.140625" style="35"/>
  </cols>
  <sheetData>
    <row r="2" spans="2:6" ht="18" x14ac:dyDescent="0.25">
      <c r="B2" s="195" t="s">
        <v>67</v>
      </c>
      <c r="C2" s="195"/>
      <c r="D2" s="195"/>
      <c r="E2" s="195"/>
      <c r="F2" s="195"/>
    </row>
    <row r="3" spans="2:6" s="34" customFormat="1" ht="27" customHeight="1" x14ac:dyDescent="0.25">
      <c r="B3" s="44" t="s">
        <v>42</v>
      </c>
      <c r="C3" s="45"/>
      <c r="D3" s="45" t="s">
        <v>43</v>
      </c>
      <c r="E3" s="44" t="s">
        <v>39</v>
      </c>
      <c r="F3" s="44" t="s">
        <v>40</v>
      </c>
    </row>
    <row r="4" spans="2:6" ht="27.75" customHeight="1" x14ac:dyDescent="0.25">
      <c r="B4" s="41" t="s">
        <v>30</v>
      </c>
      <c r="C4" s="53">
        <f>SUMMARY!J21</f>
        <v>7.2319444444444443</v>
      </c>
      <c r="D4" s="42">
        <f>173+(34/60)</f>
        <v>173.56666666666666</v>
      </c>
      <c r="E4" s="41">
        <v>400</v>
      </c>
      <c r="F4" s="43">
        <f>+D4*E4</f>
        <v>69426.666666666672</v>
      </c>
    </row>
    <row r="5" spans="2:6" ht="27.75" customHeight="1" x14ac:dyDescent="0.25">
      <c r="B5" s="36" t="s">
        <v>31</v>
      </c>
      <c r="C5" s="54">
        <f>SUMMARY!J22</f>
        <v>3.4145833333333329</v>
      </c>
      <c r="D5" s="37">
        <f>81+(57/60)</f>
        <v>81.95</v>
      </c>
      <c r="E5" s="36">
        <v>400</v>
      </c>
      <c r="F5" s="38">
        <f t="shared" ref="F5:F10" si="0">+D5*E5</f>
        <v>32780</v>
      </c>
    </row>
    <row r="6" spans="2:6" ht="27.75" customHeight="1" x14ac:dyDescent="0.25">
      <c r="B6" s="36" t="s">
        <v>59</v>
      </c>
      <c r="C6" s="54">
        <f>SUMMARY!J23</f>
        <v>0</v>
      </c>
      <c r="D6" s="37">
        <f>0+(0/60)</f>
        <v>0</v>
      </c>
      <c r="E6" s="36">
        <v>400</v>
      </c>
      <c r="F6" s="38">
        <f t="shared" ref="F6:F7" si="1">+D6*E6</f>
        <v>0</v>
      </c>
    </row>
    <row r="7" spans="2:6" ht="27.75" customHeight="1" x14ac:dyDescent="0.25">
      <c r="B7" s="36" t="s">
        <v>32</v>
      </c>
      <c r="C7" s="54">
        <f>SUMMARY!J24</f>
        <v>4.4423611111111114</v>
      </c>
      <c r="D7" s="37">
        <f>106+(37/60)</f>
        <v>106.61666666666666</v>
      </c>
      <c r="E7" s="36">
        <v>400</v>
      </c>
      <c r="F7" s="38">
        <f t="shared" si="1"/>
        <v>42646.666666666664</v>
      </c>
    </row>
    <row r="8" spans="2:6" ht="27.75" customHeight="1" x14ac:dyDescent="0.25">
      <c r="B8" s="36" t="s">
        <v>33</v>
      </c>
      <c r="C8" s="54">
        <f>SUMMARY!J25</f>
        <v>2.2881944444444442</v>
      </c>
      <c r="D8" s="37">
        <f>54+(55/60)</f>
        <v>54.916666666666664</v>
      </c>
      <c r="E8" s="36">
        <v>400</v>
      </c>
      <c r="F8" s="38">
        <f t="shared" si="0"/>
        <v>21966.666666666664</v>
      </c>
    </row>
    <row r="9" spans="2:6" ht="27.75" customHeight="1" x14ac:dyDescent="0.25">
      <c r="B9" s="36" t="s">
        <v>34</v>
      </c>
      <c r="C9" s="54">
        <f>SUMMARY!J26</f>
        <v>1.2805555555555554</v>
      </c>
      <c r="D9" s="37">
        <f>30+(44/60)</f>
        <v>30.733333333333334</v>
      </c>
      <c r="E9" s="36">
        <v>400</v>
      </c>
      <c r="F9" s="38">
        <f t="shared" si="0"/>
        <v>12293.333333333334</v>
      </c>
    </row>
    <row r="10" spans="2:6" ht="27.75" customHeight="1" x14ac:dyDescent="0.25">
      <c r="B10" s="39" t="s">
        <v>35</v>
      </c>
      <c r="C10" s="54">
        <f>SUMMARY!J27</f>
        <v>2.1951388888888888</v>
      </c>
      <c r="D10" s="37">
        <f>52+(41/60)</f>
        <v>52.68333333333333</v>
      </c>
      <c r="E10" s="39">
        <v>350</v>
      </c>
      <c r="F10" s="40">
        <f t="shared" si="0"/>
        <v>18439.166666666664</v>
      </c>
    </row>
    <row r="11" spans="2:6" ht="27.75" customHeight="1" x14ac:dyDescent="0.25">
      <c r="B11" s="194" t="s">
        <v>41</v>
      </c>
      <c r="C11" s="194"/>
      <c r="D11" s="194"/>
      <c r="E11" s="194"/>
      <c r="F11" s="84">
        <f>SUM(F4:F10)</f>
        <v>197552.5</v>
      </c>
    </row>
  </sheetData>
  <mergeCells count="2">
    <mergeCell ref="B11:E11"/>
    <mergeCell ref="B2:F2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B2:AF15"/>
  <sheetViews>
    <sheetView topLeftCell="B1" zoomScale="85" zoomScaleNormal="85" zoomScaleSheetLayoutView="85" workbookViewId="0">
      <pane xSplit="1" ySplit="4" topLeftCell="Q5" activePane="bottomRight" state="frozen"/>
      <selection activeCell="S13" sqref="S13"/>
      <selection pane="topRight" activeCell="S13" sqref="S13"/>
      <selection pane="bottomLeft" activeCell="S13" sqref="S13"/>
      <selection pane="bottomRight" activeCell="AE8" sqref="AE8"/>
    </sheetView>
  </sheetViews>
  <sheetFormatPr defaultColWidth="9.140625" defaultRowHeight="14.25" x14ac:dyDescent="0.25"/>
  <cols>
    <col min="1" max="1" width="9.140625" style="35"/>
    <col min="2" max="2" width="25.85546875" style="35" customWidth="1"/>
    <col min="3" max="3" width="8.7109375" style="35" hidden="1" customWidth="1"/>
    <col min="4" max="4" width="8.7109375" style="35" customWidth="1"/>
    <col min="5" max="5" width="10" style="35" customWidth="1"/>
    <col min="6" max="6" width="11.28515625" style="35" customWidth="1"/>
    <col min="7" max="7" width="13.42578125" style="35" hidden="1" customWidth="1"/>
    <col min="8" max="8" width="8.7109375" style="35" customWidth="1"/>
    <col min="9" max="9" width="10" style="35" customWidth="1"/>
    <col min="10" max="10" width="10.28515625" style="35" customWidth="1"/>
    <col min="11" max="11" width="13.42578125" style="35" hidden="1" customWidth="1"/>
    <col min="12" max="12" width="8.7109375" style="35" customWidth="1"/>
    <col min="13" max="13" width="10" style="35" customWidth="1"/>
    <col min="14" max="14" width="10.28515625" style="35" customWidth="1"/>
    <col min="15" max="15" width="13.42578125" style="35" hidden="1" customWidth="1"/>
    <col min="16" max="16" width="8.7109375" style="35" customWidth="1"/>
    <col min="17" max="17" width="10" style="35" customWidth="1"/>
    <col min="18" max="18" width="11.7109375" style="35" customWidth="1"/>
    <col min="19" max="19" width="13.42578125" style="35" hidden="1" customWidth="1"/>
    <col min="20" max="20" width="8.7109375" style="35" customWidth="1"/>
    <col min="21" max="21" width="10" style="35" customWidth="1"/>
    <col min="22" max="22" width="10.28515625" style="35" customWidth="1"/>
    <col min="23" max="23" width="13.42578125" style="35" hidden="1" customWidth="1"/>
    <col min="24" max="24" width="8.7109375" style="35" customWidth="1"/>
    <col min="25" max="25" width="10" style="35" customWidth="1"/>
    <col min="26" max="26" width="10.28515625" style="35" customWidth="1"/>
    <col min="27" max="27" width="13.42578125" style="35" hidden="1" customWidth="1"/>
    <col min="28" max="28" width="8.7109375" style="35" customWidth="1"/>
    <col min="29" max="29" width="10" style="35" customWidth="1"/>
    <col min="30" max="30" width="10.28515625" style="35" customWidth="1"/>
    <col min="31" max="31" width="8.7109375" style="35" customWidth="1"/>
    <col min="32" max="32" width="11.42578125" style="35" customWidth="1"/>
    <col min="33" max="16384" width="9.140625" style="35"/>
  </cols>
  <sheetData>
    <row r="2" spans="2:32" ht="18" x14ac:dyDescent="0.25">
      <c r="B2" s="196" t="s">
        <v>68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</row>
    <row r="3" spans="2:32" s="34" customFormat="1" ht="27" customHeight="1" x14ac:dyDescent="0.25">
      <c r="B3" s="197" t="s">
        <v>42</v>
      </c>
      <c r="C3" s="197" t="s">
        <v>30</v>
      </c>
      <c r="D3" s="197"/>
      <c r="E3" s="197"/>
      <c r="F3" s="197"/>
      <c r="G3" s="197" t="s">
        <v>31</v>
      </c>
      <c r="H3" s="197"/>
      <c r="I3" s="197"/>
      <c r="J3" s="197"/>
      <c r="K3" s="197" t="s">
        <v>59</v>
      </c>
      <c r="L3" s="197"/>
      <c r="M3" s="197"/>
      <c r="N3" s="197"/>
      <c r="O3" s="197" t="s">
        <v>32</v>
      </c>
      <c r="P3" s="197"/>
      <c r="Q3" s="197"/>
      <c r="R3" s="197"/>
      <c r="S3" s="197" t="s">
        <v>33</v>
      </c>
      <c r="T3" s="197"/>
      <c r="U3" s="197"/>
      <c r="V3" s="197"/>
      <c r="W3" s="197" t="s">
        <v>34</v>
      </c>
      <c r="X3" s="197"/>
      <c r="Y3" s="197"/>
      <c r="Z3" s="197"/>
      <c r="AA3" s="197" t="s">
        <v>35</v>
      </c>
      <c r="AB3" s="197"/>
      <c r="AC3" s="197"/>
      <c r="AD3" s="197"/>
      <c r="AE3" s="198"/>
      <c r="AF3" s="198"/>
    </row>
    <row r="4" spans="2:32" s="34" customFormat="1" ht="42" customHeight="1" x14ac:dyDescent="0.25">
      <c r="B4" s="197"/>
      <c r="C4" s="45"/>
      <c r="D4" s="45" t="s">
        <v>45</v>
      </c>
      <c r="E4" s="45" t="s">
        <v>46</v>
      </c>
      <c r="F4" s="45" t="s">
        <v>40</v>
      </c>
      <c r="G4" s="45"/>
      <c r="H4" s="45" t="s">
        <v>45</v>
      </c>
      <c r="I4" s="45" t="s">
        <v>46</v>
      </c>
      <c r="J4" s="45" t="s">
        <v>40</v>
      </c>
      <c r="K4" s="114"/>
      <c r="L4" s="114" t="s">
        <v>45</v>
      </c>
      <c r="M4" s="114" t="s">
        <v>46</v>
      </c>
      <c r="N4" s="114" t="s">
        <v>40</v>
      </c>
      <c r="O4" s="45"/>
      <c r="P4" s="45" t="s">
        <v>45</v>
      </c>
      <c r="Q4" s="45" t="s">
        <v>46</v>
      </c>
      <c r="R4" s="45" t="s">
        <v>40</v>
      </c>
      <c r="S4" s="45"/>
      <c r="T4" s="45" t="s">
        <v>45</v>
      </c>
      <c r="U4" s="45" t="s">
        <v>46</v>
      </c>
      <c r="V4" s="45" t="s">
        <v>40</v>
      </c>
      <c r="W4" s="45"/>
      <c r="X4" s="45" t="s">
        <v>45</v>
      </c>
      <c r="Y4" s="45" t="s">
        <v>46</v>
      </c>
      <c r="Z4" s="45" t="s">
        <v>40</v>
      </c>
      <c r="AA4" s="45"/>
      <c r="AB4" s="45" t="s">
        <v>45</v>
      </c>
      <c r="AC4" s="45" t="s">
        <v>46</v>
      </c>
      <c r="AD4" s="45" t="s">
        <v>40</v>
      </c>
      <c r="AE4" s="63" t="s">
        <v>45</v>
      </c>
      <c r="AF4" s="63" t="s">
        <v>40</v>
      </c>
    </row>
    <row r="5" spans="2:32" ht="27.75" customHeight="1" x14ac:dyDescent="0.25">
      <c r="B5" s="92" t="s">
        <v>55</v>
      </c>
      <c r="C5" s="57"/>
      <c r="D5" s="58"/>
      <c r="E5" s="59"/>
      <c r="F5" s="59"/>
      <c r="G5" s="57"/>
      <c r="H5" s="59"/>
      <c r="I5" s="59"/>
      <c r="J5" s="59"/>
      <c r="K5" s="57"/>
      <c r="L5" s="59"/>
      <c r="M5" s="59"/>
      <c r="N5" s="59"/>
      <c r="O5" s="57"/>
      <c r="P5" s="59"/>
      <c r="Q5" s="59"/>
      <c r="R5" s="59"/>
      <c r="S5" s="57"/>
      <c r="T5" s="59"/>
      <c r="U5" s="59"/>
      <c r="V5" s="59"/>
      <c r="W5" s="57"/>
      <c r="X5" s="58"/>
      <c r="Y5" s="59"/>
      <c r="Z5" s="59"/>
      <c r="AA5" s="57"/>
      <c r="AB5" s="59"/>
      <c r="AC5" s="59"/>
      <c r="AD5" s="59"/>
      <c r="AE5" s="58"/>
      <c r="AF5" s="59"/>
    </row>
    <row r="6" spans="2:32" ht="27.75" customHeight="1" x14ac:dyDescent="0.25">
      <c r="B6" s="41" t="s">
        <v>12</v>
      </c>
      <c r="C6" s="56">
        <f>SUMMARY!J21</f>
        <v>7.2319444444444443</v>
      </c>
      <c r="D6" s="58">
        <f>173+(34/60)</f>
        <v>173.56666666666666</v>
      </c>
      <c r="E6" s="58">
        <v>400</v>
      </c>
      <c r="F6" s="58">
        <f>+D6*E6</f>
        <v>69426.666666666672</v>
      </c>
      <c r="G6" s="56">
        <f>SUMMARY!J22</f>
        <v>3.4145833333333329</v>
      </c>
      <c r="H6" s="58">
        <f>81+(57/60)</f>
        <v>81.95</v>
      </c>
      <c r="I6" s="58">
        <v>400</v>
      </c>
      <c r="J6" s="58">
        <f>+H6*I6</f>
        <v>32780</v>
      </c>
      <c r="K6" s="56">
        <f>+SUMMARY!J23</f>
        <v>0</v>
      </c>
      <c r="L6" s="58">
        <f>0+(0/60)</f>
        <v>0</v>
      </c>
      <c r="M6" s="58">
        <v>400</v>
      </c>
      <c r="N6" s="58">
        <f>+L6*M6</f>
        <v>0</v>
      </c>
      <c r="O6" s="56">
        <f>+SUMMARY!J24</f>
        <v>4.4423611111111114</v>
      </c>
      <c r="P6" s="58">
        <f>106+(37/60)</f>
        <v>106.61666666666666</v>
      </c>
      <c r="Q6" s="58">
        <v>400</v>
      </c>
      <c r="R6" s="58">
        <f>+P6*Q6</f>
        <v>42646.666666666664</v>
      </c>
      <c r="S6" s="56">
        <f>+SUMMARY!J25</f>
        <v>2.2881944444444442</v>
      </c>
      <c r="T6" s="58">
        <f>54+(55/60)</f>
        <v>54.916666666666664</v>
      </c>
      <c r="U6" s="58">
        <v>400</v>
      </c>
      <c r="V6" s="58">
        <f>+T6*U6</f>
        <v>21966.666666666664</v>
      </c>
      <c r="W6" s="56">
        <f>+SUMMARY!J26</f>
        <v>1.2805555555555554</v>
      </c>
      <c r="X6" s="58">
        <f>30+(44/60)</f>
        <v>30.733333333333334</v>
      </c>
      <c r="Y6" s="58">
        <v>400</v>
      </c>
      <c r="Z6" s="58">
        <f>+X6*Y6</f>
        <v>12293.333333333334</v>
      </c>
      <c r="AA6" s="56">
        <f>+SUMMARY!J27</f>
        <v>2.1951388888888888</v>
      </c>
      <c r="AB6" s="58">
        <f>52+(41/60)</f>
        <v>52.68333333333333</v>
      </c>
      <c r="AC6" s="58">
        <v>350</v>
      </c>
      <c r="AD6" s="58">
        <f>+AB6*AC6</f>
        <v>18439.166666666664</v>
      </c>
      <c r="AE6" s="58">
        <f>+D6+H6+P6+T6+X6+AB6+L6</f>
        <v>500.4666666666667</v>
      </c>
      <c r="AF6" s="58">
        <f>+F6+J6+R6+V6+Z6+AD6+N6</f>
        <v>197552.5</v>
      </c>
    </row>
    <row r="7" spans="2:32" ht="27.75" customHeight="1" x14ac:dyDescent="0.25">
      <c r="B7" s="36" t="s">
        <v>17</v>
      </c>
      <c r="C7" s="57">
        <f>SUMMARY!O21</f>
        <v>2.9861111111111109E-2</v>
      </c>
      <c r="D7" s="58">
        <f>0+(43/60)</f>
        <v>0.71666666666666667</v>
      </c>
      <c r="E7" s="59">
        <v>400</v>
      </c>
      <c r="F7" s="59">
        <f t="shared" ref="F7:F12" si="0">+D7*E7</f>
        <v>286.66666666666669</v>
      </c>
      <c r="G7" s="57">
        <f>SUMMARY!O22</f>
        <v>3.680555555555555E-2</v>
      </c>
      <c r="H7" s="58">
        <f>0+(53/60)</f>
        <v>0.8833333333333333</v>
      </c>
      <c r="I7" s="59">
        <v>400</v>
      </c>
      <c r="J7" s="59">
        <f t="shared" ref="J7:J12" si="1">+H7*I7</f>
        <v>353.33333333333331</v>
      </c>
      <c r="K7" s="57">
        <f>+SUMMARY!O23</f>
        <v>0</v>
      </c>
      <c r="L7" s="58">
        <f>0+(0/60)</f>
        <v>0</v>
      </c>
      <c r="M7" s="59">
        <v>400</v>
      </c>
      <c r="N7" s="59">
        <f t="shared" ref="N7:N8" si="2">+L7*M7</f>
        <v>0</v>
      </c>
      <c r="O7" s="57">
        <f>+SUMMARY!O24</f>
        <v>5.5555555555555558E-3</v>
      </c>
      <c r="P7" s="58">
        <f>0+(8/60)</f>
        <v>0.13333333333333333</v>
      </c>
      <c r="Q7" s="59">
        <v>400</v>
      </c>
      <c r="R7" s="59">
        <f t="shared" ref="R7:R12" si="3">+P7*Q7</f>
        <v>53.333333333333336</v>
      </c>
      <c r="S7" s="57">
        <f>+SUMMARY!O25</f>
        <v>2.7777777777777776E-2</v>
      </c>
      <c r="T7" s="58">
        <f>0+(40/60)</f>
        <v>0.66666666666666663</v>
      </c>
      <c r="U7" s="59">
        <v>400</v>
      </c>
      <c r="V7" s="59">
        <f t="shared" ref="V7:V12" si="4">+T7*U7</f>
        <v>266.66666666666663</v>
      </c>
      <c r="W7" s="57">
        <f>+SUMMARY!O26</f>
        <v>2.1527777777777778E-2</v>
      </c>
      <c r="X7" s="58">
        <f>0+(31/60)</f>
        <v>0.51666666666666672</v>
      </c>
      <c r="Y7" s="59">
        <v>400</v>
      </c>
      <c r="Z7" s="59">
        <f t="shared" ref="Z7:Z12" si="5">+X7*Y7</f>
        <v>206.66666666666669</v>
      </c>
      <c r="AA7" s="57">
        <f>+SUMMARY!O27</f>
        <v>0</v>
      </c>
      <c r="AB7" s="58">
        <f t="shared" ref="AB7" si="6">0+(0/60)</f>
        <v>0</v>
      </c>
      <c r="AC7" s="59">
        <v>350</v>
      </c>
      <c r="AD7" s="59">
        <f t="shared" ref="AD7:AD12" si="7">+AB7*AC7</f>
        <v>0</v>
      </c>
      <c r="AE7" s="58">
        <f t="shared" ref="AE7:AE8" si="8">+D7+H7+P7+T7+X7+AB7+L7</f>
        <v>2.9166666666666665</v>
      </c>
      <c r="AF7" s="58">
        <f t="shared" ref="AF7:AF8" si="9">+F7+J7+R7+V7+Z7+AD7+N7</f>
        <v>1166.6666666666667</v>
      </c>
    </row>
    <row r="8" spans="2:32" ht="27.75" customHeight="1" x14ac:dyDescent="0.25">
      <c r="B8" s="36" t="s">
        <v>44</v>
      </c>
      <c r="C8" s="57">
        <f>SUMMARY!Q21</f>
        <v>0</v>
      </c>
      <c r="D8" s="58">
        <f>0+(0/60)</f>
        <v>0</v>
      </c>
      <c r="E8" s="59">
        <v>400</v>
      </c>
      <c r="F8" s="59">
        <f t="shared" si="0"/>
        <v>0</v>
      </c>
      <c r="G8" s="57">
        <f>SUMMARY!Q22</f>
        <v>1.0416666666666666E-2</v>
      </c>
      <c r="H8" s="58">
        <f>0+(15/60)</f>
        <v>0.25</v>
      </c>
      <c r="I8" s="59">
        <v>400</v>
      </c>
      <c r="J8" s="59">
        <f t="shared" si="1"/>
        <v>100</v>
      </c>
      <c r="K8" s="57">
        <f>+SUMMARY!Q23</f>
        <v>0</v>
      </c>
      <c r="L8" s="58">
        <f>0+(0/60)</f>
        <v>0</v>
      </c>
      <c r="M8" s="59">
        <v>400</v>
      </c>
      <c r="N8" s="59">
        <f t="shared" si="2"/>
        <v>0</v>
      </c>
      <c r="O8" s="57">
        <f>+SUMMARY!Q24</f>
        <v>0</v>
      </c>
      <c r="P8" s="58">
        <f>0+(0/60)</f>
        <v>0</v>
      </c>
      <c r="Q8" s="59">
        <v>400</v>
      </c>
      <c r="R8" s="59">
        <f t="shared" si="3"/>
        <v>0</v>
      </c>
      <c r="S8" s="57">
        <f>+SUMMARY!Q25</f>
        <v>0</v>
      </c>
      <c r="T8" s="58">
        <f>0+(0/60)</f>
        <v>0</v>
      </c>
      <c r="U8" s="59">
        <v>400</v>
      </c>
      <c r="V8" s="59">
        <f t="shared" si="4"/>
        <v>0</v>
      </c>
      <c r="W8" s="57">
        <f>+SUMMARY!Q26</f>
        <v>0</v>
      </c>
      <c r="X8" s="58">
        <f>0+(0/60)</f>
        <v>0</v>
      </c>
      <c r="Y8" s="59">
        <v>400</v>
      </c>
      <c r="Z8" s="59">
        <f t="shared" si="5"/>
        <v>0</v>
      </c>
      <c r="AA8" s="57">
        <f>+SUMMARY!Q27</f>
        <v>0</v>
      </c>
      <c r="AB8" s="58">
        <f>0+(0/60)</f>
        <v>0</v>
      </c>
      <c r="AC8" s="59">
        <v>350</v>
      </c>
      <c r="AD8" s="59">
        <f t="shared" si="7"/>
        <v>0</v>
      </c>
      <c r="AE8" s="58">
        <f t="shared" si="8"/>
        <v>0.25</v>
      </c>
      <c r="AF8" s="58">
        <f t="shared" si="9"/>
        <v>100</v>
      </c>
    </row>
    <row r="9" spans="2:32" ht="27.75" customHeight="1" x14ac:dyDescent="0.25">
      <c r="B9" s="93" t="s">
        <v>57</v>
      </c>
      <c r="C9" s="94"/>
      <c r="D9" s="95"/>
      <c r="E9" s="96"/>
      <c r="F9" s="96">
        <f>SUM(F6:F8)</f>
        <v>69713.333333333343</v>
      </c>
      <c r="G9" s="94"/>
      <c r="H9" s="96"/>
      <c r="I9" s="96"/>
      <c r="J9" s="96">
        <f>SUM(J6:J8)</f>
        <v>33233.333333333336</v>
      </c>
      <c r="K9" s="94"/>
      <c r="L9" s="96"/>
      <c r="M9" s="96"/>
      <c r="N9" s="96">
        <f>SUM(N6:N8)</f>
        <v>0</v>
      </c>
      <c r="O9" s="94"/>
      <c r="P9" s="96"/>
      <c r="Q9" s="96"/>
      <c r="R9" s="96">
        <f>SUM(R6:R8)</f>
        <v>42700</v>
      </c>
      <c r="S9" s="94"/>
      <c r="T9" s="96"/>
      <c r="U9" s="96"/>
      <c r="V9" s="96">
        <f>SUM(V6:V8)</f>
        <v>22233.333333333332</v>
      </c>
      <c r="W9" s="94"/>
      <c r="X9" s="95"/>
      <c r="Y9" s="96"/>
      <c r="Z9" s="96">
        <f>SUM(Z6:Z8)</f>
        <v>12500</v>
      </c>
      <c r="AA9" s="94"/>
      <c r="AB9" s="96"/>
      <c r="AC9" s="96"/>
      <c r="AD9" s="96">
        <f>SUM(AD6:AD8)</f>
        <v>18439.166666666664</v>
      </c>
      <c r="AE9" s="95"/>
      <c r="AF9" s="96">
        <f>SUM(AF6:AF8)</f>
        <v>198819.16666666666</v>
      </c>
    </row>
    <row r="10" spans="2:32" ht="27.75" customHeight="1" x14ac:dyDescent="0.25">
      <c r="B10" s="36"/>
      <c r="C10" s="57"/>
      <c r="D10" s="58"/>
      <c r="E10" s="59"/>
      <c r="F10" s="59"/>
      <c r="G10" s="57"/>
      <c r="H10" s="59"/>
      <c r="I10" s="59"/>
      <c r="J10" s="59"/>
      <c r="K10" s="57"/>
      <c r="L10" s="59"/>
      <c r="M10" s="59"/>
      <c r="N10" s="59"/>
      <c r="O10" s="57"/>
      <c r="P10" s="59"/>
      <c r="Q10" s="59"/>
      <c r="R10" s="59"/>
      <c r="S10" s="57"/>
      <c r="T10" s="59"/>
      <c r="U10" s="59"/>
      <c r="V10" s="59"/>
      <c r="W10" s="57"/>
      <c r="X10" s="58"/>
      <c r="Y10" s="59"/>
      <c r="Z10" s="59"/>
      <c r="AA10" s="57"/>
      <c r="AB10" s="59"/>
      <c r="AC10" s="59"/>
      <c r="AD10" s="59"/>
      <c r="AE10" s="58"/>
      <c r="AF10" s="59"/>
    </row>
    <row r="11" spans="2:32" ht="27.75" customHeight="1" x14ac:dyDescent="0.25">
      <c r="B11" s="92" t="s">
        <v>56</v>
      </c>
      <c r="C11" s="57"/>
      <c r="D11" s="58"/>
      <c r="E11" s="59"/>
      <c r="F11" s="59"/>
      <c r="G11" s="57"/>
      <c r="H11" s="59"/>
      <c r="I11" s="59"/>
      <c r="J11" s="59"/>
      <c r="K11" s="57"/>
      <c r="L11" s="59"/>
      <c r="M11" s="59"/>
      <c r="N11" s="59"/>
      <c r="O11" s="57"/>
      <c r="P11" s="59"/>
      <c r="Q11" s="59"/>
      <c r="R11" s="59"/>
      <c r="S11" s="57"/>
      <c r="T11" s="59"/>
      <c r="U11" s="59"/>
      <c r="V11" s="59"/>
      <c r="W11" s="57"/>
      <c r="X11" s="58"/>
      <c r="Y11" s="59"/>
      <c r="Z11" s="59"/>
      <c r="AA11" s="57"/>
      <c r="AB11" s="59"/>
      <c r="AC11" s="59"/>
      <c r="AD11" s="59"/>
      <c r="AE11" s="58"/>
      <c r="AF11" s="59"/>
    </row>
    <row r="12" spans="2:32" ht="27.75" customHeight="1" x14ac:dyDescent="0.25">
      <c r="B12" s="36" t="s">
        <v>23</v>
      </c>
      <c r="C12" s="57">
        <f>SUMMARY!U21</f>
        <v>0</v>
      </c>
      <c r="D12" s="58">
        <f>0+(0/60)</f>
        <v>0</v>
      </c>
      <c r="E12" s="59">
        <v>400</v>
      </c>
      <c r="F12" s="59">
        <f t="shared" si="0"/>
        <v>0</v>
      </c>
      <c r="G12" s="57">
        <f>+SUMMARY!U22</f>
        <v>0</v>
      </c>
      <c r="H12" s="58">
        <f>0+(0/60)</f>
        <v>0</v>
      </c>
      <c r="I12" s="59">
        <v>400</v>
      </c>
      <c r="J12" s="59">
        <f t="shared" si="1"/>
        <v>0</v>
      </c>
      <c r="K12" s="57">
        <f>+SUMMARY!U23</f>
        <v>0</v>
      </c>
      <c r="L12" s="58">
        <f>0+(0/60)</f>
        <v>0</v>
      </c>
      <c r="M12" s="59">
        <v>400</v>
      </c>
      <c r="N12" s="59">
        <f t="shared" ref="N12" si="10">+L12*M12</f>
        <v>0</v>
      </c>
      <c r="O12" s="57">
        <f>+SUMMARY!U24</f>
        <v>1.0416666666666666E-2</v>
      </c>
      <c r="P12" s="58">
        <f>0+(15/60)</f>
        <v>0.25</v>
      </c>
      <c r="Q12" s="59">
        <v>400</v>
      </c>
      <c r="R12" s="59">
        <f t="shared" si="3"/>
        <v>100</v>
      </c>
      <c r="S12" s="57">
        <f>+SUMMARY!U25</f>
        <v>3.9583333333333331E-2</v>
      </c>
      <c r="T12" s="58">
        <f>0+(57/60)</f>
        <v>0.95</v>
      </c>
      <c r="U12" s="59">
        <v>400</v>
      </c>
      <c r="V12" s="59">
        <f t="shared" si="4"/>
        <v>380</v>
      </c>
      <c r="W12" s="57">
        <f>+SUMMARY!U26</f>
        <v>2.5694444444444443E-2</v>
      </c>
      <c r="X12" s="58">
        <f>0+(37/60)</f>
        <v>0.6166666666666667</v>
      </c>
      <c r="Y12" s="59">
        <v>400</v>
      </c>
      <c r="Z12" s="59">
        <f t="shared" si="5"/>
        <v>246.66666666666669</v>
      </c>
      <c r="AA12" s="57">
        <f>+SUMMARY!U27</f>
        <v>1.4583333333333334E-2</v>
      </c>
      <c r="AB12" s="58">
        <f>0+(21/60)</f>
        <v>0.35</v>
      </c>
      <c r="AC12" s="59">
        <v>350</v>
      </c>
      <c r="AD12" s="59">
        <f t="shared" si="7"/>
        <v>122.49999999999999</v>
      </c>
      <c r="AE12" s="58">
        <f t="shared" ref="AE12" si="11">+D12+H12+P12+T12+X12+AB12+L12</f>
        <v>2.1666666666666665</v>
      </c>
      <c r="AF12" s="58">
        <f t="shared" ref="AF12" si="12">+F12+J12+R12+V12+Z12+AD12+N12</f>
        <v>849.16666666666674</v>
      </c>
    </row>
    <row r="13" spans="2:32" ht="27.75" customHeight="1" x14ac:dyDescent="0.25">
      <c r="B13" s="93" t="s">
        <v>58</v>
      </c>
      <c r="C13" s="94"/>
      <c r="D13" s="96"/>
      <c r="E13" s="96"/>
      <c r="F13" s="96">
        <f>SUM(F12)</f>
        <v>0</v>
      </c>
      <c r="G13" s="94"/>
      <c r="H13" s="96"/>
      <c r="I13" s="96"/>
      <c r="J13" s="96">
        <f>SUM(J12)</f>
        <v>0</v>
      </c>
      <c r="K13" s="94"/>
      <c r="L13" s="96"/>
      <c r="M13" s="96"/>
      <c r="N13" s="96">
        <f>SUM(N12)</f>
        <v>0</v>
      </c>
      <c r="O13" s="94"/>
      <c r="P13" s="96"/>
      <c r="Q13" s="96"/>
      <c r="R13" s="96">
        <f>SUM(R12)</f>
        <v>100</v>
      </c>
      <c r="S13" s="94"/>
      <c r="T13" s="96"/>
      <c r="U13" s="96"/>
      <c r="V13" s="96">
        <f>SUM(V12)</f>
        <v>380</v>
      </c>
      <c r="W13" s="94"/>
      <c r="X13" s="96"/>
      <c r="Y13" s="96"/>
      <c r="Z13" s="96">
        <f>SUM(Z12)</f>
        <v>246.66666666666669</v>
      </c>
      <c r="AA13" s="94"/>
      <c r="AB13" s="96"/>
      <c r="AC13" s="96"/>
      <c r="AD13" s="96">
        <f>SUM(AD12)</f>
        <v>122.49999999999999</v>
      </c>
      <c r="AE13" s="96"/>
      <c r="AF13" s="96">
        <f>SUM(AF12)</f>
        <v>849.16666666666674</v>
      </c>
    </row>
    <row r="14" spans="2:32" ht="27.75" customHeight="1" x14ac:dyDescent="0.25">
      <c r="B14" s="39"/>
      <c r="C14" s="60"/>
      <c r="D14" s="60"/>
      <c r="E14" s="61"/>
      <c r="F14" s="61"/>
      <c r="G14" s="60"/>
      <c r="H14" s="60"/>
      <c r="I14" s="61"/>
      <c r="J14" s="61"/>
      <c r="K14" s="60"/>
      <c r="L14" s="60"/>
      <c r="M14" s="61"/>
      <c r="N14" s="61"/>
      <c r="O14" s="60"/>
      <c r="P14" s="60"/>
      <c r="Q14" s="61"/>
      <c r="R14" s="61"/>
      <c r="S14" s="60"/>
      <c r="T14" s="60"/>
      <c r="U14" s="61"/>
      <c r="V14" s="61"/>
      <c r="W14" s="60"/>
      <c r="X14" s="60"/>
      <c r="Y14" s="61"/>
      <c r="Z14" s="61"/>
      <c r="AA14" s="60"/>
      <c r="AB14" s="60"/>
      <c r="AC14" s="61"/>
      <c r="AD14" s="61"/>
      <c r="AE14" s="60"/>
      <c r="AF14" s="61"/>
    </row>
    <row r="15" spans="2:32" ht="27.75" customHeight="1" x14ac:dyDescent="0.25">
      <c r="B15" s="55" t="s">
        <v>47</v>
      </c>
      <c r="C15" s="62"/>
      <c r="D15" s="199">
        <f>+F13+F9</f>
        <v>69713.333333333343</v>
      </c>
      <c r="E15" s="199"/>
      <c r="F15" s="199"/>
      <c r="G15" s="62"/>
      <c r="H15" s="199">
        <f>+J13+J9</f>
        <v>33233.333333333336</v>
      </c>
      <c r="I15" s="199"/>
      <c r="J15" s="199"/>
      <c r="K15" s="62"/>
      <c r="L15" s="199">
        <f>+N13+N9</f>
        <v>0</v>
      </c>
      <c r="M15" s="199"/>
      <c r="N15" s="199"/>
      <c r="O15" s="62"/>
      <c r="P15" s="199">
        <f>+R13+R9</f>
        <v>42800</v>
      </c>
      <c r="Q15" s="199"/>
      <c r="R15" s="199"/>
      <c r="S15" s="62"/>
      <c r="T15" s="199">
        <f>+V13+V9</f>
        <v>22613.333333333332</v>
      </c>
      <c r="U15" s="199"/>
      <c r="V15" s="199"/>
      <c r="W15" s="62"/>
      <c r="X15" s="199">
        <f>+Z13+Z9</f>
        <v>12746.666666666666</v>
      </c>
      <c r="Y15" s="199"/>
      <c r="Z15" s="199"/>
      <c r="AA15" s="62"/>
      <c r="AB15" s="199">
        <f>+AD13+AD9</f>
        <v>18561.666666666664</v>
      </c>
      <c r="AC15" s="199"/>
      <c r="AD15" s="199"/>
      <c r="AE15" s="200">
        <f>+AF13+AF9</f>
        <v>199668.33333333331</v>
      </c>
      <c r="AF15" s="200"/>
    </row>
  </sheetData>
  <mergeCells count="18">
    <mergeCell ref="X15:Z15"/>
    <mergeCell ref="L15:N15"/>
    <mergeCell ref="AE15:AF15"/>
    <mergeCell ref="AB15:AD15"/>
    <mergeCell ref="D15:F15"/>
    <mergeCell ref="H15:J15"/>
    <mergeCell ref="P15:R15"/>
    <mergeCell ref="T15:V15"/>
    <mergeCell ref="B2:AF2"/>
    <mergeCell ref="S3:V3"/>
    <mergeCell ref="W3:Z3"/>
    <mergeCell ref="AA3:AD3"/>
    <mergeCell ref="AE3:AF3"/>
    <mergeCell ref="C3:F3"/>
    <mergeCell ref="B3:B4"/>
    <mergeCell ref="G3:J3"/>
    <mergeCell ref="O3:R3"/>
    <mergeCell ref="K3:N3"/>
  </mergeCells>
  <printOptions horizontalCentered="1"/>
  <pageMargins left="0.45" right="0.45" top="0.75" bottom="0.75" header="0.3" footer="0.3"/>
  <pageSetup paperSize="8" scale="85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3:BB17"/>
  <sheetViews>
    <sheetView tabSelected="1" topLeftCell="A4" zoomScaleNormal="100" workbookViewId="0">
      <pane xSplit="1" ySplit="3" topLeftCell="AD7" activePane="bottomRight" state="frozen"/>
      <selection activeCell="A4" sqref="A4"/>
      <selection pane="topRight" activeCell="B4" sqref="B4"/>
      <selection pane="bottomLeft" activeCell="A7" sqref="A7"/>
      <selection pane="bottomRight" activeCell="AR12" sqref="AR12"/>
    </sheetView>
  </sheetViews>
  <sheetFormatPr defaultColWidth="9.140625" defaultRowHeight="12.75" x14ac:dyDescent="0.25"/>
  <cols>
    <col min="1" max="1" width="10.140625" style="4" bestFit="1" customWidth="1"/>
    <col min="2" max="2" width="7.42578125" style="4" customWidth="1"/>
    <col min="3" max="3" width="9.5703125" style="66" customWidth="1"/>
    <col min="4" max="4" width="9.5703125" style="1" customWidth="1"/>
    <col min="5" max="5" width="10.42578125" style="1" customWidth="1"/>
    <col min="6" max="6" width="7.42578125" style="4" customWidth="1"/>
    <col min="7" max="7" width="9.140625" style="66" customWidth="1"/>
    <col min="8" max="9" width="9.140625" style="1" customWidth="1"/>
    <col min="10" max="10" width="7.42578125" style="4" customWidth="1"/>
    <col min="11" max="13" width="10.5703125" style="1" customWidth="1"/>
    <col min="14" max="14" width="7.42578125" style="4" customWidth="1"/>
    <col min="15" max="16" width="9.140625" style="1" customWidth="1"/>
    <col min="17" max="17" width="10.28515625" style="1" customWidth="1"/>
    <col min="18" max="18" width="7.42578125" style="4" customWidth="1"/>
    <col min="19" max="21" width="9.140625" style="1" customWidth="1"/>
    <col min="22" max="22" width="7.42578125" style="4" customWidth="1"/>
    <col min="23" max="23" width="9.140625" style="66" customWidth="1"/>
    <col min="24" max="24" width="9.140625" style="1" customWidth="1"/>
    <col min="25" max="25" width="10.28515625" style="1" customWidth="1"/>
    <col min="26" max="26" width="7.42578125" style="4" customWidth="1"/>
    <col min="27" max="27" width="9.140625" style="66"/>
    <col min="28" max="28" width="9.140625" style="1"/>
    <col min="29" max="29" width="11.7109375" style="1" customWidth="1"/>
    <col min="30" max="30" width="7.42578125" style="4" customWidth="1"/>
    <col min="31" max="32" width="9.140625" style="1"/>
    <col min="33" max="33" width="10.28515625" style="1" customWidth="1"/>
    <col min="34" max="34" width="9.140625" style="1" customWidth="1"/>
    <col min="35" max="36" width="9.140625" style="1"/>
    <col min="37" max="37" width="11.140625" style="1" customWidth="1"/>
    <col min="38" max="38" width="8.140625" style="1" customWidth="1"/>
    <col min="39" max="40" width="9.140625" style="1"/>
    <col min="41" max="41" width="10.140625" style="1" customWidth="1"/>
    <col min="42" max="42" width="9.140625" style="1" customWidth="1"/>
    <col min="43" max="45" width="10" style="1" customWidth="1"/>
    <col min="46" max="50" width="9.140625" style="1" customWidth="1"/>
    <col min="51" max="53" width="9.140625" style="1"/>
    <col min="54" max="54" width="13.28515625" style="1" customWidth="1"/>
    <col min="55" max="16384" width="9.140625" style="1"/>
  </cols>
  <sheetData>
    <row r="3" spans="1:54" ht="15.75" x14ac:dyDescent="0.25">
      <c r="A3" s="2" t="s">
        <v>0</v>
      </c>
      <c r="B3" s="2"/>
      <c r="F3" s="2"/>
      <c r="J3" s="2"/>
      <c r="N3" s="2"/>
      <c r="R3" s="2"/>
      <c r="V3" s="2"/>
      <c r="Z3" s="2"/>
      <c r="AD3" s="2"/>
    </row>
    <row r="4" spans="1:54" ht="15.75" x14ac:dyDescent="0.25">
      <c r="A4" s="2" t="s">
        <v>61</v>
      </c>
      <c r="B4" s="2"/>
      <c r="F4" s="2"/>
      <c r="J4" s="2"/>
      <c r="N4" s="2"/>
      <c r="R4" s="2"/>
      <c r="V4" s="2"/>
      <c r="Z4" s="2"/>
      <c r="AD4" s="2"/>
    </row>
    <row r="5" spans="1:54" s="3" customFormat="1" ht="63.75" customHeight="1" x14ac:dyDescent="0.25">
      <c r="A5" s="189" t="s">
        <v>4</v>
      </c>
      <c r="B5" s="68"/>
      <c r="C5" s="201" t="s">
        <v>13</v>
      </c>
      <c r="D5" s="201"/>
      <c r="E5" s="201"/>
      <c r="F5" s="68"/>
      <c r="G5" s="201" t="s">
        <v>14</v>
      </c>
      <c r="H5" s="201"/>
      <c r="I5" s="201"/>
      <c r="J5" s="68"/>
      <c r="K5" s="201" t="s">
        <v>15</v>
      </c>
      <c r="L5" s="201"/>
      <c r="M5" s="201"/>
      <c r="N5" s="68"/>
      <c r="O5" s="201" t="s">
        <v>16</v>
      </c>
      <c r="P5" s="201"/>
      <c r="Q5" s="201"/>
      <c r="R5" s="68"/>
      <c r="S5" s="201" t="s">
        <v>18</v>
      </c>
      <c r="T5" s="201"/>
      <c r="U5" s="201"/>
      <c r="V5" s="68"/>
      <c r="W5" s="201" t="s">
        <v>20</v>
      </c>
      <c r="X5" s="201"/>
      <c r="Y5" s="201"/>
      <c r="Z5" s="68"/>
      <c r="AA5" s="201" t="s">
        <v>21</v>
      </c>
      <c r="AB5" s="201"/>
      <c r="AC5" s="201"/>
      <c r="AD5" s="68"/>
      <c r="AE5" s="201" t="s">
        <v>22</v>
      </c>
      <c r="AF5" s="201"/>
      <c r="AG5" s="201"/>
      <c r="AH5" s="68"/>
      <c r="AI5" s="201" t="s">
        <v>24</v>
      </c>
      <c r="AJ5" s="201"/>
      <c r="AK5" s="201"/>
      <c r="AL5" s="68"/>
      <c r="AM5" s="201" t="s">
        <v>25</v>
      </c>
      <c r="AN5" s="201"/>
      <c r="AO5" s="201"/>
      <c r="AP5" s="68"/>
      <c r="AQ5" s="201" t="s">
        <v>26</v>
      </c>
      <c r="AR5" s="201"/>
      <c r="AS5" s="201"/>
      <c r="AT5" s="68"/>
      <c r="AU5" s="201" t="s">
        <v>27</v>
      </c>
      <c r="AV5" s="201"/>
      <c r="AW5" s="201"/>
      <c r="AX5" s="68"/>
      <c r="AY5" s="201" t="s">
        <v>38</v>
      </c>
      <c r="AZ5" s="201"/>
      <c r="BA5" s="201"/>
      <c r="BB5" s="201" t="s">
        <v>28</v>
      </c>
    </row>
    <row r="6" spans="1:54" s="65" customFormat="1" ht="25.5" x14ac:dyDescent="0.25">
      <c r="A6" s="203"/>
      <c r="B6" s="69"/>
      <c r="C6" s="70" t="s">
        <v>45</v>
      </c>
      <c r="D6" s="71" t="s">
        <v>48</v>
      </c>
      <c r="E6" s="71" t="s">
        <v>49</v>
      </c>
      <c r="F6" s="69"/>
      <c r="G6" s="70" t="s">
        <v>45</v>
      </c>
      <c r="H6" s="71" t="s">
        <v>48</v>
      </c>
      <c r="I6" s="71" t="s">
        <v>49</v>
      </c>
      <c r="J6" s="69"/>
      <c r="K6" s="71" t="s">
        <v>45</v>
      </c>
      <c r="L6" s="71" t="s">
        <v>48</v>
      </c>
      <c r="M6" s="71" t="s">
        <v>49</v>
      </c>
      <c r="N6" s="69"/>
      <c r="O6" s="71" t="s">
        <v>45</v>
      </c>
      <c r="P6" s="71" t="s">
        <v>48</v>
      </c>
      <c r="Q6" s="71" t="s">
        <v>49</v>
      </c>
      <c r="R6" s="69"/>
      <c r="S6" s="71" t="s">
        <v>45</v>
      </c>
      <c r="T6" s="71" t="s">
        <v>48</v>
      </c>
      <c r="U6" s="71" t="s">
        <v>49</v>
      </c>
      <c r="V6" s="69"/>
      <c r="W6" s="70" t="s">
        <v>45</v>
      </c>
      <c r="X6" s="71" t="s">
        <v>48</v>
      </c>
      <c r="Y6" s="71" t="s">
        <v>49</v>
      </c>
      <c r="Z6" s="69"/>
      <c r="AA6" s="70" t="s">
        <v>45</v>
      </c>
      <c r="AB6" s="71" t="s">
        <v>48</v>
      </c>
      <c r="AC6" s="71" t="s">
        <v>49</v>
      </c>
      <c r="AD6" s="69"/>
      <c r="AE6" s="71" t="s">
        <v>45</v>
      </c>
      <c r="AF6" s="71" t="s">
        <v>48</v>
      </c>
      <c r="AG6" s="71" t="s">
        <v>49</v>
      </c>
      <c r="AH6" s="71"/>
      <c r="AI6" s="71" t="s">
        <v>45</v>
      </c>
      <c r="AJ6" s="71" t="s">
        <v>48</v>
      </c>
      <c r="AK6" s="71" t="s">
        <v>49</v>
      </c>
      <c r="AL6" s="71"/>
      <c r="AM6" s="71" t="s">
        <v>45</v>
      </c>
      <c r="AN6" s="71" t="s">
        <v>48</v>
      </c>
      <c r="AO6" s="71" t="s">
        <v>49</v>
      </c>
      <c r="AP6" s="71"/>
      <c r="AQ6" s="71" t="s">
        <v>45</v>
      </c>
      <c r="AR6" s="71" t="s">
        <v>48</v>
      </c>
      <c r="AS6" s="71" t="s">
        <v>49</v>
      </c>
      <c r="AT6" s="71"/>
      <c r="AU6" s="71" t="s">
        <v>45</v>
      </c>
      <c r="AV6" s="71" t="s">
        <v>48</v>
      </c>
      <c r="AW6" s="71" t="s">
        <v>49</v>
      </c>
      <c r="AX6" s="71"/>
      <c r="AY6" s="71" t="s">
        <v>45</v>
      </c>
      <c r="AZ6" s="71" t="s">
        <v>48</v>
      </c>
      <c r="BA6" s="71" t="s">
        <v>49</v>
      </c>
      <c r="BB6" s="202"/>
    </row>
    <row r="7" spans="1:54" ht="27.75" customHeight="1" x14ac:dyDescent="0.25">
      <c r="A7" s="64" t="s">
        <v>30</v>
      </c>
      <c r="B7" s="72">
        <f>SUMMARY!K21</f>
        <v>0.10069444444444445</v>
      </c>
      <c r="C7" s="73">
        <f>2+(25/60)</f>
        <v>2.4166666666666665</v>
      </c>
      <c r="D7" s="64">
        <v>400</v>
      </c>
      <c r="E7" s="73">
        <f>C7*D7</f>
        <v>966.66666666666663</v>
      </c>
      <c r="F7" s="72">
        <f>SUMMARY!L21</f>
        <v>5.5555555555555558E-3</v>
      </c>
      <c r="G7" s="73">
        <f>0+(8/60)</f>
        <v>0.13333333333333333</v>
      </c>
      <c r="H7" s="64">
        <v>400</v>
      </c>
      <c r="I7" s="73">
        <f>G7*H7</f>
        <v>53.333333333333336</v>
      </c>
      <c r="J7" s="72">
        <f>SUMMARY!M21</f>
        <v>0.11666666666666667</v>
      </c>
      <c r="K7" s="73">
        <f>2+(48/60)</f>
        <v>2.8</v>
      </c>
      <c r="L7" s="64">
        <v>400</v>
      </c>
      <c r="M7" s="73">
        <f>K7*L7</f>
        <v>1120</v>
      </c>
      <c r="N7" s="72">
        <f>SUMMARY!N21</f>
        <v>0.12638888888888888</v>
      </c>
      <c r="O7" s="73">
        <f>3+(2/60)</f>
        <v>3.0333333333333332</v>
      </c>
      <c r="P7" s="64">
        <v>400</v>
      </c>
      <c r="Q7" s="73">
        <f>O7*P7</f>
        <v>1213.3333333333333</v>
      </c>
      <c r="R7" s="72">
        <f>+SUMMARY!P21</f>
        <v>0.1875</v>
      </c>
      <c r="S7" s="73">
        <f>4+(30/60)</f>
        <v>4.5</v>
      </c>
      <c r="T7" s="64">
        <v>400</v>
      </c>
      <c r="U7" s="73">
        <f>S7*T7</f>
        <v>1800</v>
      </c>
      <c r="V7" s="72">
        <f>SUMMARY!R21</f>
        <v>6.9444444444444441E-3</v>
      </c>
      <c r="W7" s="73">
        <f>0+(10/60)</f>
        <v>0.16666666666666666</v>
      </c>
      <c r="X7" s="64">
        <v>400</v>
      </c>
      <c r="Y7" s="73">
        <f>W7*X7</f>
        <v>66.666666666666657</v>
      </c>
      <c r="Z7" s="72">
        <f>SUMMARY!S21</f>
        <v>2.3812500000000005</v>
      </c>
      <c r="AA7" s="73">
        <f>57+(9/60)</f>
        <v>57.15</v>
      </c>
      <c r="AB7" s="64">
        <v>400</v>
      </c>
      <c r="AC7" s="73">
        <f>AA7*AB7</f>
        <v>22860</v>
      </c>
      <c r="AD7" s="72">
        <f>SUMMARY!T21</f>
        <v>1.2243055555555553</v>
      </c>
      <c r="AE7" s="73">
        <f>29+(23/60)</f>
        <v>29.383333333333333</v>
      </c>
      <c r="AF7" s="64">
        <v>400</v>
      </c>
      <c r="AG7" s="73">
        <f>AE7*AF7</f>
        <v>11753.333333333334</v>
      </c>
      <c r="AH7" s="72">
        <f>SUMMARY!V21</f>
        <v>0.34722222222222221</v>
      </c>
      <c r="AI7" s="73">
        <f>8+(20/60)</f>
        <v>8.3333333333333339</v>
      </c>
      <c r="AJ7" s="64">
        <v>400</v>
      </c>
      <c r="AK7" s="73">
        <f>AI7*AJ7</f>
        <v>3333.3333333333335</v>
      </c>
      <c r="AL7" s="72">
        <f>SUMMARY!W21</f>
        <v>0.15069444444444444</v>
      </c>
      <c r="AM7" s="73">
        <f>3+(37/60)</f>
        <v>3.6166666666666667</v>
      </c>
      <c r="AN7" s="64">
        <v>400</v>
      </c>
      <c r="AO7" s="73">
        <f>AM7*AN7</f>
        <v>1446.6666666666667</v>
      </c>
      <c r="AP7" s="72">
        <f>SUMMARY!X21</f>
        <v>0.15694444444444444</v>
      </c>
      <c r="AQ7" s="73">
        <f>3+(46/60)</f>
        <v>3.7666666666666666</v>
      </c>
      <c r="AR7" s="64">
        <v>400</v>
      </c>
      <c r="AS7" s="73">
        <f>AQ7*AR7</f>
        <v>1506.6666666666667</v>
      </c>
      <c r="AT7" s="72">
        <f>SUMMARY!Y21</f>
        <v>0</v>
      </c>
      <c r="AU7" s="73">
        <f>0+(0/60)</f>
        <v>0</v>
      </c>
      <c r="AV7" s="64">
        <v>400</v>
      </c>
      <c r="AW7" s="73">
        <f>AU7*AV7</f>
        <v>0</v>
      </c>
      <c r="AX7" s="72">
        <f>SUMMARY!Z21</f>
        <v>9.7222222222222224E-3</v>
      </c>
      <c r="AY7" s="73">
        <f>0+(14/60)</f>
        <v>0.23333333333333334</v>
      </c>
      <c r="AZ7" s="64">
        <v>400</v>
      </c>
      <c r="BA7" s="73">
        <f>AY7*AZ7</f>
        <v>93.333333333333329</v>
      </c>
      <c r="BB7" s="74">
        <f>E7+I7+M7+Q7+U7+Y7+AC7+AG7+AK7+AO7+AS7+AW7+BA7</f>
        <v>46213.333333333336</v>
      </c>
    </row>
    <row r="8" spans="1:54" ht="27.75" customHeight="1" x14ac:dyDescent="0.25">
      <c r="A8" s="64" t="s">
        <v>31</v>
      </c>
      <c r="B8" s="72">
        <f>SUMMARY!K22</f>
        <v>0.14097222222222222</v>
      </c>
      <c r="C8" s="73">
        <f>3+(23/60)</f>
        <v>3.3833333333333333</v>
      </c>
      <c r="D8" s="64">
        <v>400</v>
      </c>
      <c r="E8" s="73">
        <f t="shared" ref="E8:E13" si="0">C8*D8</f>
        <v>1353.3333333333333</v>
      </c>
      <c r="F8" s="72">
        <f>SUMMARY!L22</f>
        <v>9.8611111111111108E-2</v>
      </c>
      <c r="G8" s="73">
        <f>2+(22/60)</f>
        <v>2.3666666666666667</v>
      </c>
      <c r="H8" s="64">
        <v>400</v>
      </c>
      <c r="I8" s="73">
        <f t="shared" ref="I8:I13" si="1">G8*H8</f>
        <v>946.66666666666663</v>
      </c>
      <c r="J8" s="72">
        <f>SUMMARY!M22</f>
        <v>0.20902777777777776</v>
      </c>
      <c r="K8" s="73">
        <f>5+(1/60)</f>
        <v>5.0166666666666666</v>
      </c>
      <c r="L8" s="64">
        <v>400</v>
      </c>
      <c r="M8" s="73">
        <f t="shared" ref="M8:M13" si="2">K8*L8</f>
        <v>2006.6666666666667</v>
      </c>
      <c r="N8" s="72">
        <f>SUMMARY!N22</f>
        <v>0.18194444444444444</v>
      </c>
      <c r="O8" s="73">
        <f>4+(22/60)</f>
        <v>4.3666666666666663</v>
      </c>
      <c r="P8" s="64">
        <v>400</v>
      </c>
      <c r="Q8" s="73">
        <f t="shared" ref="Q8:Q13" si="3">O8*P8</f>
        <v>1746.6666666666665</v>
      </c>
      <c r="R8" s="72">
        <f>+SUMMARY!P22</f>
        <v>0</v>
      </c>
      <c r="S8" s="73">
        <f t="shared" ref="S8:S12" si="4">0+(0/60)</f>
        <v>0</v>
      </c>
      <c r="T8" s="64">
        <v>400</v>
      </c>
      <c r="U8" s="73">
        <f t="shared" ref="U8:U13" si="5">S8*T8</f>
        <v>0</v>
      </c>
      <c r="V8" s="72">
        <f>SUMMARY!R22</f>
        <v>0.1388888888888889</v>
      </c>
      <c r="W8" s="73">
        <f>3+(20/60)</f>
        <v>3.3333333333333335</v>
      </c>
      <c r="X8" s="64">
        <v>400</v>
      </c>
      <c r="Y8" s="73">
        <f t="shared" ref="Y8:Y13" si="6">W8*X8</f>
        <v>1333.3333333333335</v>
      </c>
      <c r="Z8" s="72">
        <f>SUMMARY!S22</f>
        <v>2.4319444444444445</v>
      </c>
      <c r="AA8" s="73">
        <f>58+(22/60)</f>
        <v>58.366666666666667</v>
      </c>
      <c r="AB8" s="64">
        <v>400</v>
      </c>
      <c r="AC8" s="73">
        <f t="shared" ref="AC8:AC13" si="7">AA8*AB8</f>
        <v>23346.666666666668</v>
      </c>
      <c r="AD8" s="72">
        <f>SUMMARY!T22</f>
        <v>1.1131944444444444</v>
      </c>
      <c r="AE8" s="73">
        <f>26+(43/60)</f>
        <v>26.716666666666665</v>
      </c>
      <c r="AF8" s="64">
        <v>400</v>
      </c>
      <c r="AG8" s="73">
        <f t="shared" ref="AG8:AG13" si="8">AE8*AF8</f>
        <v>10686.666666666666</v>
      </c>
      <c r="AH8" s="72">
        <f>SUMMARY!V22</f>
        <v>2.4999999999999998E-2</v>
      </c>
      <c r="AI8" s="73">
        <f>0+(36/60)</f>
        <v>0.6</v>
      </c>
      <c r="AJ8" s="64">
        <v>400</v>
      </c>
      <c r="AK8" s="73">
        <f t="shared" ref="AK8:AK13" si="9">AI8*AJ8</f>
        <v>240</v>
      </c>
      <c r="AL8" s="72">
        <f>SUMMARY!W22</f>
        <v>0.98541666666666661</v>
      </c>
      <c r="AM8" s="73">
        <f>23+(39/60)</f>
        <v>23.65</v>
      </c>
      <c r="AN8" s="64">
        <v>400</v>
      </c>
      <c r="AO8" s="73">
        <f t="shared" ref="AO8:AO13" si="10">AM8*AN8</f>
        <v>9460</v>
      </c>
      <c r="AP8" s="72">
        <f>SUMMARY!X22</f>
        <v>0.17500000000000002</v>
      </c>
      <c r="AQ8" s="73">
        <f>4+(12/60)</f>
        <v>4.2</v>
      </c>
      <c r="AR8" s="64">
        <v>400</v>
      </c>
      <c r="AS8" s="73">
        <f t="shared" ref="AS8:AS13" si="11">AQ8*AR8</f>
        <v>1680</v>
      </c>
      <c r="AT8" s="72">
        <f>SUMMARY!Y22</f>
        <v>0</v>
      </c>
      <c r="AU8" s="73">
        <f t="shared" ref="AU8:AU13" si="12">0+(0/60)</f>
        <v>0</v>
      </c>
      <c r="AV8" s="64">
        <v>400</v>
      </c>
      <c r="AW8" s="73">
        <f t="shared" ref="AW8:AW13" si="13">AU8*AV8</f>
        <v>0</v>
      </c>
      <c r="AX8" s="72">
        <f>SUMMARY!Z22</f>
        <v>5.0694444444444452E-2</v>
      </c>
      <c r="AY8" s="73">
        <f>1+(13/60)</f>
        <v>1.2166666666666668</v>
      </c>
      <c r="AZ8" s="64">
        <v>400</v>
      </c>
      <c r="BA8" s="73">
        <f t="shared" ref="BA8:BA13" si="14">AY8*AZ8</f>
        <v>486.66666666666674</v>
      </c>
      <c r="BB8" s="74">
        <f t="shared" ref="BB8:BB13" si="15">E8+I8+M8+Q8+U8+Y8+AC8+AG8+AK8+AO8+AS8+AW8+BA8</f>
        <v>53286.666666666664</v>
      </c>
    </row>
    <row r="9" spans="1:54" ht="27.75" customHeight="1" x14ac:dyDescent="0.25">
      <c r="A9" s="112" t="s">
        <v>59</v>
      </c>
      <c r="B9" s="72">
        <f>SUMMARY!K23</f>
        <v>0</v>
      </c>
      <c r="C9" s="73">
        <f t="shared" ref="C9" si="16">0+(0/60)</f>
        <v>0</v>
      </c>
      <c r="D9" s="112">
        <v>400</v>
      </c>
      <c r="E9" s="73">
        <f t="shared" ref="E9" si="17">C9*D9</f>
        <v>0</v>
      </c>
      <c r="F9" s="72">
        <f>SUMMARY!L23</f>
        <v>0</v>
      </c>
      <c r="G9" s="73">
        <f t="shared" ref="G9:G13" si="18">0+(0/60)</f>
        <v>0</v>
      </c>
      <c r="H9" s="112">
        <v>400</v>
      </c>
      <c r="I9" s="73">
        <f t="shared" ref="I9" si="19">G9*H9</f>
        <v>0</v>
      </c>
      <c r="J9" s="72">
        <f>SUMMARY!M23</f>
        <v>0</v>
      </c>
      <c r="K9" s="73">
        <f t="shared" ref="K9" si="20">0+(0/60)</f>
        <v>0</v>
      </c>
      <c r="L9" s="112">
        <v>400</v>
      </c>
      <c r="M9" s="73">
        <f t="shared" ref="M9" si="21">K9*L9</f>
        <v>0</v>
      </c>
      <c r="N9" s="72">
        <f>SUMMARY!N23</f>
        <v>0</v>
      </c>
      <c r="O9" s="73">
        <f t="shared" ref="O9" si="22">0+(0/60)</f>
        <v>0</v>
      </c>
      <c r="P9" s="112">
        <v>400</v>
      </c>
      <c r="Q9" s="73">
        <f t="shared" ref="Q9" si="23">O9*P9</f>
        <v>0</v>
      </c>
      <c r="R9" s="72">
        <f>+SUMMARY!P23</f>
        <v>0</v>
      </c>
      <c r="S9" s="73">
        <f t="shared" si="4"/>
        <v>0</v>
      </c>
      <c r="T9" s="112">
        <v>400</v>
      </c>
      <c r="U9" s="73">
        <f t="shared" ref="U9" si="24">S9*T9</f>
        <v>0</v>
      </c>
      <c r="V9" s="72">
        <f>SUMMARY!R23</f>
        <v>0</v>
      </c>
      <c r="W9" s="73">
        <f>0+(0/60)</f>
        <v>0</v>
      </c>
      <c r="X9" s="112">
        <v>400</v>
      </c>
      <c r="Y9" s="73">
        <f t="shared" ref="Y9" si="25">W9*X9</f>
        <v>0</v>
      </c>
      <c r="Z9" s="72">
        <f>SUMMARY!S23</f>
        <v>0</v>
      </c>
      <c r="AA9" s="73">
        <f>0+(0/60)</f>
        <v>0</v>
      </c>
      <c r="AB9" s="112">
        <v>400</v>
      </c>
      <c r="AC9" s="73">
        <f t="shared" ref="AC9" si="26">AA9*AB9</f>
        <v>0</v>
      </c>
      <c r="AD9" s="72">
        <f>SUMMARY!T23</f>
        <v>0</v>
      </c>
      <c r="AE9" s="73">
        <f>0+(0/60)</f>
        <v>0</v>
      </c>
      <c r="AF9" s="112">
        <v>400</v>
      </c>
      <c r="AG9" s="73">
        <f t="shared" ref="AG9" si="27">AE9*AF9</f>
        <v>0</v>
      </c>
      <c r="AH9" s="72">
        <f>SUMMARY!V23</f>
        <v>0</v>
      </c>
      <c r="AI9" s="73">
        <f t="shared" ref="AI9" si="28">0+(0/60)</f>
        <v>0</v>
      </c>
      <c r="AJ9" s="112">
        <v>400</v>
      </c>
      <c r="AK9" s="73">
        <f t="shared" ref="AK9" si="29">AI9*AJ9</f>
        <v>0</v>
      </c>
      <c r="AL9" s="72">
        <f>SUMMARY!W23</f>
        <v>0</v>
      </c>
      <c r="AM9" s="73">
        <f t="shared" ref="AM9" si="30">0+(0/60)</f>
        <v>0</v>
      </c>
      <c r="AN9" s="112">
        <v>400</v>
      </c>
      <c r="AO9" s="73">
        <f t="shared" ref="AO9" si="31">AM9*AN9</f>
        <v>0</v>
      </c>
      <c r="AP9" s="72">
        <f>SUMMARY!X23</f>
        <v>0</v>
      </c>
      <c r="AQ9" s="73">
        <f t="shared" ref="AQ9:AQ13" si="32">0+(0/60)</f>
        <v>0</v>
      </c>
      <c r="AR9" s="112">
        <v>400</v>
      </c>
      <c r="AS9" s="73">
        <f t="shared" ref="AS9" si="33">AQ9*AR9</f>
        <v>0</v>
      </c>
      <c r="AT9" s="72">
        <f>SUMMARY!Y23</f>
        <v>0</v>
      </c>
      <c r="AU9" s="73">
        <f t="shared" si="12"/>
        <v>0</v>
      </c>
      <c r="AV9" s="112">
        <v>400</v>
      </c>
      <c r="AW9" s="73">
        <f t="shared" ref="AW9" si="34">AU9*AV9</f>
        <v>0</v>
      </c>
      <c r="AX9" s="72">
        <f>SUMMARY!Z23</f>
        <v>0</v>
      </c>
      <c r="AY9" s="73">
        <f t="shared" ref="AY9" si="35">0+(0/60)</f>
        <v>0</v>
      </c>
      <c r="AZ9" s="112">
        <v>400</v>
      </c>
      <c r="BA9" s="73">
        <f t="shared" ref="BA9" si="36">AY9*AZ9</f>
        <v>0</v>
      </c>
      <c r="BB9" s="74">
        <f t="shared" ref="BB9" si="37">E9+I9+M9+Q9+U9+Y9+AC9+AG9+AK9+AO9+AS9+AW9+BA9</f>
        <v>0</v>
      </c>
    </row>
    <row r="10" spans="1:54" ht="27.75" customHeight="1" x14ac:dyDescent="0.25">
      <c r="A10" s="64" t="s">
        <v>32</v>
      </c>
      <c r="B10" s="72">
        <f>SUMMARY!K24</f>
        <v>8.7499999999999994E-2</v>
      </c>
      <c r="C10" s="73">
        <f>2+(6/60)</f>
        <v>2.1</v>
      </c>
      <c r="D10" s="64">
        <v>400</v>
      </c>
      <c r="E10" s="73">
        <f t="shared" si="0"/>
        <v>840</v>
      </c>
      <c r="F10" s="72">
        <f>SUMMARY!L24</f>
        <v>1.9444444444444445E-2</v>
      </c>
      <c r="G10" s="73">
        <f>0+(28/60)</f>
        <v>0.46666666666666667</v>
      </c>
      <c r="H10" s="64">
        <v>400</v>
      </c>
      <c r="I10" s="73">
        <f t="shared" si="1"/>
        <v>186.66666666666666</v>
      </c>
      <c r="J10" s="72">
        <f>SUMMARY!M24</f>
        <v>0.22083333333333333</v>
      </c>
      <c r="K10" s="73">
        <f>5+(18/60)</f>
        <v>5.3</v>
      </c>
      <c r="L10" s="64">
        <v>400</v>
      </c>
      <c r="M10" s="73">
        <f t="shared" si="2"/>
        <v>2120</v>
      </c>
      <c r="N10" s="72">
        <f>SUMMARY!N24</f>
        <v>0.19375000000000003</v>
      </c>
      <c r="O10" s="73">
        <f>4+(39/60)</f>
        <v>4.6500000000000004</v>
      </c>
      <c r="P10" s="64">
        <v>400</v>
      </c>
      <c r="Q10" s="73">
        <f t="shared" si="3"/>
        <v>1860.0000000000002</v>
      </c>
      <c r="R10" s="72">
        <f>+SUMMARY!P24</f>
        <v>0</v>
      </c>
      <c r="S10" s="73">
        <f t="shared" si="4"/>
        <v>0</v>
      </c>
      <c r="T10" s="64">
        <v>400</v>
      </c>
      <c r="U10" s="73">
        <f t="shared" si="5"/>
        <v>0</v>
      </c>
      <c r="V10" s="72">
        <f>SUMMARY!R24</f>
        <v>0.1590277777777778</v>
      </c>
      <c r="W10" s="73">
        <f>3+(49/60)</f>
        <v>3.8166666666666664</v>
      </c>
      <c r="X10" s="64">
        <v>400</v>
      </c>
      <c r="Y10" s="73">
        <f t="shared" si="6"/>
        <v>1526.6666666666665</v>
      </c>
      <c r="Z10" s="72">
        <f>SUMMARY!S24</f>
        <v>2.3208333333333337</v>
      </c>
      <c r="AA10" s="73">
        <f>55+(42/60)</f>
        <v>55.7</v>
      </c>
      <c r="AB10" s="64">
        <v>400</v>
      </c>
      <c r="AC10" s="73">
        <f t="shared" si="7"/>
        <v>22280</v>
      </c>
      <c r="AD10" s="72">
        <f>SUMMARY!T24</f>
        <v>1.3402777777777777</v>
      </c>
      <c r="AE10" s="73">
        <f>33+(12/60)</f>
        <v>33.200000000000003</v>
      </c>
      <c r="AF10" s="64">
        <v>400</v>
      </c>
      <c r="AG10" s="73">
        <f t="shared" si="8"/>
        <v>13280.000000000002</v>
      </c>
      <c r="AH10" s="72">
        <f>SUMMARY!V24</f>
        <v>0.19513888888888889</v>
      </c>
      <c r="AI10" s="73">
        <f>4+(41/60)</f>
        <v>4.6833333333333336</v>
      </c>
      <c r="AJ10" s="64">
        <v>400</v>
      </c>
      <c r="AK10" s="73">
        <f t="shared" si="9"/>
        <v>1873.3333333333335</v>
      </c>
      <c r="AL10" s="72">
        <f>SUMMARY!W24</f>
        <v>1.0118055555555556</v>
      </c>
      <c r="AM10" s="73">
        <f>24+(17/60)</f>
        <v>24.283333333333335</v>
      </c>
      <c r="AN10" s="64">
        <v>400</v>
      </c>
      <c r="AO10" s="73">
        <f t="shared" si="10"/>
        <v>9713.3333333333339</v>
      </c>
      <c r="AP10" s="72">
        <f>SUMMARY!X24</f>
        <v>0</v>
      </c>
      <c r="AQ10" s="73">
        <f t="shared" si="32"/>
        <v>0</v>
      </c>
      <c r="AR10" s="64">
        <v>400</v>
      </c>
      <c r="AS10" s="73">
        <f t="shared" si="11"/>
        <v>0</v>
      </c>
      <c r="AT10" s="72">
        <f>SUMMARY!Y24</f>
        <v>0</v>
      </c>
      <c r="AU10" s="73">
        <f t="shared" si="12"/>
        <v>0</v>
      </c>
      <c r="AV10" s="64">
        <v>400</v>
      </c>
      <c r="AW10" s="73">
        <f t="shared" si="13"/>
        <v>0</v>
      </c>
      <c r="AX10" s="72">
        <f>SUMMARY!Z24</f>
        <v>4.5138888888888888E-2</v>
      </c>
      <c r="AY10" s="73">
        <f>1+(5/60)</f>
        <v>1.0833333333333333</v>
      </c>
      <c r="AZ10" s="64">
        <v>400</v>
      </c>
      <c r="BA10" s="73">
        <f t="shared" si="14"/>
        <v>433.33333333333331</v>
      </c>
      <c r="BB10" s="74">
        <f t="shared" si="15"/>
        <v>54113.333333333343</v>
      </c>
    </row>
    <row r="11" spans="1:54" ht="27.75" customHeight="1" x14ac:dyDescent="0.25">
      <c r="A11" s="64" t="s">
        <v>33</v>
      </c>
      <c r="B11" s="72">
        <f>SUMMARY!K25</f>
        <v>0.26805555555555555</v>
      </c>
      <c r="C11" s="73">
        <f>6+(26/60)</f>
        <v>6.4333333333333336</v>
      </c>
      <c r="D11" s="64">
        <v>400</v>
      </c>
      <c r="E11" s="73">
        <f t="shared" si="0"/>
        <v>2573.3333333333335</v>
      </c>
      <c r="F11" s="72">
        <f>SUMMARY!L25</f>
        <v>7.0833333333333331E-2</v>
      </c>
      <c r="G11" s="73">
        <f>1+(42/60)</f>
        <v>1.7</v>
      </c>
      <c r="H11" s="64">
        <v>400</v>
      </c>
      <c r="I11" s="73">
        <f t="shared" si="1"/>
        <v>680</v>
      </c>
      <c r="J11" s="72">
        <f>SUMMARY!M25</f>
        <v>0.22847222222222219</v>
      </c>
      <c r="K11" s="73">
        <f>5+(29/60)</f>
        <v>5.4833333333333334</v>
      </c>
      <c r="L11" s="64">
        <v>400</v>
      </c>
      <c r="M11" s="73">
        <f t="shared" si="2"/>
        <v>2193.3333333333335</v>
      </c>
      <c r="N11" s="72">
        <f>SUMMARY!N25</f>
        <v>0.23888888888888893</v>
      </c>
      <c r="O11" s="73">
        <f>5+(44/60)</f>
        <v>5.7333333333333334</v>
      </c>
      <c r="P11" s="64">
        <v>400</v>
      </c>
      <c r="Q11" s="73">
        <f t="shared" si="3"/>
        <v>2293.3333333333335</v>
      </c>
      <c r="R11" s="72">
        <f>+SUMMARY!P25</f>
        <v>0</v>
      </c>
      <c r="S11" s="73">
        <f t="shared" si="4"/>
        <v>0</v>
      </c>
      <c r="T11" s="64">
        <v>400</v>
      </c>
      <c r="U11" s="73">
        <f t="shared" si="5"/>
        <v>0</v>
      </c>
      <c r="V11" s="72">
        <f>SUMMARY!R25</f>
        <v>0.18263888888888891</v>
      </c>
      <c r="W11" s="73">
        <f>4+(23/60)</f>
        <v>4.3833333333333337</v>
      </c>
      <c r="X11" s="64">
        <v>400</v>
      </c>
      <c r="Y11" s="73">
        <f t="shared" si="6"/>
        <v>1753.3333333333335</v>
      </c>
      <c r="Z11" s="72">
        <f>SUMMARY!S25</f>
        <v>2.1965277777777779</v>
      </c>
      <c r="AA11" s="73">
        <f>52+(43/60)</f>
        <v>52.716666666666669</v>
      </c>
      <c r="AB11" s="64">
        <v>400</v>
      </c>
      <c r="AC11" s="73">
        <f t="shared" si="7"/>
        <v>21086.666666666668</v>
      </c>
      <c r="AD11" s="72">
        <f>SUMMARY!T25</f>
        <v>1.4694444444444443</v>
      </c>
      <c r="AE11" s="73">
        <f>35+(16/60)</f>
        <v>35.266666666666666</v>
      </c>
      <c r="AF11" s="64">
        <v>400</v>
      </c>
      <c r="AG11" s="73">
        <f t="shared" si="8"/>
        <v>14106.666666666666</v>
      </c>
      <c r="AH11" s="72">
        <f>SUMMARY!V25</f>
        <v>0.13055555555555554</v>
      </c>
      <c r="AI11" s="73">
        <f>3+(8/60)</f>
        <v>3.1333333333333333</v>
      </c>
      <c r="AJ11" s="64">
        <v>400</v>
      </c>
      <c r="AK11" s="73">
        <f t="shared" si="9"/>
        <v>1253.3333333333333</v>
      </c>
      <c r="AL11" s="72">
        <f>SUMMARY!W25</f>
        <v>0.82708333333333339</v>
      </c>
      <c r="AM11" s="73">
        <f>19+(51/60)</f>
        <v>19.850000000000001</v>
      </c>
      <c r="AN11" s="64">
        <v>400</v>
      </c>
      <c r="AO11" s="73">
        <f t="shared" si="10"/>
        <v>7940.0000000000009</v>
      </c>
      <c r="AP11" s="72">
        <f>SUMMARY!X25</f>
        <v>6.458333333333334E-2</v>
      </c>
      <c r="AQ11" s="73">
        <f>1+(33/60)</f>
        <v>1.55</v>
      </c>
      <c r="AR11" s="64">
        <v>400</v>
      </c>
      <c r="AS11" s="73">
        <f t="shared" si="11"/>
        <v>620</v>
      </c>
      <c r="AT11" s="72">
        <f>SUMMARY!Y25</f>
        <v>0</v>
      </c>
      <c r="AU11" s="73">
        <f t="shared" si="12"/>
        <v>0</v>
      </c>
      <c r="AV11" s="64">
        <v>400</v>
      </c>
      <c r="AW11" s="73">
        <f t="shared" si="13"/>
        <v>0</v>
      </c>
      <c r="AX11" s="72">
        <f>SUMMARY!Z25</f>
        <v>7.2222222222222229E-2</v>
      </c>
      <c r="AY11" s="73">
        <f>1+(44/60)</f>
        <v>1.7333333333333334</v>
      </c>
      <c r="AZ11" s="64">
        <v>400</v>
      </c>
      <c r="BA11" s="73">
        <f t="shared" si="14"/>
        <v>693.33333333333337</v>
      </c>
      <c r="BB11" s="74">
        <f t="shared" si="15"/>
        <v>55193.333333333336</v>
      </c>
    </row>
    <row r="12" spans="1:54" ht="27.75" customHeight="1" x14ac:dyDescent="0.25">
      <c r="A12" s="64" t="s">
        <v>34</v>
      </c>
      <c r="B12" s="72">
        <f>SUMMARY!K26</f>
        <v>0.2</v>
      </c>
      <c r="C12" s="73">
        <f>4+(48/60)</f>
        <v>4.8</v>
      </c>
      <c r="D12" s="64">
        <v>400</v>
      </c>
      <c r="E12" s="73">
        <f t="shared" si="0"/>
        <v>1920</v>
      </c>
      <c r="F12" s="72">
        <f>SUMMARY!L26</f>
        <v>3.6111111111111108E-2</v>
      </c>
      <c r="G12" s="73">
        <f>0+(52/60)</f>
        <v>0.8666666666666667</v>
      </c>
      <c r="H12" s="161">
        <v>400</v>
      </c>
      <c r="I12" s="73">
        <f t="shared" si="1"/>
        <v>346.66666666666669</v>
      </c>
      <c r="J12" s="72">
        <f>SUMMARY!M26</f>
        <v>0.23194444444444448</v>
      </c>
      <c r="K12" s="73">
        <f>5+(34/60)</f>
        <v>5.5666666666666664</v>
      </c>
      <c r="L12" s="161">
        <v>400</v>
      </c>
      <c r="M12" s="73">
        <f t="shared" si="2"/>
        <v>2226.6666666666665</v>
      </c>
      <c r="N12" s="72">
        <f>SUMMARY!N26</f>
        <v>0.20902777777777781</v>
      </c>
      <c r="O12" s="73">
        <f>5+(1/60)</f>
        <v>5.0166666666666666</v>
      </c>
      <c r="P12" s="161">
        <v>400</v>
      </c>
      <c r="Q12" s="73">
        <f t="shared" si="3"/>
        <v>2006.6666666666667</v>
      </c>
      <c r="R12" s="72">
        <f>+SUMMARY!P26</f>
        <v>0</v>
      </c>
      <c r="S12" s="73">
        <f t="shared" si="4"/>
        <v>0</v>
      </c>
      <c r="T12" s="161">
        <v>400</v>
      </c>
      <c r="U12" s="73">
        <f t="shared" si="5"/>
        <v>0</v>
      </c>
      <c r="V12" s="72">
        <f>SUMMARY!R26</f>
        <v>0.14652777777777778</v>
      </c>
      <c r="W12" s="73">
        <f>3+(31/60)</f>
        <v>3.5166666666666666</v>
      </c>
      <c r="X12" s="161">
        <v>400</v>
      </c>
      <c r="Y12" s="73">
        <f t="shared" si="6"/>
        <v>1406.6666666666667</v>
      </c>
      <c r="Z12" s="72">
        <f>SUMMARY!S26</f>
        <v>2.4631944444444445</v>
      </c>
      <c r="AA12" s="73">
        <f>59+(7/60)</f>
        <v>59.116666666666667</v>
      </c>
      <c r="AB12" s="161">
        <v>400</v>
      </c>
      <c r="AC12" s="73">
        <f t="shared" si="7"/>
        <v>23646.666666666668</v>
      </c>
      <c r="AD12" s="72">
        <f>SUMMARY!T26</f>
        <v>1.5458333333333334</v>
      </c>
      <c r="AE12" s="73">
        <f>37+(6/60)</f>
        <v>37.1</v>
      </c>
      <c r="AF12" s="161">
        <v>400</v>
      </c>
      <c r="AG12" s="73">
        <f t="shared" si="8"/>
        <v>14840</v>
      </c>
      <c r="AH12" s="72">
        <f>+SUMMARY!V26</f>
        <v>0.24305555555555558</v>
      </c>
      <c r="AI12" s="73">
        <f>5+(50/60)</f>
        <v>5.833333333333333</v>
      </c>
      <c r="AJ12" s="161">
        <v>400</v>
      </c>
      <c r="AK12" s="73">
        <f t="shared" si="9"/>
        <v>2333.333333333333</v>
      </c>
      <c r="AL12" s="72">
        <f>SUMMARY!W26</f>
        <v>0.6333333333333333</v>
      </c>
      <c r="AM12" s="73">
        <f>15+(12/60)</f>
        <v>15.2</v>
      </c>
      <c r="AN12" s="161">
        <v>400</v>
      </c>
      <c r="AO12" s="73">
        <f t="shared" si="10"/>
        <v>6080</v>
      </c>
      <c r="AP12" s="72">
        <f>SUMMARY!X26</f>
        <v>0</v>
      </c>
      <c r="AQ12" s="73">
        <f t="shared" si="32"/>
        <v>0</v>
      </c>
      <c r="AR12" s="161">
        <v>400</v>
      </c>
      <c r="AS12" s="73">
        <f t="shared" si="11"/>
        <v>0</v>
      </c>
      <c r="AT12" s="72">
        <f>SUMMARY!Y26</f>
        <v>0</v>
      </c>
      <c r="AU12" s="73">
        <f t="shared" si="12"/>
        <v>0</v>
      </c>
      <c r="AV12" s="161">
        <v>400</v>
      </c>
      <c r="AW12" s="73">
        <f t="shared" si="13"/>
        <v>0</v>
      </c>
      <c r="AX12" s="72">
        <f>SUMMARY!Z26</f>
        <v>4.2361111111111113E-2</v>
      </c>
      <c r="AY12" s="73">
        <f>1+(1/60)</f>
        <v>1.0166666666666666</v>
      </c>
      <c r="AZ12" s="161">
        <v>400</v>
      </c>
      <c r="BA12" s="73">
        <f t="shared" si="14"/>
        <v>406.66666666666663</v>
      </c>
      <c r="BB12" s="74">
        <f t="shared" si="15"/>
        <v>55213.333333333336</v>
      </c>
    </row>
    <row r="13" spans="1:54" ht="27.75" customHeight="1" x14ac:dyDescent="0.25">
      <c r="A13" s="75" t="s">
        <v>35</v>
      </c>
      <c r="B13" s="76">
        <f>SUMMARY!K27</f>
        <v>0.19236111111111109</v>
      </c>
      <c r="C13" s="73">
        <f>4+(37/60)</f>
        <v>4.6166666666666671</v>
      </c>
      <c r="D13" s="75">
        <v>350</v>
      </c>
      <c r="E13" s="77">
        <f t="shared" si="0"/>
        <v>1615.8333333333335</v>
      </c>
      <c r="F13" s="76">
        <f>SUMMARY!L27</f>
        <v>0</v>
      </c>
      <c r="G13" s="73">
        <f t="shared" si="18"/>
        <v>0</v>
      </c>
      <c r="H13" s="75">
        <v>350</v>
      </c>
      <c r="I13" s="77">
        <f t="shared" si="1"/>
        <v>0</v>
      </c>
      <c r="J13" s="76">
        <f>SUMMARY!M27</f>
        <v>0.19097222222222221</v>
      </c>
      <c r="K13" s="73">
        <f>4+(35/60)</f>
        <v>4.583333333333333</v>
      </c>
      <c r="L13" s="75">
        <v>350</v>
      </c>
      <c r="M13" s="77">
        <f t="shared" si="2"/>
        <v>1604.1666666666665</v>
      </c>
      <c r="N13" s="76">
        <f>SUMMARY!N27</f>
        <v>0.14861111111111111</v>
      </c>
      <c r="O13" s="73">
        <f>3+(34/60)</f>
        <v>3.5666666666666664</v>
      </c>
      <c r="P13" s="75">
        <v>350</v>
      </c>
      <c r="Q13" s="77">
        <f t="shared" si="3"/>
        <v>1248.3333333333333</v>
      </c>
      <c r="R13" s="76">
        <f>+SUMMARY!P27</f>
        <v>0.11249999999999999</v>
      </c>
      <c r="S13" s="73">
        <f>2+(42/60)</f>
        <v>2.7</v>
      </c>
      <c r="T13" s="75">
        <v>350</v>
      </c>
      <c r="U13" s="77">
        <f t="shared" si="5"/>
        <v>945.00000000000011</v>
      </c>
      <c r="V13" s="76">
        <f>SUMMARY!R27</f>
        <v>6.1805555555555551E-2</v>
      </c>
      <c r="W13" s="73">
        <f>1+(29/60)</f>
        <v>1.4833333333333334</v>
      </c>
      <c r="X13" s="75">
        <v>350</v>
      </c>
      <c r="Y13" s="77">
        <f t="shared" si="6"/>
        <v>519.16666666666674</v>
      </c>
      <c r="Z13" s="76">
        <f>SUMMARY!S27</f>
        <v>1.7131944444444445</v>
      </c>
      <c r="AA13" s="73">
        <f>41+(7/60)</f>
        <v>41.116666666666667</v>
      </c>
      <c r="AB13" s="75">
        <v>350</v>
      </c>
      <c r="AC13" s="77">
        <f t="shared" si="7"/>
        <v>14390.833333333334</v>
      </c>
      <c r="AD13" s="76">
        <f>SUMMARY!T27</f>
        <v>0.73055555555555562</v>
      </c>
      <c r="AE13" s="73">
        <f>17+(32/60)</f>
        <v>17.533333333333335</v>
      </c>
      <c r="AF13" s="75">
        <v>350</v>
      </c>
      <c r="AG13" s="77">
        <f t="shared" si="8"/>
        <v>6136.666666666667</v>
      </c>
      <c r="AH13" s="76">
        <f>SUMMARY!V27</f>
        <v>1.8708333333333336</v>
      </c>
      <c r="AI13" s="73">
        <f>44+(54/60)</f>
        <v>44.9</v>
      </c>
      <c r="AJ13" s="75">
        <v>350</v>
      </c>
      <c r="AK13" s="77">
        <f t="shared" si="9"/>
        <v>15715</v>
      </c>
      <c r="AL13" s="76">
        <f>SUMMARY!W27</f>
        <v>1.0243055555555554</v>
      </c>
      <c r="AM13" s="73">
        <f>24+(35/60)</f>
        <v>24.583333333333332</v>
      </c>
      <c r="AN13" s="75">
        <v>350</v>
      </c>
      <c r="AO13" s="77">
        <f t="shared" si="10"/>
        <v>8604.1666666666661</v>
      </c>
      <c r="AP13" s="76">
        <f>SUMMARY!X27</f>
        <v>0</v>
      </c>
      <c r="AQ13" s="73">
        <f t="shared" si="32"/>
        <v>0</v>
      </c>
      <c r="AR13" s="75">
        <v>350</v>
      </c>
      <c r="AS13" s="77">
        <f t="shared" si="11"/>
        <v>0</v>
      </c>
      <c r="AT13" s="76">
        <f>SUMMARY!Y27</f>
        <v>0</v>
      </c>
      <c r="AU13" s="73">
        <f t="shared" si="12"/>
        <v>0</v>
      </c>
      <c r="AV13" s="75">
        <v>350</v>
      </c>
      <c r="AW13" s="77">
        <f t="shared" si="13"/>
        <v>0</v>
      </c>
      <c r="AX13" s="76">
        <f>SUMMARY!Z27</f>
        <v>2.1527777777777778E-2</v>
      </c>
      <c r="AY13" s="73">
        <f>0+(31/60)</f>
        <v>0.51666666666666672</v>
      </c>
      <c r="AZ13" s="75">
        <v>350</v>
      </c>
      <c r="BA13" s="77">
        <f t="shared" si="14"/>
        <v>180.83333333333334</v>
      </c>
      <c r="BB13" s="78">
        <f t="shared" si="15"/>
        <v>50960</v>
      </c>
    </row>
    <row r="14" spans="1:54" ht="27.75" customHeight="1" thickBot="1" x14ac:dyDescent="0.3">
      <c r="A14" s="79" t="s">
        <v>37</v>
      </c>
      <c r="B14" s="80"/>
      <c r="C14" s="81"/>
      <c r="D14" s="82"/>
      <c r="E14" s="83">
        <f>SUM(E7:E13)</f>
        <v>9269.1666666666679</v>
      </c>
      <c r="F14" s="80"/>
      <c r="G14" s="81"/>
      <c r="H14" s="82"/>
      <c r="I14" s="83">
        <f>SUM(I7:I13)</f>
        <v>2213.3333333333335</v>
      </c>
      <c r="J14" s="80"/>
      <c r="K14" s="81"/>
      <c r="L14" s="82"/>
      <c r="M14" s="83">
        <f>SUM(M7:M13)</f>
        <v>11270.833333333332</v>
      </c>
      <c r="N14" s="80"/>
      <c r="O14" s="81"/>
      <c r="P14" s="82"/>
      <c r="Q14" s="83">
        <f>SUM(Q7:Q13)</f>
        <v>10368.333333333334</v>
      </c>
      <c r="R14" s="80"/>
      <c r="S14" s="81"/>
      <c r="T14" s="82"/>
      <c r="U14" s="83">
        <f>SUM(U7:U13)</f>
        <v>2745</v>
      </c>
      <c r="V14" s="80"/>
      <c r="W14" s="81"/>
      <c r="X14" s="82"/>
      <c r="Y14" s="83">
        <f>SUM(Y7:Y13)</f>
        <v>6605.8333333333339</v>
      </c>
      <c r="Z14" s="80"/>
      <c r="AA14" s="81"/>
      <c r="AB14" s="82"/>
      <c r="AC14" s="83">
        <f>SUM(AC7:AC13)</f>
        <v>127610.83333333334</v>
      </c>
      <c r="AD14" s="80"/>
      <c r="AE14" s="81"/>
      <c r="AF14" s="82"/>
      <c r="AG14" s="83">
        <f>SUM(AG7:AG13)</f>
        <v>70803.333333333328</v>
      </c>
      <c r="AH14" s="80"/>
      <c r="AI14" s="81"/>
      <c r="AJ14" s="82"/>
      <c r="AK14" s="83">
        <f>SUM(AK7:AK13)</f>
        <v>24748.333333333332</v>
      </c>
      <c r="AL14" s="80"/>
      <c r="AM14" s="81"/>
      <c r="AN14" s="82"/>
      <c r="AO14" s="83">
        <f>SUM(AO7:AO13)</f>
        <v>43244.166666666664</v>
      </c>
      <c r="AP14" s="80"/>
      <c r="AQ14" s="81"/>
      <c r="AR14" s="82"/>
      <c r="AS14" s="83">
        <f>SUM(AS7:AS13)</f>
        <v>3806.666666666667</v>
      </c>
      <c r="AT14" s="80"/>
      <c r="AU14" s="81"/>
      <c r="AV14" s="82"/>
      <c r="AW14" s="83">
        <f>SUM(AW7:AW13)</f>
        <v>0</v>
      </c>
      <c r="AX14" s="80"/>
      <c r="AY14" s="81"/>
      <c r="AZ14" s="82"/>
      <c r="BA14" s="83">
        <f>SUM(BA7:BA13)</f>
        <v>2294.166666666667</v>
      </c>
      <c r="BB14" s="83">
        <f>SUM(BB7:BB13)</f>
        <v>314980</v>
      </c>
    </row>
    <row r="15" spans="1:54" ht="13.5" thickTop="1" x14ac:dyDescent="0.25"/>
    <row r="16" spans="1:54" x14ac:dyDescent="0.25">
      <c r="BB16" s="67"/>
    </row>
    <row r="17" spans="54:54" x14ac:dyDescent="0.25">
      <c r="BB17" s="67"/>
    </row>
  </sheetData>
  <mergeCells count="15">
    <mergeCell ref="W5:Y5"/>
    <mergeCell ref="A5:A6"/>
    <mergeCell ref="C5:E5"/>
    <mergeCell ref="G5:I5"/>
    <mergeCell ref="K5:M5"/>
    <mergeCell ref="O5:Q5"/>
    <mergeCell ref="S5:U5"/>
    <mergeCell ref="AY5:BA5"/>
    <mergeCell ref="BB5:BB6"/>
    <mergeCell ref="AA5:AC5"/>
    <mergeCell ref="AE5:AG5"/>
    <mergeCell ref="AI5:AK5"/>
    <mergeCell ref="AM5:AO5"/>
    <mergeCell ref="AQ5:AS5"/>
    <mergeCell ref="AU5:AW5"/>
  </mergeCells>
  <printOptions horizontalCentered="1"/>
  <pageMargins left="0.45" right="0.45" top="0.75" bottom="0.5" header="0.3" footer="0.3"/>
  <pageSetup paperSize="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6</vt:i4>
      </vt:variant>
    </vt:vector>
  </HeadingPairs>
  <TitlesOfParts>
    <vt:vector size="4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SUMMARY</vt:lpstr>
      <vt:lpstr>LOSS PROD</vt:lpstr>
      <vt:lpstr>LOSS PROD BY RM</vt:lpstr>
      <vt:lpstr>LOSS PROD BY PROD</vt:lpstr>
      <vt:lpstr>'03'!Print_Area</vt:lpstr>
      <vt:lpstr>'04'!Print_Area</vt:lpstr>
      <vt:lpstr>'07'!Print_Area</vt:lpstr>
      <vt:lpstr>'LOSS PROD BY PROD'!Print_Area</vt:lpstr>
      <vt:lpstr>'LOSS PROD BY RM'!Print_Area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MCC-01</dc:creator>
  <cp:lastModifiedBy>MCC-01</cp:lastModifiedBy>
  <cp:lastPrinted>2024-10-08T02:25:45Z</cp:lastPrinted>
  <dcterms:created xsi:type="dcterms:W3CDTF">2024-08-02T03:58:51Z</dcterms:created>
  <dcterms:modified xsi:type="dcterms:W3CDTF">2024-12-28T05:31:34Z</dcterms:modified>
</cp:coreProperties>
</file>