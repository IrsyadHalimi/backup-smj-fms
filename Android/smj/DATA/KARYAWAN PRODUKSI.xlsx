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0" yWindow="-120" windowWidth="20640" windowHeight="11040" tabRatio="616"/>
  </bookViews>
  <sheets>
    <sheet name="EMPLOYEE MASTER DATA" sheetId="1" r:id="rId1"/>
    <sheet name="Sheet1 (2)" sheetId="24" state="hidden" r:id="rId2"/>
    <sheet name="Sheet1" sheetId="22" state="hidden" r:id="rId3"/>
    <sheet name="Sheet2" sheetId="8" state="hidden" r:id="rId4"/>
    <sheet name="SUMMARY IN OUT 2022" sheetId="27" state="hidden" r:id="rId5"/>
    <sheet name="Sheet3" sheetId="23" state="hidden" r:id="rId6"/>
    <sheet name="Sheet5" sheetId="26" state="hidden" r:id="rId7"/>
    <sheet name="SUMMARY IN OUT" sheetId="28" state="hidden" r:id="rId8"/>
  </sheets>
  <externalReferences>
    <externalReference r:id="rId9"/>
    <externalReference r:id="rId10"/>
    <externalReference r:id="rId11"/>
    <externalReference r:id="rId12"/>
  </externalReferences>
  <definedNames>
    <definedName name="__IntlFixup" hidden="1">TRUE</definedName>
    <definedName name="_xlnm._FilterDatabase" localSheetId="0" hidden="1">'EMPLOYEE MASTER DATA'!$A$7:$G$270</definedName>
    <definedName name="_xlnm._FilterDatabase" localSheetId="2" hidden="1">Sheet1!$B$134:$I$299</definedName>
    <definedName name="_xlnm._FilterDatabase" localSheetId="1" hidden="1">'Sheet1 (2)'!$B$2:$G$305</definedName>
    <definedName name="_xlnm._FilterDatabase" localSheetId="5" hidden="1">Sheet3!$B$34:$I$54</definedName>
    <definedName name="a">'[1]Base Unit'!$D$10:INDEX('[1]Base Unit'!$D:$D,COUNTA('[1]Base Unit'!$D:$D)+8)</definedName>
    <definedName name="aaaaa" localSheetId="1">#REF!</definedName>
    <definedName name="AccessDatabase" hidden="1">"C:\My Documents\MAUI MALL1.mdb"</definedName>
    <definedName name="anscount" hidden="1">4</definedName>
    <definedName name="BULANOUT1">#REF!</definedName>
    <definedName name="CETAK2" localSheetId="1">#REF!</definedName>
    <definedName name="CETAK3" localSheetId="1">#REF!</definedName>
    <definedName name="CETAK4" localSheetId="1">#REF!</definedName>
    <definedName name="CETAK5" localSheetId="1">#REF!</definedName>
    <definedName name="DATAKARYAWAN" localSheetId="1">'EMPLOYEE MASTER DATA'!#REF!</definedName>
    <definedName name="DATAKARYAWAN1">'EMPLOYEE MASTER DATA'!#REF!</definedName>
    <definedName name="DATAKARYAWANALL">'EMPLOYEE MASTER DATA'!#REF!</definedName>
    <definedName name="DATAKARYAWANOUT">'EMPLOYEE MASTER DATA'!#REF!</definedName>
    <definedName name="DATALOKALALL" localSheetId="1">'EMPLOYEE MASTER DATA'!#REF!</definedName>
    <definedName name="DATALOKALALL">'EMPLOYEE MASTER DATA'!#REF!</definedName>
    <definedName name="DATAMESSALL">'EMPLOYEE MASTER DATA'!#REF!</definedName>
    <definedName name="DATAOUT">'EMPLOYEE MASTER DATA'!#REF!</definedName>
    <definedName name="DATAOUT2023">'EMPLOYEE MASTER DATA'!#REF!</definedName>
    <definedName name="dbasecn">'[2]Base Unit'!$D$10:INDEX('[2]Base Unit'!$D:$D,COUNTA('[2]Base Unit'!$D:$D)+8)</definedName>
    <definedName name="ddd" localSheetId="1">#REF!</definedName>
    <definedName name="ddd">#REF!</definedName>
    <definedName name="ddddd" localSheetId="1">#REF!</definedName>
    <definedName name="ddddd">#REF!</definedName>
    <definedName name="dddddd" localSheetId="1">#REF!</definedName>
    <definedName name="dddddd">#REF!</definedName>
    <definedName name="dennihrd">'[1]Base Unit'!$D$10:INDEX('[1]Base Unit'!$D:$D,COUNTA('[1]Base Unit'!$D:$D)+8)</definedName>
    <definedName name="Dep" localSheetId="1">#REF!</definedName>
    <definedName name="Dep">#REF!</definedName>
    <definedName name="Department" localSheetId="1">#REF!</definedName>
    <definedName name="Desk" localSheetId="1">#REF!</definedName>
    <definedName name="Desk">#REF!</definedName>
    <definedName name="DPROUT1">#REF!</definedName>
    <definedName name="Excel_BuiltIn__FilterDatabase_1" localSheetId="1">#REF!</definedName>
    <definedName name="Excel_BuiltIn__FilterDatabase_1">#REF!</definedName>
    <definedName name="Excel_BuiltIn__FilterDatabase_1_1" localSheetId="1">#REF!</definedName>
    <definedName name="Excel_BuiltIn__FilterDatabase_1_1">#REF!</definedName>
    <definedName name="FOREMANBELOW1" localSheetId="1">#REF!</definedName>
    <definedName name="FOREMANBELOW1">#REF!</definedName>
    <definedName name="HTML_CodePage" hidden="1">1252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Title" hidden="1">"2D ANIMATION PRODUCTION TABLE"</definedName>
    <definedName name="INWARNA" localSheetId="1">'EMPLOYEE MASTER DATA'!#REF!</definedName>
    <definedName name="INWARNA">'EMPLOYEE MASTER DATA'!#REF!</definedName>
    <definedName name="Jabatan">[3]sambarata!$D$54:$D$86</definedName>
    <definedName name="JENISPK2023">'EMPLOYEE MASTER DATA'!#REF!</definedName>
    <definedName name="JENISPKALL">'EMPLOYEE MASTER DATA'!#REF!</definedName>
    <definedName name="JULY" localSheetId="1">#REF!</definedName>
    <definedName name="JULY">#REF!</definedName>
    <definedName name="limcount" hidden="1">3</definedName>
    <definedName name="Mess" localSheetId="1">#REF!</definedName>
    <definedName name="Mess">#REF!</definedName>
    <definedName name="MESSKARYAWAN">'EMPLOYEE MASTER DATA'!#REF!</definedName>
    <definedName name="MESSNON">'EMPLOYEE MASTER DATA'!#REF!</definedName>
    <definedName name="No" localSheetId="1">#REF!</definedName>
    <definedName name="PKOUT1">#REF!</definedName>
    <definedName name="PKWT2024">'EMPLOYEE MASTER DATA'!#REF!</definedName>
    <definedName name="_xlnm.Print_Area" localSheetId="0">'EMPLOYEE MASTER DATA'!$A$2:$E$270</definedName>
    <definedName name="_xlnm.Print_Area" localSheetId="2">Sheet1!$B$2:$I$41</definedName>
    <definedName name="_xlnm.Print_Area" localSheetId="1">'Sheet1 (2)'!$B$2:$F$305</definedName>
    <definedName name="_xlnm.Print_Area" localSheetId="5">Sheet3!$B$34:$I$54</definedName>
    <definedName name="_xlnm.Print_Titles" localSheetId="0">'EMPLOYEE MASTER DATA'!$4:$5</definedName>
    <definedName name="PRODUKSI">'EMPLOYEE MASTER DATA'!$D$8:$D$270</definedName>
    <definedName name="sencount" hidden="1">3</definedName>
    <definedName name="SEPT" localSheetId="1">#REF!</definedName>
    <definedName name="SSSS" localSheetId="1">#REF!,#REF!,#REF!,#REF!</definedName>
    <definedName name="STATUS" localSheetId="1">#REF!</definedName>
    <definedName name="statusmess" localSheetId="1">#REF!</definedName>
    <definedName name="TEMPAT">'EMPLOYEE MASTER DATA'!#REF!</definedName>
    <definedName name="WARNA" localSheetId="1">#REF!</definedName>
    <definedName name="WARNAFOREMANUP" localSheetId="1">#REF!</definedName>
    <definedName name="Z_9A428CE1_B4D9_11D0_A8AA_0000C071AEE7_.wvu.Cols" hidden="1">[4]MASTER!$A$1:$Q$65536,[4]MASTER!$Y$1:$Z$65536</definedName>
  </definedNames>
  <calcPr calcId="144525"/>
</workbook>
</file>

<file path=xl/calcChain.xml><?xml version="1.0" encoding="utf-8"?>
<calcChain xmlns="http://schemas.openxmlformats.org/spreadsheetml/2006/main">
  <c r="A261" i="1" l="1"/>
  <c r="A262" i="1"/>
  <c r="A263" i="1"/>
  <c r="A211" i="1"/>
  <c r="A212" i="1"/>
  <c r="A192" i="1"/>
  <c r="A193" i="1"/>
  <c r="A179" i="1"/>
  <c r="A180" i="1"/>
  <c r="A92" i="1"/>
  <c r="A93" i="1"/>
  <c r="A91" i="1"/>
  <c r="A85" i="1"/>
  <c r="A86" i="1"/>
  <c r="A87" i="1"/>
  <c r="A270" i="1" l="1"/>
  <c r="A191" i="1"/>
  <c r="A259" i="1" l="1"/>
  <c r="A260" i="1"/>
  <c r="A190" i="1"/>
  <c r="A256" i="1" l="1"/>
  <c r="A257" i="1"/>
  <c r="A258" i="1"/>
  <c r="A189" i="1"/>
  <c r="A181" i="1"/>
  <c r="A182" i="1"/>
  <c r="A90" i="1"/>
  <c r="A39" i="1"/>
  <c r="A40" i="1"/>
  <c r="A41" i="1"/>
  <c r="A42" i="1"/>
  <c r="A12" i="1"/>
  <c r="A13" i="1"/>
  <c r="A164" i="1" l="1"/>
  <c r="A165" i="1"/>
  <c r="A166" i="1"/>
  <c r="A188" i="1" l="1"/>
  <c r="A177" i="1"/>
  <c r="A178" i="1"/>
  <c r="A226" i="1"/>
  <c r="A227" i="1"/>
  <c r="A122" i="1" l="1"/>
  <c r="A123" i="1"/>
  <c r="A124" i="1"/>
  <c r="A255" i="1" l="1"/>
  <c r="A175" i="1" l="1"/>
  <c r="A176" i="1"/>
  <c r="A50" i="1"/>
  <c r="A51" i="1"/>
  <c r="A52" i="1"/>
  <c r="A11" i="1"/>
  <c r="A14" i="1"/>
  <c r="A15" i="1"/>
  <c r="A174" i="1"/>
  <c r="A10" i="1" l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43" i="1"/>
  <c r="A44" i="1"/>
  <c r="A45" i="1"/>
  <c r="A46" i="1"/>
  <c r="A47" i="1"/>
  <c r="A48" i="1"/>
  <c r="A49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8" i="1"/>
  <c r="A89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7" i="1"/>
  <c r="A168" i="1"/>
  <c r="A169" i="1"/>
  <c r="A170" i="1"/>
  <c r="A171" i="1"/>
  <c r="A172" i="1"/>
  <c r="A173" i="1"/>
  <c r="A183" i="1"/>
  <c r="A184" i="1"/>
  <c r="A185" i="1"/>
  <c r="A186" i="1"/>
  <c r="A187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64" i="1"/>
  <c r="A265" i="1"/>
  <c r="A266" i="1"/>
  <c r="A267" i="1"/>
  <c r="A268" i="1"/>
  <c r="A269" i="1"/>
  <c r="A8" i="1" l="1"/>
  <c r="N50" i="28" l="1"/>
  <c r="M50" i="28"/>
  <c r="L50" i="28"/>
  <c r="K50" i="28"/>
  <c r="J50" i="28"/>
  <c r="I50" i="28"/>
  <c r="H50" i="28"/>
  <c r="G50" i="28"/>
  <c r="F50" i="28"/>
  <c r="E50" i="28"/>
  <c r="D50" i="28"/>
  <c r="C50" i="28"/>
  <c r="O50" i="28" s="1"/>
  <c r="N49" i="28"/>
  <c r="M49" i="28"/>
  <c r="L49" i="28"/>
  <c r="K49" i="28"/>
  <c r="J49" i="28"/>
  <c r="I49" i="28"/>
  <c r="H49" i="28"/>
  <c r="G49" i="28"/>
  <c r="F49" i="28"/>
  <c r="E49" i="28"/>
  <c r="D49" i="28"/>
  <c r="C49" i="28"/>
  <c r="O49" i="28" s="1"/>
  <c r="N48" i="28"/>
  <c r="M48" i="28"/>
  <c r="L48" i="28"/>
  <c r="K48" i="28"/>
  <c r="J48" i="28"/>
  <c r="I48" i="28"/>
  <c r="H48" i="28"/>
  <c r="G48" i="28"/>
  <c r="F48" i="28"/>
  <c r="E48" i="28"/>
  <c r="D48" i="28"/>
  <c r="C48" i="28"/>
  <c r="O48" i="28" s="1"/>
  <c r="N47" i="28"/>
  <c r="M47" i="28"/>
  <c r="L47" i="28"/>
  <c r="K47" i="28"/>
  <c r="J47" i="28"/>
  <c r="I47" i="28"/>
  <c r="H47" i="28"/>
  <c r="G47" i="28"/>
  <c r="F47" i="28"/>
  <c r="E47" i="28"/>
  <c r="D47" i="28"/>
  <c r="C47" i="28"/>
  <c r="O47" i="28" s="1"/>
  <c r="N46" i="28"/>
  <c r="M46" i="28"/>
  <c r="L46" i="28"/>
  <c r="K46" i="28"/>
  <c r="J46" i="28"/>
  <c r="I46" i="28"/>
  <c r="H46" i="28"/>
  <c r="G46" i="28"/>
  <c r="F46" i="28"/>
  <c r="E46" i="28"/>
  <c r="D46" i="28"/>
  <c r="C46" i="28"/>
  <c r="O46" i="28" s="1"/>
  <c r="N45" i="28"/>
  <c r="M45" i="28"/>
  <c r="L45" i="28"/>
  <c r="K45" i="28"/>
  <c r="J45" i="28"/>
  <c r="I45" i="28"/>
  <c r="H45" i="28"/>
  <c r="G45" i="28"/>
  <c r="F45" i="28"/>
  <c r="E45" i="28"/>
  <c r="D45" i="28"/>
  <c r="C45" i="28"/>
  <c r="O45" i="28" s="1"/>
  <c r="N44" i="28"/>
  <c r="M44" i="28"/>
  <c r="L44" i="28"/>
  <c r="K44" i="28"/>
  <c r="J44" i="28"/>
  <c r="I44" i="28"/>
  <c r="H44" i="28"/>
  <c r="G44" i="28"/>
  <c r="F44" i="28"/>
  <c r="E44" i="28"/>
  <c r="D44" i="28"/>
  <c r="C44" i="28"/>
  <c r="O44" i="28" s="1"/>
  <c r="N43" i="28"/>
  <c r="M43" i="28"/>
  <c r="L43" i="28"/>
  <c r="K43" i="28"/>
  <c r="J43" i="28"/>
  <c r="I43" i="28"/>
  <c r="H43" i="28"/>
  <c r="G43" i="28"/>
  <c r="F43" i="28"/>
  <c r="E43" i="28"/>
  <c r="D43" i="28"/>
  <c r="C43" i="28"/>
  <c r="O43" i="28" s="1"/>
  <c r="N42" i="28"/>
  <c r="M42" i="28"/>
  <c r="L42" i="28"/>
  <c r="K42" i="28"/>
  <c r="J42" i="28"/>
  <c r="I42" i="28"/>
  <c r="H42" i="28"/>
  <c r="G42" i="28"/>
  <c r="F42" i="28"/>
  <c r="E42" i="28"/>
  <c r="D42" i="28"/>
  <c r="C42" i="28"/>
  <c r="O42" i="28" s="1"/>
  <c r="N41" i="28"/>
  <c r="M41" i="28"/>
  <c r="L41" i="28"/>
  <c r="K41" i="28"/>
  <c r="J41" i="28"/>
  <c r="I41" i="28"/>
  <c r="H41" i="28"/>
  <c r="G41" i="28"/>
  <c r="F41" i="28"/>
  <c r="E41" i="28"/>
  <c r="D41" i="28"/>
  <c r="C41" i="28"/>
  <c r="O41" i="28" s="1"/>
  <c r="N40" i="28"/>
  <c r="N51" i="28" s="1"/>
  <c r="M40" i="28"/>
  <c r="M51" i="28" s="1"/>
  <c r="L40" i="28"/>
  <c r="L51" i="28" s="1"/>
  <c r="K40" i="28"/>
  <c r="K51" i="28" s="1"/>
  <c r="J40" i="28"/>
  <c r="J51" i="28" s="1"/>
  <c r="I40" i="28"/>
  <c r="I51" i="28" s="1"/>
  <c r="H40" i="28"/>
  <c r="H51" i="28" s="1"/>
  <c r="G40" i="28"/>
  <c r="G51" i="28" s="1"/>
  <c r="F40" i="28"/>
  <c r="F51" i="28" s="1"/>
  <c r="E40" i="28"/>
  <c r="E51" i="28" s="1"/>
  <c r="D40" i="28"/>
  <c r="D51" i="28" s="1"/>
  <c r="C40" i="28"/>
  <c r="O40" i="28" s="1"/>
  <c r="O51" i="28" s="1"/>
  <c r="N31" i="28"/>
  <c r="M31" i="28"/>
  <c r="L31" i="28"/>
  <c r="K31" i="28"/>
  <c r="J31" i="28"/>
  <c r="I31" i="28"/>
  <c r="H31" i="28"/>
  <c r="G31" i="28"/>
  <c r="F31" i="28"/>
  <c r="E31" i="28"/>
  <c r="D31" i="28"/>
  <c r="C31" i="28"/>
  <c r="O31" i="28" s="1"/>
  <c r="N30" i="28"/>
  <c r="M30" i="28"/>
  <c r="L30" i="28"/>
  <c r="K30" i="28"/>
  <c r="J30" i="28"/>
  <c r="I30" i="28"/>
  <c r="H30" i="28"/>
  <c r="G30" i="28"/>
  <c r="F30" i="28"/>
  <c r="E30" i="28"/>
  <c r="D30" i="28"/>
  <c r="C30" i="28"/>
  <c r="O30" i="28" s="1"/>
  <c r="N29" i="28"/>
  <c r="M29" i="28"/>
  <c r="L29" i="28"/>
  <c r="K29" i="28"/>
  <c r="J29" i="28"/>
  <c r="I29" i="28"/>
  <c r="H29" i="28"/>
  <c r="G29" i="28"/>
  <c r="F29" i="28"/>
  <c r="E29" i="28"/>
  <c r="D29" i="28"/>
  <c r="C29" i="28"/>
  <c r="O29" i="28" s="1"/>
  <c r="N28" i="28"/>
  <c r="M28" i="28"/>
  <c r="L28" i="28"/>
  <c r="K28" i="28"/>
  <c r="J28" i="28"/>
  <c r="I28" i="28"/>
  <c r="H28" i="28"/>
  <c r="G28" i="28"/>
  <c r="F28" i="28"/>
  <c r="E28" i="28"/>
  <c r="D28" i="28"/>
  <c r="C28" i="28"/>
  <c r="O28" i="28" s="1"/>
  <c r="N27" i="28"/>
  <c r="M27" i="28"/>
  <c r="L27" i="28"/>
  <c r="K27" i="28"/>
  <c r="J27" i="28"/>
  <c r="I27" i="28"/>
  <c r="H27" i="28"/>
  <c r="G27" i="28"/>
  <c r="F27" i="28"/>
  <c r="E27" i="28"/>
  <c r="D27" i="28"/>
  <c r="C27" i="28"/>
  <c r="O27" i="28" s="1"/>
  <c r="N26" i="28"/>
  <c r="M26" i="28"/>
  <c r="L26" i="28"/>
  <c r="K26" i="28"/>
  <c r="J26" i="28"/>
  <c r="I26" i="28"/>
  <c r="H26" i="28"/>
  <c r="G26" i="28"/>
  <c r="F26" i="28"/>
  <c r="E26" i="28"/>
  <c r="D26" i="28"/>
  <c r="C26" i="28"/>
  <c r="O26" i="28" s="1"/>
  <c r="N25" i="28"/>
  <c r="M25" i="28"/>
  <c r="L25" i="28"/>
  <c r="K25" i="28"/>
  <c r="J25" i="28"/>
  <c r="I25" i="28"/>
  <c r="H25" i="28"/>
  <c r="G25" i="28"/>
  <c r="F25" i="28"/>
  <c r="E25" i="28"/>
  <c r="D25" i="28"/>
  <c r="C25" i="28"/>
  <c r="O25" i="28" s="1"/>
  <c r="N24" i="28"/>
  <c r="M24" i="28"/>
  <c r="L24" i="28"/>
  <c r="K24" i="28"/>
  <c r="J24" i="28"/>
  <c r="I24" i="28"/>
  <c r="H24" i="28"/>
  <c r="G24" i="28"/>
  <c r="F24" i="28"/>
  <c r="E24" i="28"/>
  <c r="D24" i="28"/>
  <c r="C24" i="28"/>
  <c r="O24" i="28" s="1"/>
  <c r="N23" i="28"/>
  <c r="M23" i="28"/>
  <c r="L23" i="28"/>
  <c r="K23" i="28"/>
  <c r="J23" i="28"/>
  <c r="I23" i="28"/>
  <c r="H23" i="28"/>
  <c r="G23" i="28"/>
  <c r="F23" i="28"/>
  <c r="E23" i="28"/>
  <c r="D23" i="28"/>
  <c r="C23" i="28"/>
  <c r="O23" i="28" s="1"/>
  <c r="N22" i="28"/>
  <c r="M22" i="28"/>
  <c r="L22" i="28"/>
  <c r="K22" i="28"/>
  <c r="J22" i="28"/>
  <c r="I22" i="28"/>
  <c r="H22" i="28"/>
  <c r="G22" i="28"/>
  <c r="F22" i="28"/>
  <c r="E22" i="28"/>
  <c r="D22" i="28"/>
  <c r="C22" i="28"/>
  <c r="O22" i="28" s="1"/>
  <c r="N21" i="28"/>
  <c r="N32" i="28" s="1"/>
  <c r="M21" i="28"/>
  <c r="M32" i="28" s="1"/>
  <c r="L21" i="28"/>
  <c r="L32" i="28" s="1"/>
  <c r="K21" i="28"/>
  <c r="K32" i="28" s="1"/>
  <c r="J21" i="28"/>
  <c r="J32" i="28" s="1"/>
  <c r="I21" i="28"/>
  <c r="I32" i="28" s="1"/>
  <c r="H21" i="28"/>
  <c r="H32" i="28" s="1"/>
  <c r="G21" i="28"/>
  <c r="G32" i="28" s="1"/>
  <c r="F21" i="28"/>
  <c r="F32" i="28" s="1"/>
  <c r="E21" i="28"/>
  <c r="E32" i="28" s="1"/>
  <c r="D21" i="28"/>
  <c r="D32" i="28" s="1"/>
  <c r="C21" i="28"/>
  <c r="O21" i="28" s="1"/>
  <c r="O32" i="28" s="1"/>
  <c r="N15" i="28"/>
  <c r="M15" i="28"/>
  <c r="L15" i="28"/>
  <c r="K15" i="28"/>
  <c r="J15" i="28"/>
  <c r="I15" i="28"/>
  <c r="H15" i="28"/>
  <c r="G15" i="28"/>
  <c r="F15" i="28"/>
  <c r="E15" i="28"/>
  <c r="D15" i="28"/>
  <c r="C15" i="28"/>
  <c r="O15" i="28" s="1"/>
  <c r="N14" i="28"/>
  <c r="M14" i="28"/>
  <c r="L14" i="28"/>
  <c r="K14" i="28"/>
  <c r="J14" i="28"/>
  <c r="I14" i="28"/>
  <c r="H14" i="28"/>
  <c r="G14" i="28"/>
  <c r="F14" i="28"/>
  <c r="E14" i="28"/>
  <c r="D14" i="28"/>
  <c r="C14" i="28"/>
  <c r="O14" i="28" s="1"/>
  <c r="N13" i="28"/>
  <c r="M13" i="28"/>
  <c r="L13" i="28"/>
  <c r="K13" i="28"/>
  <c r="J13" i="28"/>
  <c r="I13" i="28"/>
  <c r="H13" i="28"/>
  <c r="G13" i="28"/>
  <c r="F13" i="28"/>
  <c r="E13" i="28"/>
  <c r="D13" i="28"/>
  <c r="C13" i="28"/>
  <c r="O13" i="28" s="1"/>
  <c r="N12" i="28"/>
  <c r="M12" i="28"/>
  <c r="L12" i="28"/>
  <c r="K12" i="28"/>
  <c r="J12" i="28"/>
  <c r="I12" i="28"/>
  <c r="H12" i="28"/>
  <c r="G12" i="28"/>
  <c r="F12" i="28"/>
  <c r="E12" i="28"/>
  <c r="D12" i="28"/>
  <c r="C12" i="28"/>
  <c r="O12" i="28" s="1"/>
  <c r="N11" i="28"/>
  <c r="M11" i="28"/>
  <c r="L11" i="28"/>
  <c r="K11" i="28"/>
  <c r="J11" i="28"/>
  <c r="I11" i="28"/>
  <c r="H11" i="28"/>
  <c r="G11" i="28"/>
  <c r="F11" i="28"/>
  <c r="E11" i="28"/>
  <c r="D11" i="28"/>
  <c r="C11" i="28"/>
  <c r="O11" i="28" s="1"/>
  <c r="N10" i="28"/>
  <c r="M10" i="28"/>
  <c r="L10" i="28"/>
  <c r="K10" i="28"/>
  <c r="J10" i="28"/>
  <c r="I10" i="28"/>
  <c r="H10" i="28"/>
  <c r="G10" i="28"/>
  <c r="F10" i="28"/>
  <c r="E10" i="28"/>
  <c r="D10" i="28"/>
  <c r="C10" i="28"/>
  <c r="O10" i="28" s="1"/>
  <c r="N9" i="28"/>
  <c r="M9" i="28"/>
  <c r="L9" i="28"/>
  <c r="K9" i="28"/>
  <c r="J9" i="28"/>
  <c r="I9" i="28"/>
  <c r="H9" i="28"/>
  <c r="G9" i="28"/>
  <c r="F9" i="28"/>
  <c r="E9" i="28"/>
  <c r="D9" i="28"/>
  <c r="C9" i="28"/>
  <c r="O9" i="28" s="1"/>
  <c r="N8" i="28"/>
  <c r="M8" i="28"/>
  <c r="L8" i="28"/>
  <c r="K8" i="28"/>
  <c r="J8" i="28"/>
  <c r="I8" i="28"/>
  <c r="H8" i="28"/>
  <c r="G8" i="28"/>
  <c r="F8" i="28"/>
  <c r="E8" i="28"/>
  <c r="D8" i="28"/>
  <c r="C8" i="28"/>
  <c r="O8" i="28" s="1"/>
  <c r="N7" i="28"/>
  <c r="M7" i="28"/>
  <c r="L7" i="28"/>
  <c r="K7" i="28"/>
  <c r="J7" i="28"/>
  <c r="I7" i="28"/>
  <c r="H7" i="28"/>
  <c r="G7" i="28"/>
  <c r="F7" i="28"/>
  <c r="E7" i="28"/>
  <c r="D7" i="28"/>
  <c r="C7" i="28"/>
  <c r="O7" i="28" s="1"/>
  <c r="N6" i="28"/>
  <c r="M6" i="28"/>
  <c r="L6" i="28"/>
  <c r="K6" i="28"/>
  <c r="J6" i="28"/>
  <c r="I6" i="28"/>
  <c r="H6" i="28"/>
  <c r="G6" i="28"/>
  <c r="F6" i="28"/>
  <c r="E6" i="28"/>
  <c r="D6" i="28"/>
  <c r="C6" i="28"/>
  <c r="O6" i="28" s="1"/>
  <c r="N5" i="28"/>
  <c r="N16" i="28" s="1"/>
  <c r="M5" i="28"/>
  <c r="M16" i="28" s="1"/>
  <c r="L5" i="28"/>
  <c r="L16" i="28" s="1"/>
  <c r="K5" i="28"/>
  <c r="K16" i="28" s="1"/>
  <c r="J5" i="28"/>
  <c r="J16" i="28" s="1"/>
  <c r="I5" i="28"/>
  <c r="I16" i="28" s="1"/>
  <c r="H5" i="28"/>
  <c r="H16" i="28" s="1"/>
  <c r="G5" i="28"/>
  <c r="G16" i="28" s="1"/>
  <c r="F5" i="28"/>
  <c r="F16" i="28" s="1"/>
  <c r="E5" i="28"/>
  <c r="E16" i="28" s="1"/>
  <c r="D5" i="28"/>
  <c r="D16" i="28" s="1"/>
  <c r="C5" i="28"/>
  <c r="O5" i="28" s="1"/>
  <c r="O16" i="28" s="1"/>
  <c r="B36" i="23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4" i="23"/>
  <c r="B5" i="23" s="1"/>
  <c r="B6" i="23" s="1"/>
  <c r="B7" i="23" s="1"/>
  <c r="B8" i="23" s="1"/>
  <c r="B9" i="23" s="1"/>
  <c r="B10" i="23" s="1"/>
  <c r="B11" i="23" s="1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G34" i="27"/>
  <c r="D34" i="27"/>
  <c r="J34" i="27" s="1"/>
  <c r="G33" i="27"/>
  <c r="D33" i="27"/>
  <c r="J33" i="27" s="1"/>
  <c r="G32" i="27"/>
  <c r="D32" i="27"/>
  <c r="J32" i="27" s="1"/>
  <c r="G31" i="27"/>
  <c r="D31" i="27"/>
  <c r="J31" i="27" s="1"/>
  <c r="G30" i="27"/>
  <c r="D30" i="27"/>
  <c r="J30" i="27" s="1"/>
  <c r="G29" i="27"/>
  <c r="D29" i="27"/>
  <c r="J29" i="27" s="1"/>
  <c r="G28" i="27"/>
  <c r="D28" i="27"/>
  <c r="J28" i="27" s="1"/>
  <c r="G27" i="27"/>
  <c r="D27" i="27"/>
  <c r="J27" i="27" s="1"/>
  <c r="G26" i="27"/>
  <c r="D26" i="27"/>
  <c r="J26" i="27" s="1"/>
  <c r="G25" i="27"/>
  <c r="D25" i="27"/>
  <c r="J25" i="27" s="1"/>
  <c r="G24" i="27"/>
  <c r="G35" i="27" s="1"/>
  <c r="D24" i="27"/>
  <c r="J24" i="27" s="1"/>
  <c r="J35" i="27" s="1"/>
  <c r="M16" i="27"/>
  <c r="L16" i="27"/>
  <c r="K16" i="27"/>
  <c r="J16" i="27"/>
  <c r="I16" i="27"/>
  <c r="H16" i="27"/>
  <c r="G16" i="27"/>
  <c r="F16" i="27"/>
  <c r="E16" i="27"/>
  <c r="D16" i="27"/>
  <c r="N16" i="27" s="1"/>
  <c r="M15" i="27"/>
  <c r="L15" i="27"/>
  <c r="K15" i="27"/>
  <c r="J15" i="27"/>
  <c r="I15" i="27"/>
  <c r="H15" i="27"/>
  <c r="G15" i="27"/>
  <c r="F15" i="27"/>
  <c r="E15" i="27"/>
  <c r="D15" i="27"/>
  <c r="N15" i="27" s="1"/>
  <c r="M14" i="27"/>
  <c r="L14" i="27"/>
  <c r="K14" i="27"/>
  <c r="J14" i="27"/>
  <c r="I14" i="27"/>
  <c r="H14" i="27"/>
  <c r="G14" i="27"/>
  <c r="F14" i="27"/>
  <c r="E14" i="27"/>
  <c r="D14" i="27"/>
  <c r="N14" i="27" s="1"/>
  <c r="M13" i="27"/>
  <c r="L13" i="27"/>
  <c r="K13" i="27"/>
  <c r="J13" i="27"/>
  <c r="I13" i="27"/>
  <c r="H13" i="27"/>
  <c r="G13" i="27"/>
  <c r="F13" i="27"/>
  <c r="E13" i="27"/>
  <c r="D13" i="27"/>
  <c r="N13" i="27" s="1"/>
  <c r="M12" i="27"/>
  <c r="L12" i="27"/>
  <c r="K12" i="27"/>
  <c r="J12" i="27"/>
  <c r="I12" i="27"/>
  <c r="H12" i="27"/>
  <c r="G12" i="27"/>
  <c r="F12" i="27"/>
  <c r="E12" i="27"/>
  <c r="D12" i="27"/>
  <c r="N12" i="27" s="1"/>
  <c r="M11" i="27"/>
  <c r="L11" i="27"/>
  <c r="K11" i="27"/>
  <c r="J11" i="27"/>
  <c r="I11" i="27"/>
  <c r="H11" i="27"/>
  <c r="G11" i="27"/>
  <c r="F11" i="27"/>
  <c r="E11" i="27"/>
  <c r="D11" i="27"/>
  <c r="N11" i="27" s="1"/>
  <c r="M10" i="27"/>
  <c r="L10" i="27"/>
  <c r="K10" i="27"/>
  <c r="J10" i="27"/>
  <c r="I10" i="27"/>
  <c r="H10" i="27"/>
  <c r="G10" i="27"/>
  <c r="F10" i="27"/>
  <c r="E10" i="27"/>
  <c r="D10" i="27"/>
  <c r="N10" i="27" s="1"/>
  <c r="M9" i="27"/>
  <c r="L9" i="27"/>
  <c r="K9" i="27"/>
  <c r="J9" i="27"/>
  <c r="I9" i="27"/>
  <c r="H9" i="27"/>
  <c r="G9" i="27"/>
  <c r="F9" i="27"/>
  <c r="E9" i="27"/>
  <c r="D9" i="27"/>
  <c r="N9" i="27" s="1"/>
  <c r="M8" i="27"/>
  <c r="L8" i="27"/>
  <c r="K8" i="27"/>
  <c r="J8" i="27"/>
  <c r="I8" i="27"/>
  <c r="H8" i="27"/>
  <c r="G8" i="27"/>
  <c r="F8" i="27"/>
  <c r="E8" i="27"/>
  <c r="D8" i="27"/>
  <c r="N8" i="27" s="1"/>
  <c r="M7" i="27"/>
  <c r="L7" i="27"/>
  <c r="K7" i="27"/>
  <c r="J7" i="27"/>
  <c r="I7" i="27"/>
  <c r="H7" i="27"/>
  <c r="G7" i="27"/>
  <c r="F7" i="27"/>
  <c r="E7" i="27"/>
  <c r="D7" i="27"/>
  <c r="N7" i="27" s="1"/>
  <c r="M6" i="27"/>
  <c r="M17" i="27" s="1"/>
  <c r="L6" i="27"/>
  <c r="L17" i="27" s="1"/>
  <c r="K6" i="27"/>
  <c r="K17" i="27" s="1"/>
  <c r="J6" i="27"/>
  <c r="J17" i="27" s="1"/>
  <c r="I6" i="27"/>
  <c r="I17" i="27" s="1"/>
  <c r="H6" i="27"/>
  <c r="H17" i="27" s="1"/>
  <c r="G6" i="27"/>
  <c r="G17" i="27" s="1"/>
  <c r="F6" i="27"/>
  <c r="F17" i="27" s="1"/>
  <c r="E6" i="27"/>
  <c r="E17" i="27" s="1"/>
  <c r="D6" i="27"/>
  <c r="N6" i="27" s="1"/>
  <c r="N17" i="2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137" i="22"/>
  <c r="B138" i="22" s="1"/>
  <c r="B139" i="22" s="1"/>
  <c r="B140" i="22" s="1"/>
  <c r="B141" i="22" s="1"/>
  <c r="B142" i="22" s="1"/>
  <c r="B143" i="22" s="1"/>
  <c r="B144" i="22" s="1"/>
  <c r="B145" i="22" s="1"/>
  <c r="B146" i="22" s="1"/>
  <c r="B147" i="22" s="1"/>
  <c r="B148" i="22" s="1"/>
  <c r="B149" i="22" s="1"/>
  <c r="B150" i="22" s="1"/>
  <c r="B151" i="22" s="1"/>
  <c r="B152" i="22" s="1"/>
  <c r="B153" i="22" s="1"/>
  <c r="B154" i="22" s="1"/>
  <c r="B155" i="22" s="1"/>
  <c r="B156" i="22" s="1"/>
  <c r="B157" i="22" s="1"/>
  <c r="B158" i="22" s="1"/>
  <c r="B159" i="22" s="1"/>
  <c r="B160" i="22" s="1"/>
  <c r="B161" i="22" s="1"/>
  <c r="B162" i="22" s="1"/>
  <c r="B163" i="22" s="1"/>
  <c r="B164" i="22" s="1"/>
  <c r="B165" i="22" s="1"/>
  <c r="B166" i="22" s="1"/>
  <c r="B167" i="22" s="1"/>
  <c r="B168" i="22" s="1"/>
  <c r="B169" i="22" s="1"/>
  <c r="B170" i="22" s="1"/>
  <c r="B171" i="22" s="1"/>
  <c r="B172" i="22" s="1"/>
  <c r="B173" i="22" s="1"/>
  <c r="B174" i="22" s="1"/>
  <c r="B175" i="22" s="1"/>
  <c r="B176" i="22" s="1"/>
  <c r="B177" i="22" s="1"/>
  <c r="B178" i="22" s="1"/>
  <c r="B179" i="22" s="1"/>
  <c r="B180" i="22" s="1"/>
  <c r="B181" i="22" s="1"/>
  <c r="B182" i="22" s="1"/>
  <c r="B183" i="22" s="1"/>
  <c r="B184" i="22" s="1"/>
  <c r="B185" i="22" s="1"/>
  <c r="B186" i="22" s="1"/>
  <c r="B187" i="22" s="1"/>
  <c r="B188" i="22" s="1"/>
  <c r="B189" i="22" s="1"/>
  <c r="B190" i="22" s="1"/>
  <c r="B191" i="22" s="1"/>
  <c r="B192" i="22" s="1"/>
  <c r="B193" i="22" s="1"/>
  <c r="B194" i="22" s="1"/>
  <c r="B195" i="22" s="1"/>
  <c r="B196" i="22" s="1"/>
  <c r="B197" i="22" s="1"/>
  <c r="B198" i="22" s="1"/>
  <c r="B199" i="22" s="1"/>
  <c r="B200" i="22" s="1"/>
  <c r="B201" i="22" s="1"/>
  <c r="B202" i="22" s="1"/>
  <c r="B203" i="22" s="1"/>
  <c r="B204" i="22" s="1"/>
  <c r="B205" i="22" s="1"/>
  <c r="B206" i="22" s="1"/>
  <c r="B207" i="22" s="1"/>
  <c r="B208" i="22" s="1"/>
  <c r="B209" i="22" s="1"/>
  <c r="B210" i="22" s="1"/>
  <c r="B211" i="22" s="1"/>
  <c r="B212" i="22" s="1"/>
  <c r="B213" i="22" s="1"/>
  <c r="B214" i="22" s="1"/>
  <c r="B215" i="22" s="1"/>
  <c r="B216" i="22" s="1"/>
  <c r="B217" i="22" s="1"/>
  <c r="B218" i="22" s="1"/>
  <c r="B219" i="22" s="1"/>
  <c r="B220" i="22" s="1"/>
  <c r="B221" i="22" s="1"/>
  <c r="B222" i="22" s="1"/>
  <c r="B223" i="22" s="1"/>
  <c r="B224" i="22" s="1"/>
  <c r="B225" i="22" s="1"/>
  <c r="B226" i="22" s="1"/>
  <c r="B227" i="22" s="1"/>
  <c r="B228" i="22" s="1"/>
  <c r="B229" i="22" s="1"/>
  <c r="B230" i="22" s="1"/>
  <c r="B231" i="22" s="1"/>
  <c r="B232" i="22" s="1"/>
  <c r="B233" i="22" s="1"/>
  <c r="B234" i="22" s="1"/>
  <c r="B235" i="22" s="1"/>
  <c r="B236" i="22" s="1"/>
  <c r="B237" i="22" s="1"/>
  <c r="B238" i="22" s="1"/>
  <c r="B239" i="22" s="1"/>
  <c r="B240" i="22" s="1"/>
  <c r="B241" i="22" s="1"/>
  <c r="B242" i="22" s="1"/>
  <c r="B243" i="22" s="1"/>
  <c r="B244" i="22" s="1"/>
  <c r="B245" i="22" s="1"/>
  <c r="B246" i="22" s="1"/>
  <c r="B247" i="22" s="1"/>
  <c r="B248" i="22" s="1"/>
  <c r="B249" i="22" s="1"/>
  <c r="B250" i="22" s="1"/>
  <c r="B251" i="22" s="1"/>
  <c r="B252" i="22" s="1"/>
  <c r="B253" i="22" s="1"/>
  <c r="B254" i="22" s="1"/>
  <c r="B255" i="22" s="1"/>
  <c r="B256" i="22" s="1"/>
  <c r="B257" i="22" s="1"/>
  <c r="B258" i="22" s="1"/>
  <c r="B259" i="22" s="1"/>
  <c r="B260" i="22" s="1"/>
  <c r="B261" i="22" s="1"/>
  <c r="B262" i="22" s="1"/>
  <c r="B263" i="22" s="1"/>
  <c r="B264" i="22" s="1"/>
  <c r="B265" i="22" s="1"/>
  <c r="B266" i="22" s="1"/>
  <c r="B267" i="22" s="1"/>
  <c r="B268" i="22" s="1"/>
  <c r="B269" i="22" s="1"/>
  <c r="B270" i="22" s="1"/>
  <c r="B271" i="22" s="1"/>
  <c r="B272" i="22" s="1"/>
  <c r="B273" i="22" s="1"/>
  <c r="B274" i="22" s="1"/>
  <c r="B275" i="22" s="1"/>
  <c r="B276" i="22" s="1"/>
  <c r="B277" i="22" s="1"/>
  <c r="B278" i="22" s="1"/>
  <c r="B279" i="22" s="1"/>
  <c r="B280" i="22" s="1"/>
  <c r="B281" i="22" s="1"/>
  <c r="B282" i="22" s="1"/>
  <c r="B283" i="22" s="1"/>
  <c r="B284" i="22" s="1"/>
  <c r="B285" i="22" s="1"/>
  <c r="B286" i="22" s="1"/>
  <c r="B287" i="22" s="1"/>
  <c r="B288" i="22" s="1"/>
  <c r="B289" i="22" s="1"/>
  <c r="B290" i="22" s="1"/>
  <c r="B291" i="22" s="1"/>
  <c r="B292" i="22" s="1"/>
  <c r="B293" i="22" s="1"/>
  <c r="B294" i="22" s="1"/>
  <c r="B295" i="22" s="1"/>
  <c r="B296" i="22" s="1"/>
  <c r="B297" i="22" s="1"/>
  <c r="B298" i="22" s="1"/>
  <c r="B299" i="22" s="1"/>
  <c r="B99" i="22"/>
  <c r="B100" i="22" s="1"/>
  <c r="B101" i="22" s="1"/>
  <c r="B102" i="22" s="1"/>
  <c r="B103" i="22" s="1"/>
  <c r="B104" i="22" s="1"/>
  <c r="B105" i="22" s="1"/>
  <c r="B106" i="22" s="1"/>
  <c r="B107" i="22" s="1"/>
  <c r="B108" i="22" s="1"/>
  <c r="B109" i="22" s="1"/>
  <c r="B110" i="22" s="1"/>
  <c r="B111" i="22" s="1"/>
  <c r="B112" i="22" s="1"/>
  <c r="B113" i="22" s="1"/>
  <c r="B114" i="22" s="1"/>
  <c r="B115" i="22" s="1"/>
  <c r="B116" i="22" s="1"/>
  <c r="B117" i="22" s="1"/>
  <c r="B118" i="22" s="1"/>
  <c r="B119" i="22" s="1"/>
  <c r="B120" i="22" s="1"/>
  <c r="B121" i="22" s="1"/>
  <c r="B122" i="22" s="1"/>
  <c r="B123" i="22" s="1"/>
  <c r="B124" i="22" s="1"/>
  <c r="B125" i="22" s="1"/>
  <c r="B126" i="22" s="1"/>
  <c r="B127" i="22" s="1"/>
  <c r="B128" i="22" s="1"/>
  <c r="B129" i="22" s="1"/>
  <c r="B130" i="22" s="1"/>
  <c r="B48" i="22"/>
  <c r="B49" i="22" s="1"/>
  <c r="B50" i="22" s="1"/>
  <c r="B51" i="22" s="1"/>
  <c r="B52" i="22" s="1"/>
  <c r="B53" i="22" s="1"/>
  <c r="B54" i="22" s="1"/>
  <c r="B55" i="22" s="1"/>
  <c r="B56" i="22" s="1"/>
  <c r="B57" i="22" s="1"/>
  <c r="B58" i="22" s="1"/>
  <c r="B59" i="22" s="1"/>
  <c r="B60" i="22" s="1"/>
  <c r="B61" i="22" s="1"/>
  <c r="B62" i="22" s="1"/>
  <c r="B63" i="22" s="1"/>
  <c r="B64" i="22" s="1"/>
  <c r="B65" i="22" s="1"/>
  <c r="B66" i="22" s="1"/>
  <c r="B67" i="22" s="1"/>
  <c r="B68" i="22" s="1"/>
  <c r="B69" i="22" s="1"/>
  <c r="B70" i="22" s="1"/>
  <c r="B71" i="22" s="1"/>
  <c r="B72" i="22" s="1"/>
  <c r="B73" i="22" s="1"/>
  <c r="B74" i="22" s="1"/>
  <c r="B75" i="22" s="1"/>
  <c r="B76" i="22" s="1"/>
  <c r="B77" i="22" s="1"/>
  <c r="B78" i="22" s="1"/>
  <c r="B79" i="22" s="1"/>
  <c r="B80" i="22" s="1"/>
  <c r="B81" i="22" s="1"/>
  <c r="B82" i="22" s="1"/>
  <c r="B83" i="22" s="1"/>
  <c r="B84" i="22" s="1"/>
  <c r="B85" i="22" s="1"/>
  <c r="B86" i="22" s="1"/>
  <c r="B87" i="22" s="1"/>
  <c r="B88" i="22" s="1"/>
  <c r="B89" i="22" s="1"/>
  <c r="B90" i="22" s="1"/>
  <c r="B91" i="22" s="1"/>
  <c r="B92" i="22" s="1"/>
  <c r="B93" i="22" s="1"/>
  <c r="B6" i="22"/>
  <c r="B7" i="22" s="1"/>
  <c r="B8" i="22" s="1"/>
  <c r="B9" i="22" s="1"/>
  <c r="B10" i="22" s="1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A9" i="1"/>
  <c r="B1" i="1"/>
  <c r="C1" i="1" s="1"/>
  <c r="D1" i="1" s="1"/>
  <c r="E1" i="1" s="1"/>
  <c r="D35" i="27" l="1"/>
  <c r="D17" i="27"/>
  <c r="C32" i="28"/>
  <c r="C16" i="28"/>
  <c r="C51" i="28"/>
</calcChain>
</file>

<file path=xl/comments1.xml><?xml version="1.0" encoding="utf-8"?>
<comments xmlns="http://schemas.openxmlformats.org/spreadsheetml/2006/main">
  <authors>
    <author>HRD-01</author>
  </authors>
  <commentList>
    <comment ref="E74" authorId="0">
      <text>
        <r>
          <rPr>
            <b/>
            <sz val="9"/>
            <rFont val="Tahoma"/>
            <family val="2"/>
          </rPr>
          <t>HRD-01:</t>
        </r>
        <r>
          <rPr>
            <sz val="9"/>
            <rFont val="Tahoma"/>
            <family val="2"/>
          </rPr>
          <t xml:space="preserve">
NAIK JABATAN PERTANGGAL 21 OKTOBER 2023</t>
        </r>
      </text>
    </comment>
    <comment ref="B84" authorId="0">
      <text>
        <r>
          <rPr>
            <b/>
            <sz val="9"/>
            <color indexed="81"/>
            <rFont val="Tahoma"/>
            <family val="2"/>
          </rPr>
          <t>HRD-01:</t>
        </r>
        <r>
          <rPr>
            <sz val="9"/>
            <color indexed="81"/>
            <rFont val="Tahoma"/>
            <family val="2"/>
          </rPr>
          <t xml:space="preserve">
NAIK DARI 200 KE 480 PER 1 JUNI 2024</t>
        </r>
      </text>
    </comment>
  </commentList>
</comments>
</file>

<file path=xl/sharedStrings.xml><?xml version="1.0" encoding="utf-8"?>
<sst xmlns="http://schemas.openxmlformats.org/spreadsheetml/2006/main" count="4397" uniqueCount="1298">
  <si>
    <t>DATA KARYAWAN ALL DEPARTEMEN</t>
  </si>
  <si>
    <t>NO</t>
  </si>
  <si>
    <t xml:space="preserve">NIK </t>
  </si>
  <si>
    <t>NAMA KARYAWAN</t>
  </si>
  <si>
    <t>DEPARTEMEN</t>
  </si>
  <si>
    <t>JABATAN</t>
  </si>
  <si>
    <t>JENIS PK</t>
  </si>
  <si>
    <t>MESS/NON MESS</t>
  </si>
  <si>
    <t>SMJ-SUMBER MITRA JAYA</t>
  </si>
  <si>
    <t>PRODUKSI</t>
  </si>
  <si>
    <t>PKWT</t>
  </si>
  <si>
    <t>Mess</t>
  </si>
  <si>
    <t>2141223PR6509</t>
  </si>
  <si>
    <t>Manager Produksi</t>
  </si>
  <si>
    <t>2180222PR5121</t>
  </si>
  <si>
    <t>David Buntu Pangalinan</t>
  </si>
  <si>
    <t>Jr. SPI Maintenance Road</t>
  </si>
  <si>
    <t>Non Mess</t>
  </si>
  <si>
    <t>2130622PR5429</t>
  </si>
  <si>
    <t>Samsir</t>
  </si>
  <si>
    <t>SPV Produksi</t>
  </si>
  <si>
    <t>2091221PR4931</t>
  </si>
  <si>
    <t>Baharuddin</t>
  </si>
  <si>
    <t>2090223PR5954</t>
  </si>
  <si>
    <t>Stepanus T.A</t>
  </si>
  <si>
    <t>2091223PR6497</t>
  </si>
  <si>
    <t>Sukahar</t>
  </si>
  <si>
    <t>2010622PR5675</t>
  </si>
  <si>
    <t>Aris Listiawan</t>
  </si>
  <si>
    <t>Jr SPV Produksi</t>
  </si>
  <si>
    <t>2130322PR5389</t>
  </si>
  <si>
    <t>Gundolfus Weti Atamua</t>
  </si>
  <si>
    <t>Sr Foreman Produksi</t>
  </si>
  <si>
    <t>2030422PR5226</t>
  </si>
  <si>
    <t>Petrus Lalan</t>
  </si>
  <si>
    <t>Foreman Produksi</t>
  </si>
  <si>
    <t>2220422PR5256</t>
  </si>
  <si>
    <t>Abdul Rahman</t>
  </si>
  <si>
    <t>2010922PR5676</t>
  </si>
  <si>
    <t>Sujandra</t>
  </si>
  <si>
    <t>2010622PR5346</t>
  </si>
  <si>
    <t>Andreas Albert</t>
  </si>
  <si>
    <t>2041022PR5677</t>
  </si>
  <si>
    <t>Paskalis Paulus Nggotu</t>
  </si>
  <si>
    <t>2090822PR5564</t>
  </si>
  <si>
    <t>Muhammad Arsyad</t>
  </si>
  <si>
    <t>2230922PR5701</t>
  </si>
  <si>
    <t>Teguh Sutopo</t>
  </si>
  <si>
    <t>2190622PR5444</t>
  </si>
  <si>
    <t>Sumardi</t>
  </si>
  <si>
    <t>Jr Foreman Produksi</t>
  </si>
  <si>
    <t>2010422PR5222</t>
  </si>
  <si>
    <t>Dominikus Derosari</t>
  </si>
  <si>
    <t>2010922PR5679</t>
  </si>
  <si>
    <t>Zulkifli</t>
  </si>
  <si>
    <t>2210923PR6344</t>
  </si>
  <si>
    <t xml:space="preserve">Muhammad Nurul Wahid Unga </t>
  </si>
  <si>
    <t>2241023PR6407</t>
  </si>
  <si>
    <t>Sultan</t>
  </si>
  <si>
    <t>2200822MC5680</t>
  </si>
  <si>
    <t>Frichal Henri Mangalik</t>
  </si>
  <si>
    <t>MT MCC Produksi</t>
  </si>
  <si>
    <t>2111022MC5722</t>
  </si>
  <si>
    <t>Arianda Ramlan</t>
  </si>
  <si>
    <t>MCC Field</t>
  </si>
  <si>
    <t>2040722PR5347</t>
  </si>
  <si>
    <t>Maset Lolo Parura</t>
  </si>
  <si>
    <t>Operator PC 1250</t>
  </si>
  <si>
    <t>2060122PR5382</t>
  </si>
  <si>
    <t>Marthen Patola</t>
  </si>
  <si>
    <t>2200922PR5681</t>
  </si>
  <si>
    <t>Arkadius Wasi</t>
  </si>
  <si>
    <t>2221221PR4967</t>
  </si>
  <si>
    <t>Tulus Simamora</t>
  </si>
  <si>
    <t>2110322PR5384</t>
  </si>
  <si>
    <t>Thomas Kano</t>
  </si>
  <si>
    <t>2110622PR5345</t>
  </si>
  <si>
    <t>Yohanis Buyang</t>
  </si>
  <si>
    <t>2151123PR6457</t>
  </si>
  <si>
    <t>Saverius Nggala</t>
  </si>
  <si>
    <t>2120922PR5682</t>
  </si>
  <si>
    <t>Leonardus Pasulu</t>
  </si>
  <si>
    <t>2020223PR5943</t>
  </si>
  <si>
    <t>Obeth Pasodung</t>
  </si>
  <si>
    <t>2240523PR6091</t>
  </si>
  <si>
    <t>Muh.Ardans</t>
  </si>
  <si>
    <t>2200220PR3816</t>
  </si>
  <si>
    <t>Hairul Mustafa</t>
  </si>
  <si>
    <t>2260623PR6170</t>
  </si>
  <si>
    <t>Ramdhani</t>
  </si>
  <si>
    <t>2030823PR6232</t>
  </si>
  <si>
    <t>Evensius Ndae</t>
  </si>
  <si>
    <t>2040823PR6237</t>
  </si>
  <si>
    <t>Amran Managam Purba</t>
  </si>
  <si>
    <t>2080823PR6251</t>
  </si>
  <si>
    <t>Ignasius Nurak</t>
  </si>
  <si>
    <t>2300823PR6300</t>
  </si>
  <si>
    <t>Sudarman</t>
  </si>
  <si>
    <t>2030822PR5543</t>
  </si>
  <si>
    <t>Gilang Ananda Putra</t>
  </si>
  <si>
    <t>Operator PC 750</t>
  </si>
  <si>
    <t>2140323PR5999</t>
  </si>
  <si>
    <t>Geradus Nggere</t>
  </si>
  <si>
    <t>2210318CH2945</t>
  </si>
  <si>
    <t>Ardi Taru</t>
  </si>
  <si>
    <t>2151223PR6511</t>
  </si>
  <si>
    <t>Adi Gomblo</t>
  </si>
  <si>
    <t>2151223PR6512</t>
  </si>
  <si>
    <t>Hendri Rozali</t>
  </si>
  <si>
    <t>2130622PR5426</t>
  </si>
  <si>
    <t>Rusdin</t>
  </si>
  <si>
    <t>Operator EC 480</t>
  </si>
  <si>
    <t>2240322CH5199</t>
  </si>
  <si>
    <t>Oktavianus Sianturi</t>
  </si>
  <si>
    <t>2050622PR5402</t>
  </si>
  <si>
    <t>Winseslaus Baga</t>
  </si>
  <si>
    <t>2020923PR6311</t>
  </si>
  <si>
    <t>Pither Kendek</t>
  </si>
  <si>
    <t>Operator PC 200</t>
  </si>
  <si>
    <t>2240823PR6273</t>
  </si>
  <si>
    <t>Joko Pramono</t>
  </si>
  <si>
    <t>2050322PR5392</t>
  </si>
  <si>
    <t>Gradus Nggala Wangge</t>
  </si>
  <si>
    <t>Operator HD 465</t>
  </si>
  <si>
    <t>2030222PR5385</t>
  </si>
  <si>
    <t>Joni Lotong</t>
  </si>
  <si>
    <t>2020822PR5691</t>
  </si>
  <si>
    <t>M Ramli</t>
  </si>
  <si>
    <t>Operator CAT 773E</t>
  </si>
  <si>
    <t>2140722PR5688</t>
  </si>
  <si>
    <t>Alpian</t>
  </si>
  <si>
    <t>2140322PR5393</t>
  </si>
  <si>
    <t>Hairul Anwar</t>
  </si>
  <si>
    <t>2311021PR4781</t>
  </si>
  <si>
    <t>Muhammad Rusman</t>
  </si>
  <si>
    <t>2030222PR5068</t>
  </si>
  <si>
    <t>Ali Akbar Cama</t>
  </si>
  <si>
    <t>2080222PR5079</t>
  </si>
  <si>
    <t>Mustahap Srijaya</t>
  </si>
  <si>
    <t>2090422PR5391</t>
  </si>
  <si>
    <t>Bakri</t>
  </si>
  <si>
    <t>2070622PR5419</t>
  </si>
  <si>
    <t>Edi Sirakno</t>
  </si>
  <si>
    <t>2220622PR5458</t>
  </si>
  <si>
    <t>Johnly Barto Fendy Siwih</t>
  </si>
  <si>
    <t>2190722PR5507</t>
  </si>
  <si>
    <t>Ikram</t>
  </si>
  <si>
    <t>2160922PR5670</t>
  </si>
  <si>
    <t>Rahmat Sufrianto</t>
  </si>
  <si>
    <t>2221122PR5788</t>
  </si>
  <si>
    <t>Ferdiansyah</t>
  </si>
  <si>
    <t>2081222PR5820</t>
  </si>
  <si>
    <t>Asbar</t>
  </si>
  <si>
    <t>2070123PR5849</t>
  </si>
  <si>
    <t>Uyut Harianto</t>
  </si>
  <si>
    <t>2010822PR5348</t>
  </si>
  <si>
    <t>Sunyoto</t>
  </si>
  <si>
    <t>2210215PR1292</t>
  </si>
  <si>
    <t>Harisman</t>
  </si>
  <si>
    <t>2010822PR5690</t>
  </si>
  <si>
    <t>Holong Pangaribuan</t>
  </si>
  <si>
    <t>2010922PR5685</t>
  </si>
  <si>
    <t>Matheus Sumarlin</t>
  </si>
  <si>
    <t>2170122PR5383</t>
  </si>
  <si>
    <t>Yosef Indan Masakke</t>
  </si>
  <si>
    <t>2260722PR5687</t>
  </si>
  <si>
    <t>Ahmad Saleh</t>
  </si>
  <si>
    <t>2010922PR5689</t>
  </si>
  <si>
    <t>Mustafa</t>
  </si>
  <si>
    <t>2210221PR3151</t>
  </si>
  <si>
    <t>Agratama</t>
  </si>
  <si>
    <t>2240621PR4387</t>
  </si>
  <si>
    <t>Muhamad Sayidi</t>
  </si>
  <si>
    <t>2180322PR5167</t>
  </si>
  <si>
    <t>Suharto</t>
  </si>
  <si>
    <t>2110522PR5292</t>
  </si>
  <si>
    <t>Sujiono</t>
  </si>
  <si>
    <t>2080122PR4998</t>
  </si>
  <si>
    <t>Wardani</t>
  </si>
  <si>
    <t>2180622PR5438</t>
  </si>
  <si>
    <t>Hefni Effendi</t>
  </si>
  <si>
    <t>2220622PR5459</t>
  </si>
  <si>
    <t>Barce Aroran</t>
  </si>
  <si>
    <t>2020722PR5477</t>
  </si>
  <si>
    <t>Raymundus Dandi</t>
  </si>
  <si>
    <t>2030822PR5545</t>
  </si>
  <si>
    <t>Sholihin</t>
  </si>
  <si>
    <t>2151122PR5780</t>
  </si>
  <si>
    <t>Joni</t>
  </si>
  <si>
    <t>2091122PR5763</t>
  </si>
  <si>
    <t>Petrus To uma</t>
  </si>
  <si>
    <t>2221122PR5787</t>
  </si>
  <si>
    <t>Jono Yakup</t>
  </si>
  <si>
    <t>2030123PR5843</t>
  </si>
  <si>
    <t>Agustinus Gerads Desimus</t>
  </si>
  <si>
    <t>2180123PR5879</t>
  </si>
  <si>
    <t>Mohammad Jazuli</t>
  </si>
  <si>
    <t>Rudianto</t>
  </si>
  <si>
    <t>Oktavianus Minggu</t>
  </si>
  <si>
    <t>2140323PR5997</t>
  </si>
  <si>
    <t>Rizal Theiser</t>
  </si>
  <si>
    <t>2230523PR6089</t>
  </si>
  <si>
    <t>Enyon</t>
  </si>
  <si>
    <t>2090623PR6132</t>
  </si>
  <si>
    <t>Anthonius Pareala</t>
  </si>
  <si>
    <t>2090623PR6133</t>
  </si>
  <si>
    <t>Ardiansyah</t>
  </si>
  <si>
    <t>2240723PR6216</t>
  </si>
  <si>
    <t xml:space="preserve">Nasir </t>
  </si>
  <si>
    <t>2250823PR6274</t>
  </si>
  <si>
    <t>Edy Syahputra</t>
  </si>
  <si>
    <t>2010923PR6305</t>
  </si>
  <si>
    <t>Rudi Kartolo</t>
  </si>
  <si>
    <t>2020923PR6310</t>
  </si>
  <si>
    <t>Indra Maulana</t>
  </si>
  <si>
    <t>Mansyur</t>
  </si>
  <si>
    <t>2230923PR6353</t>
  </si>
  <si>
    <t>2041023PR6378</t>
  </si>
  <si>
    <t>Harianto</t>
  </si>
  <si>
    <t>2101023PR6387</t>
  </si>
  <si>
    <t>Syarifuddin</t>
  </si>
  <si>
    <t>A</t>
  </si>
  <si>
    <t>2171023PR6399</t>
  </si>
  <si>
    <t>Orael Miracle</t>
  </si>
  <si>
    <t>O</t>
  </si>
  <si>
    <t>2221123PR6466</t>
  </si>
  <si>
    <t>Asman</t>
  </si>
  <si>
    <t>2051223PR6493</t>
  </si>
  <si>
    <t>Jasmin</t>
  </si>
  <si>
    <t>2111223PR6501</t>
  </si>
  <si>
    <t>Imam Supingi</t>
  </si>
  <si>
    <t>Afrianus</t>
  </si>
  <si>
    <t>Operator ADT</t>
  </si>
  <si>
    <t>2240523PR6093</t>
  </si>
  <si>
    <t>2060622PR5408</t>
  </si>
  <si>
    <t>Roby Lumi</t>
  </si>
  <si>
    <t>Jainal Abidin</t>
  </si>
  <si>
    <t>2300823PR6298</t>
  </si>
  <si>
    <t>Rommy Ronny Walean</t>
  </si>
  <si>
    <t>2231023PR6405</t>
  </si>
  <si>
    <t>Agustinus Sabba</t>
  </si>
  <si>
    <t>2201121PR4816</t>
  </si>
  <si>
    <t>Marthen Londong</t>
  </si>
  <si>
    <t>Operator D8 T</t>
  </si>
  <si>
    <t>2251022PR5737</t>
  </si>
  <si>
    <t>M. Yusuf</t>
  </si>
  <si>
    <t>2070223PR5950</t>
  </si>
  <si>
    <t>Suriaman Lauji</t>
  </si>
  <si>
    <t>2011022PR5683</t>
  </si>
  <si>
    <t>M Salim</t>
  </si>
  <si>
    <t>Operator DZ 375</t>
  </si>
  <si>
    <t>2170915PR1554</t>
  </si>
  <si>
    <t>Puji Harianto</t>
  </si>
  <si>
    <t>2010922PR5684</t>
  </si>
  <si>
    <t>Sukirno P Kartoatmo</t>
  </si>
  <si>
    <t>2060521PR4320</t>
  </si>
  <si>
    <t xml:space="preserve">Antonius Satu </t>
  </si>
  <si>
    <t>2301023PR6424</t>
  </si>
  <si>
    <t>Marthen Songgo</t>
  </si>
  <si>
    <t>2251123PR6475</t>
  </si>
  <si>
    <t>Dika Rofi</t>
  </si>
  <si>
    <t>Operator DZ 85 SS</t>
  </si>
  <si>
    <t>Operator GD 825</t>
  </si>
  <si>
    <t>2050622PR5403</t>
  </si>
  <si>
    <t>Ekbal Kabriansyah</t>
  </si>
  <si>
    <t>Driver Hino 500</t>
  </si>
  <si>
    <t>2150822PR5577</t>
  </si>
  <si>
    <t>Wawan Kusmawana</t>
  </si>
  <si>
    <t>2210322PR5181</t>
  </si>
  <si>
    <t>Azwin Marzuki Pulungan</t>
  </si>
  <si>
    <t>2210322PR5183</t>
  </si>
  <si>
    <t>Ismail Alhamdani</t>
  </si>
  <si>
    <t>2161122PR5783</t>
  </si>
  <si>
    <t>Jefri Harianda</t>
  </si>
  <si>
    <t>2020223PR5945</t>
  </si>
  <si>
    <t>Bruno Horo</t>
  </si>
  <si>
    <t>2100423PR6030</t>
  </si>
  <si>
    <t>Lili Tri Sugiono</t>
  </si>
  <si>
    <t>2070823PR6247</t>
  </si>
  <si>
    <t>Pora Marza</t>
  </si>
  <si>
    <t>2070823PR6248</t>
  </si>
  <si>
    <t>Abdul Syukur</t>
  </si>
  <si>
    <t>2090823PR6255</t>
  </si>
  <si>
    <t>Gunadi</t>
  </si>
  <si>
    <t>2120923PR6332</t>
  </si>
  <si>
    <t>Lalu Muhammad Nur</t>
  </si>
  <si>
    <t>2231023PR6406</t>
  </si>
  <si>
    <t>Kharlosius Desi Delu</t>
  </si>
  <si>
    <t>2191223PR6521</t>
  </si>
  <si>
    <t>Alfianus Leu</t>
  </si>
  <si>
    <t>2291223PR6547</t>
  </si>
  <si>
    <t>Daniel Elfianus Niki</t>
  </si>
  <si>
    <t>Driver Isuzu</t>
  </si>
  <si>
    <t>2010621PR4355</t>
  </si>
  <si>
    <t xml:space="preserve">Jeristal Kala' </t>
  </si>
  <si>
    <t>Checker</t>
  </si>
  <si>
    <t>PHL</t>
  </si>
  <si>
    <t>2030622EN5376</t>
  </si>
  <si>
    <t>Yoga Tandi Lembang</t>
  </si>
  <si>
    <t>PHL Pompa</t>
  </si>
  <si>
    <t>RM</t>
  </si>
  <si>
    <t>2011116RM2140</t>
  </si>
  <si>
    <t>Sukani</t>
  </si>
  <si>
    <t>SPV Tyre &amp; SUP</t>
  </si>
  <si>
    <t>2180322RM5169</t>
  </si>
  <si>
    <t>Frans Ampera</t>
  </si>
  <si>
    <t>2031021RM4722</t>
  </si>
  <si>
    <t>Linda Dewi Purnamasari</t>
  </si>
  <si>
    <t>Jr Foreman RM Administrasi</t>
  </si>
  <si>
    <t>Mekanik G7</t>
  </si>
  <si>
    <t>2300622RM5354</t>
  </si>
  <si>
    <t>Heri Lukito</t>
  </si>
  <si>
    <t>2270921RM4696</t>
  </si>
  <si>
    <t>Pither Pali</t>
  </si>
  <si>
    <t>2161116RM2177</t>
  </si>
  <si>
    <t>Dedy Rusdiansyah</t>
  </si>
  <si>
    <t>Mekanik G6</t>
  </si>
  <si>
    <t>2150921RM4654</t>
  </si>
  <si>
    <t>Jumadi P Siahaan</t>
  </si>
  <si>
    <t>2120215RM1284</t>
  </si>
  <si>
    <t>Muhammad Hendrik</t>
  </si>
  <si>
    <t>2010322RM5362</t>
  </si>
  <si>
    <t>Tarsisius Rahat</t>
  </si>
  <si>
    <t>2090817RM2409</t>
  </si>
  <si>
    <t>Jonri Hutahuruk</t>
  </si>
  <si>
    <t>Mekanik G5</t>
  </si>
  <si>
    <t>2201221RM4962</t>
  </si>
  <si>
    <t>Ferry Panggio</t>
  </si>
  <si>
    <t>2030422RM5367</t>
  </si>
  <si>
    <t>Juni Adi Suryanto</t>
  </si>
  <si>
    <t>Mekanik G4</t>
  </si>
  <si>
    <t>2060122RM5359</t>
  </si>
  <si>
    <t>Dalle</t>
  </si>
  <si>
    <t>Ade Akmal Dalle</t>
  </si>
  <si>
    <t>2290122RM5360</t>
  </si>
  <si>
    <t>Marthen Payung</t>
  </si>
  <si>
    <t>2050822RM5548</t>
  </si>
  <si>
    <t>Indra Priyanto</t>
  </si>
  <si>
    <t>2090322RM5369</t>
  </si>
  <si>
    <t>Rudi Erwansyah</t>
  </si>
  <si>
    <t>2210716RM1960</t>
  </si>
  <si>
    <t>Andik Prasetyo</t>
  </si>
  <si>
    <t>2060815RM1486</t>
  </si>
  <si>
    <t xml:space="preserve">Awan Darmawan </t>
  </si>
  <si>
    <t>Mekanik G3</t>
  </si>
  <si>
    <t>2260518RM3091</t>
  </si>
  <si>
    <t>Hartono</t>
  </si>
  <si>
    <t>2010422RM5364</t>
  </si>
  <si>
    <t>Tolentino Bhoka  Tibo</t>
  </si>
  <si>
    <t>Mekanik G2</t>
  </si>
  <si>
    <t>2081217RM2006</t>
  </si>
  <si>
    <t>2160322RM5370</t>
  </si>
  <si>
    <t>Florantimo Nartavani</t>
  </si>
  <si>
    <t>2150120RM2982</t>
  </si>
  <si>
    <t>Riko Saputra</t>
  </si>
  <si>
    <t>Mekanik G1</t>
  </si>
  <si>
    <t>2300322RM5372</t>
  </si>
  <si>
    <t>Dwibakti Prasetyo</t>
  </si>
  <si>
    <t>2130922RM5658</t>
  </si>
  <si>
    <t>Rasbu</t>
  </si>
  <si>
    <t>Welder</t>
  </si>
  <si>
    <t>Irsyad</t>
  </si>
  <si>
    <t>Ferdinand Palinggi</t>
  </si>
  <si>
    <t>Ricky Januar</t>
  </si>
  <si>
    <t>Muhammad Hatta</t>
  </si>
  <si>
    <t>Rafli Syadikin</t>
  </si>
  <si>
    <t>Ransi Tangdan</t>
  </si>
  <si>
    <t>2261021RM4767</t>
  </si>
  <si>
    <t>Maria Yulianti Kelen</t>
  </si>
  <si>
    <t>Admin RM</t>
  </si>
  <si>
    <t>2100222RM5088</t>
  </si>
  <si>
    <t>Meldus Siringoringo</t>
  </si>
  <si>
    <t>Driver Lube Truck</t>
  </si>
  <si>
    <t>2280322RM5373</t>
  </si>
  <si>
    <t>Ardianus Wara</t>
  </si>
  <si>
    <t>Driver Hino 300</t>
  </si>
  <si>
    <t>OJT RM</t>
  </si>
  <si>
    <t>Dispatcher</t>
  </si>
  <si>
    <t>Aco</t>
  </si>
  <si>
    <t>Matius Juna</t>
  </si>
  <si>
    <t>Dwi Jakatama</t>
  </si>
  <si>
    <t>Wilibertus Danggur</t>
  </si>
  <si>
    <t>Jupri Apriyanto Damanik</t>
  </si>
  <si>
    <t>Rahmat</t>
  </si>
  <si>
    <t>Nestha Nob Pakan</t>
  </si>
  <si>
    <t>Saldi</t>
  </si>
  <si>
    <t>Hendrikus Goat</t>
  </si>
  <si>
    <t>Dominikus Resi</t>
  </si>
  <si>
    <t>Yosua Agus Bastian</t>
  </si>
  <si>
    <t>2280122RM5045</t>
  </si>
  <si>
    <t>Ardivan Julio Selviero</t>
  </si>
  <si>
    <t>2041222RM5810</t>
  </si>
  <si>
    <t>2150922HS5663</t>
  </si>
  <si>
    <t>Ogi Sutioso</t>
  </si>
  <si>
    <t>PHL Wheel</t>
  </si>
  <si>
    <t>2290922RM5707</t>
  </si>
  <si>
    <t>Ardiansyah Sidiq</t>
  </si>
  <si>
    <t>2150622RM5431</t>
  </si>
  <si>
    <t>Budiman</t>
  </si>
  <si>
    <t>PHL Track</t>
  </si>
  <si>
    <t>PHL Washing Man</t>
  </si>
  <si>
    <t>Muhammad Hidayat</t>
  </si>
  <si>
    <t>2011017LO0324</t>
  </si>
  <si>
    <t>Yosep Eka</t>
  </si>
  <si>
    <t>Driver Fuel Truck</t>
  </si>
  <si>
    <t>2241115PR1658</t>
  </si>
  <si>
    <t>Datu Aidi Fitri</t>
  </si>
  <si>
    <t>2150311LO0323</t>
  </si>
  <si>
    <t>Mariono</t>
  </si>
  <si>
    <t>Fuelman</t>
  </si>
  <si>
    <t>Sugianto</t>
  </si>
  <si>
    <t>Adrianus Wegu Mesa</t>
  </si>
  <si>
    <t>Rahmat Hidayat</t>
  </si>
  <si>
    <t>Andri Saputra</t>
  </si>
  <si>
    <t>PHL Fuel</t>
  </si>
  <si>
    <t>LOGISTIK</t>
  </si>
  <si>
    <t>OJT. Logistik</t>
  </si>
  <si>
    <t>Satrio Gunawan</t>
  </si>
  <si>
    <t>PHL Logistik</t>
  </si>
  <si>
    <t>FINANCE</t>
  </si>
  <si>
    <t>HRGA</t>
  </si>
  <si>
    <t>2120110GA5071</t>
  </si>
  <si>
    <t>Maskur</t>
  </si>
  <si>
    <t>Foreman GA Maintenance</t>
  </si>
  <si>
    <t>B</t>
  </si>
  <si>
    <t>2211020GA4075</t>
  </si>
  <si>
    <t>Ismail</t>
  </si>
  <si>
    <t>Martha Abuk Bere</t>
  </si>
  <si>
    <t>Koki Guest House</t>
  </si>
  <si>
    <t>Driver LV</t>
  </si>
  <si>
    <t>2041021GA4725</t>
  </si>
  <si>
    <t>Zein Wang Syofaty</t>
  </si>
  <si>
    <t>Herman Pondanan</t>
  </si>
  <si>
    <t>Musa Yusuf Londong</t>
  </si>
  <si>
    <t>2210821GA4581</t>
  </si>
  <si>
    <t>Yohana Rurang</t>
  </si>
  <si>
    <t>PHL OG</t>
  </si>
  <si>
    <t>2060420GA3883</t>
  </si>
  <si>
    <t>Risna M Pikoli</t>
  </si>
  <si>
    <t>PHL GA</t>
  </si>
  <si>
    <t>SURVEY</t>
  </si>
  <si>
    <t>2071222SU5814</t>
  </si>
  <si>
    <t>Arvin Pabangke' Sallata</t>
  </si>
  <si>
    <t>PHL Survey</t>
  </si>
  <si>
    <t>ENGINEERING</t>
  </si>
  <si>
    <t>2180620DB3922</t>
  </si>
  <si>
    <t>Yohanis Tabang</t>
  </si>
  <si>
    <t>Operator Drill &amp; Blast</t>
  </si>
  <si>
    <t>Ridwan</t>
  </si>
  <si>
    <t>PHL Drill &amp; Blast</t>
  </si>
  <si>
    <t>HSEQ</t>
  </si>
  <si>
    <t>Driver WT</t>
  </si>
  <si>
    <t>2180723PR6203</t>
  </si>
  <si>
    <t>Defrin Yolano Rede</t>
  </si>
  <si>
    <t>PHL Enviro</t>
  </si>
  <si>
    <t>IT</t>
  </si>
  <si>
    <t>CHPP</t>
  </si>
  <si>
    <t>2250822CH5606</t>
  </si>
  <si>
    <t>Salman</t>
  </si>
  <si>
    <t>2120522PR5294</t>
  </si>
  <si>
    <t>Marselinus Jehabur</t>
  </si>
  <si>
    <t>2130821PR4550</t>
  </si>
  <si>
    <t>Ramadan Ahmad</t>
  </si>
  <si>
    <t>2220710CH0003</t>
  </si>
  <si>
    <t>Luther Tabang</t>
  </si>
  <si>
    <t>2010822CH5349</t>
  </si>
  <si>
    <t>Marthen Luter</t>
  </si>
  <si>
    <t>2130317CH2402</t>
  </si>
  <si>
    <t>Adab Bahota Banjarnahor</t>
  </si>
  <si>
    <t>2010418CH2321</t>
  </si>
  <si>
    <t>Operator BLC</t>
  </si>
  <si>
    <t>2240212CH0017</t>
  </si>
  <si>
    <t>Abdullah</t>
  </si>
  <si>
    <t>2110311RM0046</t>
  </si>
  <si>
    <t>Mikael Sampe Tana</t>
  </si>
  <si>
    <t>Agriyanto Pallai</t>
  </si>
  <si>
    <t>2160822CH5584</t>
  </si>
  <si>
    <t>Adam Ashary</t>
  </si>
  <si>
    <t>Operator Timbangan</t>
  </si>
  <si>
    <t>2300612CH0019</t>
  </si>
  <si>
    <t>Yonatan Rante Salu</t>
  </si>
  <si>
    <t>Morring</t>
  </si>
  <si>
    <t>PHL Jetty</t>
  </si>
  <si>
    <t>SECURITY</t>
  </si>
  <si>
    <t>2270522SE5331</t>
  </si>
  <si>
    <t>Suratoyo</t>
  </si>
  <si>
    <t>Komandan Peleton</t>
  </si>
  <si>
    <t>2011021SE4818</t>
  </si>
  <si>
    <t>Adrian</t>
  </si>
  <si>
    <t>Shift Leader</t>
  </si>
  <si>
    <t>2011021SE4828</t>
  </si>
  <si>
    <t>Ripul Amroni</t>
  </si>
  <si>
    <t>2200322SE5174</t>
  </si>
  <si>
    <t>Wilibrodus Hafeben</t>
  </si>
  <si>
    <t>Security Birang</t>
  </si>
  <si>
    <t>2011021SE4819</t>
  </si>
  <si>
    <t>Ahmad Delfero</t>
  </si>
  <si>
    <t>Security Guard</t>
  </si>
  <si>
    <t>2011021SE4826</t>
  </si>
  <si>
    <t>Muliadi</t>
  </si>
  <si>
    <t>2011021SE4827</t>
  </si>
  <si>
    <t>2151021SE4831</t>
  </si>
  <si>
    <t>Aditya Nugraha</t>
  </si>
  <si>
    <t>2271021SE4836</t>
  </si>
  <si>
    <t>Komeng Suarjana</t>
  </si>
  <si>
    <t>2101121SE4841</t>
  </si>
  <si>
    <t>Adil Rahmat</t>
  </si>
  <si>
    <t>2180122SE5014</t>
  </si>
  <si>
    <t>Septian Pratama</t>
  </si>
  <si>
    <t>2050422SE5230</t>
  </si>
  <si>
    <t>Safiudin</t>
  </si>
  <si>
    <t>2290622SE5465</t>
  </si>
  <si>
    <t>2290622SE5467</t>
  </si>
  <si>
    <t>Moh. Rizman</t>
  </si>
  <si>
    <t>2290622SE5468</t>
  </si>
  <si>
    <t>Adi Permana</t>
  </si>
  <si>
    <t>2290622SE5469</t>
  </si>
  <si>
    <t>Nasrun</t>
  </si>
  <si>
    <t>2120722SE5492</t>
  </si>
  <si>
    <t>2230722SE5519</t>
  </si>
  <si>
    <t>2070922SE5640</t>
  </si>
  <si>
    <t>Kusnadi</t>
  </si>
  <si>
    <t>2070922SE5642</t>
  </si>
  <si>
    <t>2070922SE5643</t>
  </si>
  <si>
    <t>2140922SE5660</t>
  </si>
  <si>
    <t>Juli Syafrian</t>
  </si>
  <si>
    <t>2291122SE5798</t>
  </si>
  <si>
    <t>Yosia Timotius</t>
  </si>
  <si>
    <t>Rikardus Mbesi</t>
  </si>
  <si>
    <t>Mekanik</t>
  </si>
  <si>
    <t>Resign</t>
  </si>
  <si>
    <t>PHK</t>
  </si>
  <si>
    <t>2070922SE5639</t>
  </si>
  <si>
    <t>Edi Mustori</t>
  </si>
  <si>
    <t>Keluar Tanpa Keterangan</t>
  </si>
  <si>
    <t>2031221PR4912</t>
  </si>
  <si>
    <t>Amran Pringgo</t>
  </si>
  <si>
    <t>Kontrak Selesai</t>
  </si>
  <si>
    <t>2301021SE4838</t>
  </si>
  <si>
    <t>June Houstin</t>
  </si>
  <si>
    <t>2240515RM1407</t>
  </si>
  <si>
    <t>Agus Hariadi</t>
  </si>
  <si>
    <t>BUS</t>
  </si>
  <si>
    <t>2111122RM5766</t>
  </si>
  <si>
    <t>Abdul Rahman Lahinta</t>
  </si>
  <si>
    <t>SPV Mekanik LV</t>
  </si>
  <si>
    <t>2201017GA2760</t>
  </si>
  <si>
    <t>Abdul Rahman M</t>
  </si>
  <si>
    <t>Driver Fortuner</t>
  </si>
  <si>
    <t>GG</t>
  </si>
  <si>
    <t>2131221RM4946</t>
  </si>
  <si>
    <t>PHL Greasing</t>
  </si>
  <si>
    <t>2270522RM5335</t>
  </si>
  <si>
    <t>PMJ</t>
  </si>
  <si>
    <t>2050419LO3436</t>
  </si>
  <si>
    <t>2041222RM5809</t>
  </si>
  <si>
    <t>PHL Mekanik</t>
  </si>
  <si>
    <t>2230922CH5698</t>
  </si>
  <si>
    <t>2200522RM5317</t>
  </si>
  <si>
    <t>Agus Priyono</t>
  </si>
  <si>
    <t>PR</t>
  </si>
  <si>
    <t>2140222RM5101</t>
  </si>
  <si>
    <t>Alev Satrio Palimbunga</t>
  </si>
  <si>
    <t>2270822SU5615</t>
  </si>
  <si>
    <t>Alfonsus Stefan</t>
  </si>
  <si>
    <t>2100222GA5092</t>
  </si>
  <si>
    <t>Alfrida Manur</t>
  </si>
  <si>
    <t>2140921RM4651</t>
  </si>
  <si>
    <t>Ambrosius Andris Seto</t>
  </si>
  <si>
    <t>2160922PR5667</t>
  </si>
  <si>
    <t>Amsal</t>
  </si>
  <si>
    <t>2180622RM5439</t>
  </si>
  <si>
    <t>Andri Palobo</t>
  </si>
  <si>
    <t>2131221LO4944</t>
  </si>
  <si>
    <t>2131222PR5828</t>
  </si>
  <si>
    <t>Anggi Saputra</t>
  </si>
  <si>
    <t>Operator Dz 375</t>
  </si>
  <si>
    <t>2030622RM5378</t>
  </si>
  <si>
    <t>2170822PR5587</t>
  </si>
  <si>
    <t>Arifuddin</t>
  </si>
  <si>
    <t>2080122PR4996</t>
  </si>
  <si>
    <t>Arun</t>
  </si>
  <si>
    <t>2221021RM4765</t>
  </si>
  <si>
    <t>Asep Andika</t>
  </si>
  <si>
    <t>2010622GA5343</t>
  </si>
  <si>
    <t>Asep Supriadi</t>
  </si>
  <si>
    <t>Pompa</t>
  </si>
  <si>
    <t>2061121GA4788</t>
  </si>
  <si>
    <t>Asnawati M</t>
  </si>
  <si>
    <t>2151022CH5728</t>
  </si>
  <si>
    <t>Aswar</t>
  </si>
  <si>
    <t>2170722GA5499</t>
  </si>
  <si>
    <t>Aswin</t>
  </si>
  <si>
    <t>2051121GA4787</t>
  </si>
  <si>
    <t>Atanasia Sulastri Daiman</t>
  </si>
  <si>
    <t>2160822LO5581</t>
  </si>
  <si>
    <t>Bambang Prianda</t>
  </si>
  <si>
    <t>Tool Room</t>
  </si>
  <si>
    <t>2150722PR5496</t>
  </si>
  <si>
    <t>Basri</t>
  </si>
  <si>
    <t>D</t>
  </si>
  <si>
    <t>2250722CH3648</t>
  </si>
  <si>
    <t>Dameanus Jaman</t>
  </si>
  <si>
    <t>2081222RM5818</t>
  </si>
  <si>
    <t>Daniel Sipahutar</t>
  </si>
  <si>
    <t>2070422EN5232</t>
  </si>
  <si>
    <t>David</t>
  </si>
  <si>
    <t>2071222SU5815</t>
  </si>
  <si>
    <t>Deni Sulaeman</t>
  </si>
  <si>
    <t>2270322RM5208</t>
  </si>
  <si>
    <t>Deris Monandar</t>
  </si>
  <si>
    <t>2010822LO5586</t>
  </si>
  <si>
    <t>Dewi Palembangan</t>
  </si>
  <si>
    <t>2180522HS5305</t>
  </si>
  <si>
    <t>Deyo Petrus</t>
  </si>
  <si>
    <t>PHL Trafficman</t>
  </si>
  <si>
    <t>2280921RM4701</t>
  </si>
  <si>
    <t>Dicky Juandri</t>
  </si>
  <si>
    <t>2021022RM5716</t>
  </si>
  <si>
    <t>2270122RM5036</t>
  </si>
  <si>
    <t>PHL Tower Lamp</t>
  </si>
  <si>
    <t>Apprentice</t>
  </si>
  <si>
    <t>E</t>
  </si>
  <si>
    <t>2210122RM5024</t>
  </si>
  <si>
    <t>Echo Adventri Hasugian</t>
  </si>
  <si>
    <t>2010522LO5380</t>
  </si>
  <si>
    <t>Echo Windy Linggi</t>
  </si>
  <si>
    <t>Apprentice Storeman</t>
  </si>
  <si>
    <t>2241221RM4971</t>
  </si>
  <si>
    <t>Eddy Prayitno</t>
  </si>
  <si>
    <t>Assistant Foreman Welder</t>
  </si>
  <si>
    <t>2311022CH5745</t>
  </si>
  <si>
    <t>Eddy Susanto</t>
  </si>
  <si>
    <t>2021122PR5747</t>
  </si>
  <si>
    <t>Edy Humisar Priyanto Gultom</t>
  </si>
  <si>
    <t>2010722RM5474</t>
  </si>
  <si>
    <t>Efraim Farananta Ginting</t>
  </si>
  <si>
    <t>2290722RM5536</t>
  </si>
  <si>
    <t>Elbin Yulius</t>
  </si>
  <si>
    <t>2260722RM5527</t>
  </si>
  <si>
    <t>Elga Arung</t>
  </si>
  <si>
    <t>F</t>
  </si>
  <si>
    <t>2021222HS5800</t>
  </si>
  <si>
    <t>Fadli</t>
  </si>
  <si>
    <t>Driver Water Truck</t>
  </si>
  <si>
    <t>2160922LO5665</t>
  </si>
  <si>
    <t>Fahrul Trienandra</t>
  </si>
  <si>
    <t>2041122PR5756</t>
  </si>
  <si>
    <t>Fandy Willy</t>
  </si>
  <si>
    <t>2151022RM5725</t>
  </si>
  <si>
    <t>Ferdi Ali Saputra</t>
  </si>
  <si>
    <t>2290122RM5048</t>
  </si>
  <si>
    <t>2251022PR5738</t>
  </si>
  <si>
    <t>Feri Saputra</t>
  </si>
  <si>
    <t>2171022GA5729</t>
  </si>
  <si>
    <t>Fitra</t>
  </si>
  <si>
    <t>SpV RM track</t>
  </si>
  <si>
    <t>2270922HS5705</t>
  </si>
  <si>
    <t>Frederikus Ludiri</t>
  </si>
  <si>
    <t>2021222RM5802</t>
  </si>
  <si>
    <t>Fresly Juardi</t>
  </si>
  <si>
    <t>G</t>
  </si>
  <si>
    <t>H</t>
  </si>
  <si>
    <t>2180522CH5302</t>
  </si>
  <si>
    <t>Hartian Rombe Payung</t>
  </si>
  <si>
    <t>2111122CH5764</t>
  </si>
  <si>
    <t>Haslanuddin</t>
  </si>
  <si>
    <t>2041222RM5807</t>
  </si>
  <si>
    <t>Hendra Dwi Juniantoro</t>
  </si>
  <si>
    <t>2270822RM5618</t>
  </si>
  <si>
    <t>Helper Electric</t>
  </si>
  <si>
    <t>2171022RM5731</t>
  </si>
  <si>
    <t>Herianto</t>
  </si>
  <si>
    <t>2041122PR5755</t>
  </si>
  <si>
    <t>Herman</t>
  </si>
  <si>
    <t>2270821GA4598</t>
  </si>
  <si>
    <t>2270722PR5533</t>
  </si>
  <si>
    <t>Herwin</t>
  </si>
  <si>
    <t>2260822GA5608</t>
  </si>
  <si>
    <t>Hikman</t>
  </si>
  <si>
    <t>I</t>
  </si>
  <si>
    <t>2260822CH5611</t>
  </si>
  <si>
    <t>Ibra Mareta Pagliuca</t>
  </si>
  <si>
    <t>2220722PR5515</t>
  </si>
  <si>
    <t>Ibrahim</t>
  </si>
  <si>
    <t>2220322GA5193</t>
  </si>
  <si>
    <t>Ijon</t>
  </si>
  <si>
    <t>2210722PR5514</t>
  </si>
  <si>
    <t>Ilmal Abqa</t>
  </si>
  <si>
    <t>2111122RM5765</t>
  </si>
  <si>
    <t>Imran Sodanding</t>
  </si>
  <si>
    <t>2140522PR5298</t>
  </si>
  <si>
    <t>Irfan Adi Atmo</t>
  </si>
  <si>
    <t>2171022RM5730</t>
  </si>
  <si>
    <t>J</t>
  </si>
  <si>
    <t>2170322PR5160</t>
  </si>
  <si>
    <t>Japriyanto</t>
  </si>
  <si>
    <t>2041222RM5806</t>
  </si>
  <si>
    <t>Jemi Mikael</t>
  </si>
  <si>
    <t>2160622CH5436</t>
  </si>
  <si>
    <t>Jeri Febrian</t>
  </si>
  <si>
    <t>2220221GA4201</t>
  </si>
  <si>
    <t>Jumaidi</t>
  </si>
  <si>
    <t>2050722MC5481</t>
  </si>
  <si>
    <t>Junaidi</t>
  </si>
  <si>
    <t>2290122RM5049</t>
  </si>
  <si>
    <t>Junius Songgo Buntu Batu</t>
  </si>
  <si>
    <t>2071222RM5816</t>
  </si>
  <si>
    <t>2190622MC5443</t>
  </si>
  <si>
    <t>Justinus Martinus</t>
  </si>
  <si>
    <t>K</t>
  </si>
  <si>
    <t>2031222RM5805</t>
  </si>
  <si>
    <t>Kaprasius Priyanto</t>
  </si>
  <si>
    <t>L</t>
  </si>
  <si>
    <t>2050122PR4994</t>
  </si>
  <si>
    <t>Lukas Arriel Mandela</t>
  </si>
  <si>
    <t>M</t>
  </si>
  <si>
    <t>2140822GA5572</t>
  </si>
  <si>
    <t>M. Ade Arham</t>
  </si>
  <si>
    <t>2260822PR5614</t>
  </si>
  <si>
    <t>M. Aldi</t>
  </si>
  <si>
    <t>2190822RM5592</t>
  </si>
  <si>
    <t>M. Amir</t>
  </si>
  <si>
    <t>2291122SE5796</t>
  </si>
  <si>
    <t>M. Fakhri Syahreza</t>
  </si>
  <si>
    <t>2291122SE5794</t>
  </si>
  <si>
    <t>Mario Ferdy</t>
  </si>
  <si>
    <t>2080622GA5420</t>
  </si>
  <si>
    <t>2160822PR5583</t>
  </si>
  <si>
    <t>Marthen Tibe</t>
  </si>
  <si>
    <t>Operator CAT 330</t>
  </si>
  <si>
    <t>2050422PR5341</t>
  </si>
  <si>
    <t>Masjono</t>
  </si>
  <si>
    <t>2240322RM5197</t>
  </si>
  <si>
    <t>Masta Jali</t>
  </si>
  <si>
    <t>2160322RM5157</t>
  </si>
  <si>
    <t>2290922RM5708</t>
  </si>
  <si>
    <t>Maulud Muhammad</t>
  </si>
  <si>
    <t>2160117MC2307</t>
  </si>
  <si>
    <t>Meliana EH Sipayung</t>
  </si>
  <si>
    <t>MCC</t>
  </si>
  <si>
    <t>SPI MCC</t>
  </si>
  <si>
    <t>2280522RM5350</t>
  </si>
  <si>
    <t>Mikael Ronaldo</t>
  </si>
  <si>
    <t>2120722LO5487</t>
  </si>
  <si>
    <t>Misbahul Munir</t>
  </si>
  <si>
    <t>2290722RM5535</t>
  </si>
  <si>
    <t>Misran</t>
  </si>
  <si>
    <t>2160121RM4142</t>
  </si>
  <si>
    <t>Moh Sujangi</t>
  </si>
  <si>
    <t>2200822RM5593</t>
  </si>
  <si>
    <t>Mohammad Aldian</t>
  </si>
  <si>
    <t>2291121RM4888</t>
  </si>
  <si>
    <t>Mohd.Nizam</t>
  </si>
  <si>
    <t>2070822RM5551</t>
  </si>
  <si>
    <t>Muas Maulana</t>
  </si>
  <si>
    <t>2280722RM5534</t>
  </si>
  <si>
    <t>Muh. Alfian</t>
  </si>
  <si>
    <t>2261022CH5734</t>
  </si>
  <si>
    <t>Muh. Ari Eka Prastyo</t>
  </si>
  <si>
    <t>2081122PR5761</t>
  </si>
  <si>
    <t>Muh. Chairil Gibran</t>
  </si>
  <si>
    <t>2070222RM5365</t>
  </si>
  <si>
    <t>Muhammad Akbar</t>
  </si>
  <si>
    <t>2041222RM5811</t>
  </si>
  <si>
    <t>Muhammad Arifin</t>
  </si>
  <si>
    <t>2220622RM5446</t>
  </si>
  <si>
    <t>PHL Helper Tyre</t>
  </si>
  <si>
    <t>2121122RM5772</t>
  </si>
  <si>
    <t>2090222RM5087</t>
  </si>
  <si>
    <t>Muhammad Kirom</t>
  </si>
  <si>
    <t>2230922CH5697</t>
  </si>
  <si>
    <t>Muhammad Yusuf</t>
  </si>
  <si>
    <t>2280821GA4609</t>
  </si>
  <si>
    <t>N</t>
  </si>
  <si>
    <t>2190322GA5173</t>
  </si>
  <si>
    <t>Natalino De Jesus Tilman</t>
  </si>
  <si>
    <t>2021222RM5801</t>
  </si>
  <si>
    <t>2010222RM5058</t>
  </si>
  <si>
    <t>Nikolaus Bai</t>
  </si>
  <si>
    <t>2150120RM3595</t>
  </si>
  <si>
    <t>Nober Kelong</t>
  </si>
  <si>
    <t>2010222RM5055</t>
  </si>
  <si>
    <t>Noval Very</t>
  </si>
  <si>
    <t>2250622LO5462</t>
  </si>
  <si>
    <t>Nurul Fadillah</t>
  </si>
  <si>
    <t>PHL Admin GA</t>
  </si>
  <si>
    <t>2270122RM5035</t>
  </si>
  <si>
    <t>Oky Eka Saputra</t>
  </si>
  <si>
    <t>2200922HS5693</t>
  </si>
  <si>
    <t>Ola</t>
  </si>
  <si>
    <t>2210922RM5695</t>
  </si>
  <si>
    <t>Ottovianus</t>
  </si>
  <si>
    <t>P</t>
  </si>
  <si>
    <t>2040322DB5139</t>
  </si>
  <si>
    <t>Paskalis Tomonglo</t>
  </si>
  <si>
    <t>2120122PR5007</t>
  </si>
  <si>
    <t>Patri Saputra</t>
  </si>
  <si>
    <t>Jr. Foreman Produksi</t>
  </si>
  <si>
    <t>2280522LO5339</t>
  </si>
  <si>
    <t>Pelipus Weto</t>
  </si>
  <si>
    <t>2010622RM5585</t>
  </si>
  <si>
    <t>Perdi Pata'dungan</t>
  </si>
  <si>
    <t>2300922RM5079</t>
  </si>
  <si>
    <t>Pratama Adi Saputra</t>
  </si>
  <si>
    <t>R</t>
  </si>
  <si>
    <t>2260722RM5526</t>
  </si>
  <si>
    <t>2071122CH5759</t>
  </si>
  <si>
    <t>Rahmadian Syahputra</t>
  </si>
  <si>
    <t>2260720RM3972</t>
  </si>
  <si>
    <t>2241022LO5735</t>
  </si>
  <si>
    <t>2130922HS5656</t>
  </si>
  <si>
    <t>Rahmat Pangerang</t>
  </si>
  <si>
    <t>2120422RM5243</t>
  </si>
  <si>
    <t>PHL Overhaul</t>
  </si>
  <si>
    <t>2021022RM5715</t>
  </si>
  <si>
    <t>Rendi Pramana</t>
  </si>
  <si>
    <t>2021122LO5750</t>
  </si>
  <si>
    <t>Resky Asdar</t>
  </si>
  <si>
    <t>2180622RM5441</t>
  </si>
  <si>
    <t>2100522SU5291</t>
  </si>
  <si>
    <t>2280522RM5351</t>
  </si>
  <si>
    <t xml:space="preserve">Apprentice </t>
  </si>
  <si>
    <t>2250822GA5605</t>
  </si>
  <si>
    <t>Risal</t>
  </si>
  <si>
    <t>Driver LV 011 Finance</t>
  </si>
  <si>
    <t>2080822LO5557</t>
  </si>
  <si>
    <t>2151022RM5727</t>
  </si>
  <si>
    <t>Risal Saputra</t>
  </si>
  <si>
    <t>2171221PR4952</t>
  </si>
  <si>
    <t>Risdi Hasanuddin</t>
  </si>
  <si>
    <t>2010622PR5678</t>
  </si>
  <si>
    <t>Rohleogi Pragana</t>
  </si>
  <si>
    <t>2241221CH4973</t>
  </si>
  <si>
    <t>Romiardi</t>
  </si>
  <si>
    <t>Driver LV Jetty</t>
  </si>
  <si>
    <t>2011021SE4829</t>
  </si>
  <si>
    <t>Rostami Alimuddin</t>
  </si>
  <si>
    <t>2150921HR4657</t>
  </si>
  <si>
    <t>Roy Naldy Zezar Goza Asmara</t>
  </si>
  <si>
    <t>Jr Foreman Security</t>
  </si>
  <si>
    <t>S</t>
  </si>
  <si>
    <t>2160921RM4663</t>
  </si>
  <si>
    <t>Sabar Situmorang</t>
  </si>
  <si>
    <t>2091222HS5822</t>
  </si>
  <si>
    <t>Sabriyanto Hariyanto</t>
  </si>
  <si>
    <t>2220422PR5259</t>
  </si>
  <si>
    <t>Safaruddin</t>
  </si>
  <si>
    <t>2141022GA5724</t>
  </si>
  <si>
    <t>Salam Selamat</t>
  </si>
  <si>
    <t>Driver Lv RM</t>
  </si>
  <si>
    <t>5041222RM5808</t>
  </si>
  <si>
    <t>Foreman Jetty</t>
  </si>
  <si>
    <t>2200122RM5023</t>
  </si>
  <si>
    <t>San Lopana</t>
  </si>
  <si>
    <t>2011122LO5746</t>
  </si>
  <si>
    <t>2021122PR5748</t>
  </si>
  <si>
    <t>Sefri Andi Kurniawan</t>
  </si>
  <si>
    <t>2010822GA5538</t>
  </si>
  <si>
    <t>Seli Sampe</t>
  </si>
  <si>
    <t>2081222RM5817</t>
  </si>
  <si>
    <t>Stepanus Yodi</t>
  </si>
  <si>
    <t>2300519LO3484</t>
  </si>
  <si>
    <t>2080822LO5556</t>
  </si>
  <si>
    <t>Syahrul Abdul</t>
  </si>
  <si>
    <t>2110822PR5568</t>
  </si>
  <si>
    <t>T</t>
  </si>
  <si>
    <t>2200622PR5445</t>
  </si>
  <si>
    <t>Tasri</t>
  </si>
  <si>
    <t>2180922PR5692</t>
  </si>
  <si>
    <t>Teguh Supriyadi</t>
  </si>
  <si>
    <t>2120722GA5486</t>
  </si>
  <si>
    <t>Thomas Aryanto</t>
  </si>
  <si>
    <t>2051122CH5758</t>
  </si>
  <si>
    <t>Tolan Askari</t>
  </si>
  <si>
    <t>U</t>
  </si>
  <si>
    <t>2140222RM5361</t>
  </si>
  <si>
    <t>Ukas</t>
  </si>
  <si>
    <t>W</t>
  </si>
  <si>
    <t>2021122LO5752</t>
  </si>
  <si>
    <t>Wadrian</t>
  </si>
  <si>
    <t>2140822CH5570</t>
  </si>
  <si>
    <t>Wandi Cahyadi</t>
  </si>
  <si>
    <t>2100422RM5238</t>
  </si>
  <si>
    <t>PHL Service</t>
  </si>
  <si>
    <t>2171022GA5732</t>
  </si>
  <si>
    <t>Windra Gilvi Bone</t>
  </si>
  <si>
    <t>Y</t>
  </si>
  <si>
    <t>2160922PR5669</t>
  </si>
  <si>
    <t>Yonas Lapu</t>
  </si>
  <si>
    <t>2031222RM5804</t>
  </si>
  <si>
    <t>Yosua Alfriyanto</t>
  </si>
  <si>
    <t>2230922CH5699</t>
  </si>
  <si>
    <t>Yulianus Tikara</t>
  </si>
  <si>
    <t>2280722CH5532</t>
  </si>
  <si>
    <t>Yulius Arianto</t>
  </si>
  <si>
    <t>2280921RM4700</t>
  </si>
  <si>
    <t>Yunus Sulo Nanna</t>
  </si>
  <si>
    <t>Z</t>
  </si>
  <si>
    <t>Driver LV GM</t>
  </si>
  <si>
    <t>2030622RM5379</t>
  </si>
  <si>
    <t>Zem Tandi</t>
  </si>
  <si>
    <t>REZA (ARKO)</t>
  </si>
  <si>
    <t>ALEXANDER W (MESS)</t>
  </si>
  <si>
    <t>JOHNY F MAINDOKAN</t>
  </si>
  <si>
    <t>RANDY POLII (MESS)</t>
  </si>
  <si>
    <t>BRAYEN GERUNGAN (MESS)</t>
  </si>
  <si>
    <t>LESTARIO ARNALDO (MESS)</t>
  </si>
  <si>
    <t>DATA KARYAWAN NAIK BUS GO GREEN PARAWISATA</t>
  </si>
  <si>
    <t>DATA KARYAWAN NAIK BUS PMJ</t>
  </si>
  <si>
    <t>Operator DZ375</t>
  </si>
  <si>
    <t>DATA KARYAWAN NAIK BIS GO GREEN</t>
  </si>
  <si>
    <t>KARYAWAN TIDAK NAIK BIS</t>
  </si>
  <si>
    <t>RONALD NUA (MESS)</t>
  </si>
  <si>
    <t>VINCENT (MESS)</t>
  </si>
  <si>
    <t>SIRATJUDDIN (MESS)</t>
  </si>
  <si>
    <t>YONGKI (MESS)</t>
  </si>
  <si>
    <t>MUSTAHAP S</t>
  </si>
  <si>
    <t>ADITYA NUGRAHA (MESS)</t>
  </si>
  <si>
    <t>No</t>
  </si>
  <si>
    <t>NIK</t>
  </si>
  <si>
    <t>Nama</t>
  </si>
  <si>
    <t>Dept</t>
  </si>
  <si>
    <t>Jabatan</t>
  </si>
  <si>
    <t>2071022SE5719</t>
  </si>
  <si>
    <t>Imam Tauhid</t>
  </si>
  <si>
    <t>Security</t>
  </si>
  <si>
    <t>Chief Security</t>
  </si>
  <si>
    <t>2071022SE5720</t>
  </si>
  <si>
    <t>Djoko Santoso</t>
  </si>
  <si>
    <t>2011021SE4830</t>
  </si>
  <si>
    <t>Yuspian</t>
  </si>
  <si>
    <t>Ahmad Dafero</t>
  </si>
  <si>
    <t>2011021SE4825</t>
  </si>
  <si>
    <t>Maryanto</t>
  </si>
  <si>
    <t>Pahriannor</t>
  </si>
  <si>
    <t>Rostami Aumuddin</t>
  </si>
  <si>
    <t>2251021SE4835</t>
  </si>
  <si>
    <t>Firsan Petrus</t>
  </si>
  <si>
    <t>2181221SE4957</t>
  </si>
  <si>
    <t>Afner</t>
  </si>
  <si>
    <t>2260322SE5204</t>
  </si>
  <si>
    <t>Rosdin</t>
  </si>
  <si>
    <t>Ferlin Yuliana</t>
  </si>
  <si>
    <t>2120722SE5490</t>
  </si>
  <si>
    <t>Saipul Inopasi</t>
  </si>
  <si>
    <t>2120722SE5491</t>
  </si>
  <si>
    <t>Ade Saputra</t>
  </si>
  <si>
    <t>Karmelus Raja</t>
  </si>
  <si>
    <t>M.Riski</t>
  </si>
  <si>
    <t>2070922SE5641</t>
  </si>
  <si>
    <t>Jajat Yogi</t>
  </si>
  <si>
    <t>Sayid Ahmad</t>
  </si>
  <si>
    <t>Muhammad Musandy</t>
  </si>
  <si>
    <t>NAMA</t>
  </si>
  <si>
    <t>TOTAL</t>
  </si>
  <si>
    <t>STATUS PK</t>
  </si>
  <si>
    <t>TMT</t>
  </si>
  <si>
    <t>TANGGAL TIDAK MASUK KERJA</t>
  </si>
  <si>
    <t>NOVEMBER</t>
  </si>
  <si>
    <t>APRIL</t>
  </si>
  <si>
    <t>SEPTEMBER</t>
  </si>
  <si>
    <t>Meninggal Dunia</t>
  </si>
  <si>
    <t>SUMMARY KARYAWAN KELUAR PERIODE DESEMBER 2022</t>
  </si>
  <si>
    <t>SUMMARY KARYAWAN IN PERIODE DESEMBER 2022</t>
  </si>
  <si>
    <t>KET</t>
  </si>
  <si>
    <t>Cahyo Ramadhani</t>
  </si>
  <si>
    <t>Dirga Agus Gideon</t>
  </si>
  <si>
    <t>Mukminin</t>
  </si>
  <si>
    <t>Tidak Balik Cuti</t>
  </si>
  <si>
    <t>Kiki Johanis Sumampouw</t>
  </si>
  <si>
    <t>Tardi Rusdiyanto</t>
  </si>
  <si>
    <t>Sr SPV Wheel</t>
  </si>
  <si>
    <t>Lowdorwik Kaudis</t>
  </si>
  <si>
    <t>Herry Sony Rorie</t>
  </si>
  <si>
    <t>Fernando Age</t>
  </si>
  <si>
    <t>Henri Mangala</t>
  </si>
  <si>
    <t>Marjono</t>
  </si>
  <si>
    <t>Ardi Putra Firmansyah</t>
  </si>
  <si>
    <t>Muh. Nur</t>
  </si>
  <si>
    <t>Fredi Rabo Wage</t>
  </si>
  <si>
    <t>Perumal Yuvaraj</t>
  </si>
  <si>
    <t>Melkisedes Meto</t>
  </si>
  <si>
    <t>Syafrudin Pakaya</t>
  </si>
  <si>
    <t>Aspani</t>
  </si>
  <si>
    <t>Deni Marthen Join</t>
  </si>
  <si>
    <t>Operator Dz 85 SS</t>
  </si>
  <si>
    <t>Sudirman</t>
  </si>
  <si>
    <t>Romel Piri</t>
  </si>
  <si>
    <t>Kryze Sahibondang</t>
  </si>
  <si>
    <t>Ahyar Rasyidi</t>
  </si>
  <si>
    <t>Syarif P</t>
  </si>
  <si>
    <t>Jr Foreman Storeman dan G1</t>
  </si>
  <si>
    <t>DATA KARYAWAN KELUAR TURN OVER TAHUN 2023</t>
  </si>
  <si>
    <t>JANUARI</t>
  </si>
  <si>
    <t>FEBRUARI</t>
  </si>
  <si>
    <t>MARET</t>
  </si>
  <si>
    <t>MEI</t>
  </si>
  <si>
    <t>JUNI</t>
  </si>
  <si>
    <t>JULI</t>
  </si>
  <si>
    <t>AGUSTUS</t>
  </si>
  <si>
    <t>OKTOBER</t>
  </si>
  <si>
    <t>DESEMBER</t>
  </si>
  <si>
    <t>DATA KARYAWAN IN TAHUN 2023</t>
  </si>
  <si>
    <t>Jr.SPI Produksi</t>
  </si>
  <si>
    <t>2051222PR5823</t>
  </si>
  <si>
    <t>2080124PR6558</t>
  </si>
  <si>
    <t>Hasyim Syam</t>
  </si>
  <si>
    <t>2100124PR6563</t>
  </si>
  <si>
    <t>Rusli</t>
  </si>
  <si>
    <t>2150124PR6572</t>
  </si>
  <si>
    <t>Izzudin</t>
  </si>
  <si>
    <t>2160124PR6576</t>
  </si>
  <si>
    <t>Parlin Tobing</t>
  </si>
  <si>
    <t>2160124PR6577</t>
  </si>
  <si>
    <t>2190124PR6579</t>
  </si>
  <si>
    <t>2190124PR6581</t>
  </si>
  <si>
    <t>Didi Hari Sinambela</t>
  </si>
  <si>
    <t>Operator EC 395</t>
  </si>
  <si>
    <t>Sumani</t>
  </si>
  <si>
    <t>2200124PR6585</t>
  </si>
  <si>
    <t>Asrimon</t>
  </si>
  <si>
    <t>2290124PR6602</t>
  </si>
  <si>
    <t>Sonny Moniaga</t>
  </si>
  <si>
    <t>2290124PR6603</t>
  </si>
  <si>
    <t>Thomas Gega</t>
  </si>
  <si>
    <t>Agus</t>
  </si>
  <si>
    <t>2310124PR6606</t>
  </si>
  <si>
    <t>Maghfur</t>
  </si>
  <si>
    <t>2020224PR6614</t>
  </si>
  <si>
    <t>Benediktus Boleng</t>
  </si>
  <si>
    <t>2020224PR6612</t>
  </si>
  <si>
    <t>Joko Saputra</t>
  </si>
  <si>
    <t>2050224PR6619</t>
  </si>
  <si>
    <t>Junus Salem Israel</t>
  </si>
  <si>
    <t>2100224PR6629</t>
  </si>
  <si>
    <t>Feri Tandi Lolo</t>
  </si>
  <si>
    <t>2080224PR6622</t>
  </si>
  <si>
    <t>Tujiono</t>
  </si>
  <si>
    <t>2120224PR6630</t>
  </si>
  <si>
    <t>Halim</t>
  </si>
  <si>
    <t>Karman</t>
  </si>
  <si>
    <t>2150224PR6634</t>
  </si>
  <si>
    <t>Ignasius Senda</t>
  </si>
  <si>
    <t>2180224PR6641</t>
  </si>
  <si>
    <t>Suherman</t>
  </si>
  <si>
    <t>2180224PR6642</t>
  </si>
  <si>
    <t>Eko Priyanto</t>
  </si>
  <si>
    <t>2180224PR6643</t>
  </si>
  <si>
    <t>Suprianto Zega</t>
  </si>
  <si>
    <t>2180224PR6644</t>
  </si>
  <si>
    <t>Simin Markus</t>
  </si>
  <si>
    <t>2190224PR6650</t>
  </si>
  <si>
    <t>Aris Sunarno</t>
  </si>
  <si>
    <t>2190224PR6649</t>
  </si>
  <si>
    <t>Jerry Setiawan</t>
  </si>
  <si>
    <t>Foreman Disposal</t>
  </si>
  <si>
    <t>2150224PR6032</t>
  </si>
  <si>
    <t>2210224PR6654</t>
  </si>
  <si>
    <t>Dullama</t>
  </si>
  <si>
    <t>2210224PR6657</t>
  </si>
  <si>
    <t>Yohanes Woda</t>
  </si>
  <si>
    <t>2210224PR6653</t>
  </si>
  <si>
    <t>Muh Zainal Abidin</t>
  </si>
  <si>
    <t>2230224PR6659</t>
  </si>
  <si>
    <t>2250224PR6669</t>
  </si>
  <si>
    <t>2250224PR6675</t>
  </si>
  <si>
    <t>Hendra Mamonto</t>
  </si>
  <si>
    <t>2240224PR6663</t>
  </si>
  <si>
    <t>Yudiansyah</t>
  </si>
  <si>
    <t>2260224PR6673</t>
  </si>
  <si>
    <t>Anggi Zulpandi</t>
  </si>
  <si>
    <t>2260224MC6676</t>
  </si>
  <si>
    <t>Fosasi Harefa</t>
  </si>
  <si>
    <t>2270224PR6681</t>
  </si>
  <si>
    <t>Muhammad Nur Said</t>
  </si>
  <si>
    <t>M Taufiq Ramadan</t>
  </si>
  <si>
    <t>Deddy Darmawan</t>
  </si>
  <si>
    <t>2280224PR6682</t>
  </si>
  <si>
    <t>Darmawan</t>
  </si>
  <si>
    <t>2010324PR6689</t>
  </si>
  <si>
    <t>Fiktor Hutagalung</t>
  </si>
  <si>
    <t>2010324PR6690</t>
  </si>
  <si>
    <t>Hendro</t>
  </si>
  <si>
    <t>2010324PR6691</t>
  </si>
  <si>
    <t>Meri</t>
  </si>
  <si>
    <t>2010324PR6692</t>
  </si>
  <si>
    <t>Andra Fachreza</t>
  </si>
  <si>
    <t>2010324PR6687</t>
  </si>
  <si>
    <t>Herman Payung</t>
  </si>
  <si>
    <t>2010324PR6688</t>
  </si>
  <si>
    <t>Andriansyah</t>
  </si>
  <si>
    <t>2080324PR6706</t>
  </si>
  <si>
    <t>Achmad Yusuf Fatony</t>
  </si>
  <si>
    <t>2080324PR6714</t>
  </si>
  <si>
    <t>Panji D</t>
  </si>
  <si>
    <t>2080324PR6707</t>
  </si>
  <si>
    <t>Eko Wahono</t>
  </si>
  <si>
    <t>2130324PR6717</t>
  </si>
  <si>
    <t>2140324PR6721</t>
  </si>
  <si>
    <t>Rovinus Ratus</t>
  </si>
  <si>
    <t>2170324PR6728</t>
  </si>
  <si>
    <t>2200324PR6730</t>
  </si>
  <si>
    <t>Jaka Pamungkas</t>
  </si>
  <si>
    <t>Dwi Susanto</t>
  </si>
  <si>
    <t>2130424PR6747</t>
  </si>
  <si>
    <t>2230424PR6754</t>
  </si>
  <si>
    <t>Muhammad Aldi</t>
  </si>
  <si>
    <t>Operator CAT 773E &amp; HD 465</t>
  </si>
  <si>
    <t>2290424PR6763</t>
  </si>
  <si>
    <t>Resaldi</t>
  </si>
  <si>
    <t>2290424PR6766</t>
  </si>
  <si>
    <t>La Karuna</t>
  </si>
  <si>
    <t>2020524PR6772</t>
  </si>
  <si>
    <t>Karolus Sara Beo</t>
  </si>
  <si>
    <t>2050524PR6783</t>
  </si>
  <si>
    <t>Muhtar Effendi</t>
  </si>
  <si>
    <t>2130524PR6786</t>
  </si>
  <si>
    <t>Suleman Poppo</t>
  </si>
  <si>
    <t>2220524PR6799</t>
  </si>
  <si>
    <t>Nepriyanto Wodon</t>
  </si>
  <si>
    <t>2230524PR6805</t>
  </si>
  <si>
    <t>Iwan Agus Prasetyo</t>
  </si>
  <si>
    <t>2230524PR6806</t>
  </si>
  <si>
    <t>Hardi Engkur Paturohman</t>
  </si>
  <si>
    <t>2230524PR6801</t>
  </si>
  <si>
    <t>Musa Parasi Sama</t>
  </si>
  <si>
    <t>2230524PR6807</t>
  </si>
  <si>
    <t>Heri Purnomo</t>
  </si>
  <si>
    <t>2220524PR6802</t>
  </si>
  <si>
    <t>2220524PR6800</t>
  </si>
  <si>
    <t>Jannuar Tangke</t>
  </si>
  <si>
    <t>2290524PR6823</t>
  </si>
  <si>
    <t>Nobertus Para'pak</t>
  </si>
  <si>
    <t>2300524PR6828</t>
  </si>
  <si>
    <t>2300524PR6829</t>
  </si>
  <si>
    <t>Agung Adiya Setiawan</t>
  </si>
  <si>
    <t>2300524PR6830</t>
  </si>
  <si>
    <t>Brooklyn Bernardino Siman</t>
  </si>
  <si>
    <t>2290524PR6826</t>
  </si>
  <si>
    <t>Muhammad Sabir</t>
  </si>
  <si>
    <t>2290524PR6824</t>
  </si>
  <si>
    <t>Muh. Sulfikar</t>
  </si>
  <si>
    <t>2300524PR6827</t>
  </si>
  <si>
    <t>2310524PR6832</t>
  </si>
  <si>
    <t>Ricard Jonatan Silitonga</t>
  </si>
  <si>
    <t>Pery Julianto</t>
  </si>
  <si>
    <t>Angga Kirana Muklan</t>
  </si>
  <si>
    <t>2030624PR6837</t>
  </si>
  <si>
    <t>Trima Jaya</t>
  </si>
  <si>
    <t>2010624PR6833</t>
  </si>
  <si>
    <t>Rudiyanto Eko</t>
  </si>
  <si>
    <t>2030624PR6836</t>
  </si>
  <si>
    <t>Aris Tandi</t>
  </si>
  <si>
    <t>2080624PR6849</t>
  </si>
  <si>
    <t>Rinal</t>
  </si>
  <si>
    <t>2110624PR6859</t>
  </si>
  <si>
    <t>Eri</t>
  </si>
  <si>
    <t>2110624PR6861</t>
  </si>
  <si>
    <t>Bahtiar</t>
  </si>
  <si>
    <t>2080624PR6850</t>
  </si>
  <si>
    <t>Aryadi Susanto</t>
  </si>
  <si>
    <t>2110624PR6860</t>
  </si>
  <si>
    <t>Soalihin</t>
  </si>
  <si>
    <t>2080624PR6848</t>
  </si>
  <si>
    <t>Pilipus</t>
  </si>
  <si>
    <t>2100624PR6856</t>
  </si>
  <si>
    <t>Lorentus Lois</t>
  </si>
  <si>
    <t>2120624PR6863</t>
  </si>
  <si>
    <t>Madianor</t>
  </si>
  <si>
    <t>2140624PR6869</t>
  </si>
  <si>
    <t>Petrus Hotmando S</t>
  </si>
  <si>
    <t>Suhendra</t>
  </si>
  <si>
    <t>2070624PR6844</t>
  </si>
  <si>
    <t>2190624PR6877</t>
  </si>
  <si>
    <t>Ikbal</t>
  </si>
  <si>
    <t>2190624PR6878</t>
  </si>
  <si>
    <t>Sulaiman Peruman</t>
  </si>
  <si>
    <t>2190624PR6879</t>
  </si>
  <si>
    <t>Moh Andi Kasianto</t>
  </si>
  <si>
    <t>2180624PR6882</t>
  </si>
  <si>
    <t>Ikhsan</t>
  </si>
  <si>
    <t>GM Produksi</t>
  </si>
  <si>
    <t>2240624PR6892</t>
  </si>
  <si>
    <t>Satriya Agung Gumelar</t>
  </si>
  <si>
    <t>2280624PR6897</t>
  </si>
  <si>
    <t>Wahyudi Kokasih</t>
  </si>
  <si>
    <t>SPI Produksi</t>
  </si>
  <si>
    <t>2280624PR6894</t>
  </si>
  <si>
    <t>Putra Absaldi</t>
  </si>
  <si>
    <t>2280624PR6895</t>
  </si>
  <si>
    <t>Anwar Samsul</t>
  </si>
  <si>
    <t>2260624PR6885</t>
  </si>
  <si>
    <t>Sofyan</t>
  </si>
  <si>
    <t>2280624PR6901</t>
  </si>
  <si>
    <t>Paulus Saram M</t>
  </si>
  <si>
    <t>2280624PR6893</t>
  </si>
  <si>
    <t>Andri Nurdiansah</t>
  </si>
  <si>
    <t>2010724PR6908</t>
  </si>
  <si>
    <t>2010724PR6910</t>
  </si>
  <si>
    <t>Katiman Tampubolon</t>
  </si>
  <si>
    <t>Budy Santoso</t>
  </si>
  <si>
    <t>2030724PR6915</t>
  </si>
  <si>
    <t>Abdul Gani Payong H</t>
  </si>
  <si>
    <t>2030724PR6916</t>
  </si>
  <si>
    <t>Syahruddin</t>
  </si>
  <si>
    <t>2030724PR6917</t>
  </si>
  <si>
    <t>Didik Wahyudi</t>
  </si>
  <si>
    <t>2010724PR6911</t>
  </si>
  <si>
    <t>Erwanto</t>
  </si>
  <si>
    <t>2020724PR6913</t>
  </si>
  <si>
    <t>Judding</t>
  </si>
  <si>
    <t>2070724PR6927</t>
  </si>
  <si>
    <t>Raynaldi Qori Yolanda</t>
  </si>
  <si>
    <t>Yoel Yordy</t>
  </si>
  <si>
    <t>Ventje Kaogouw</t>
  </si>
  <si>
    <t>2220322PR5394</t>
  </si>
  <si>
    <t>Operator GD 705</t>
  </si>
  <si>
    <t>2240423PR6035</t>
  </si>
  <si>
    <t>2150724PR6942</t>
  </si>
  <si>
    <t xml:space="preserve">Febri Irawan </t>
  </si>
  <si>
    <t>2170724PR6948</t>
  </si>
  <si>
    <t>Junaidi Pasaribu</t>
  </si>
  <si>
    <t>2190724PR6954</t>
  </si>
  <si>
    <t>Rafael Yance</t>
  </si>
  <si>
    <t>2190724PR6955</t>
  </si>
  <si>
    <t>Adolfus Anthony</t>
  </si>
  <si>
    <t>2190724PR6956</t>
  </si>
  <si>
    <t>Rendy Gorian</t>
  </si>
  <si>
    <t>2190724PR6957</t>
  </si>
  <si>
    <t>Cahaya Arrianto</t>
  </si>
  <si>
    <t>2220724PR6963</t>
  </si>
  <si>
    <t>Muh Rifky Hadi</t>
  </si>
  <si>
    <t>2250724PR6972</t>
  </si>
  <si>
    <t>2270724PR6976</t>
  </si>
  <si>
    <t>Andrian Kurniady</t>
  </si>
  <si>
    <t>2270724PR6975</t>
  </si>
  <si>
    <t>Iswanto Widodo</t>
  </si>
  <si>
    <t>2270724PR6977</t>
  </si>
  <si>
    <t>Andoyo</t>
  </si>
  <si>
    <t>2270724MC6974</t>
  </si>
  <si>
    <t>2300724PR6981</t>
  </si>
  <si>
    <t>Operator GD 14 M</t>
  </si>
  <si>
    <t>2300724PR6982</t>
  </si>
  <si>
    <t>Hasrullah</t>
  </si>
  <si>
    <t>2300724PR6983</t>
  </si>
  <si>
    <t>Frimanuel Sahar</t>
  </si>
  <si>
    <t>2300724PR6984</t>
  </si>
  <si>
    <t>Tatang Rahayu</t>
  </si>
  <si>
    <t>2080824PR7007</t>
  </si>
  <si>
    <t>Deded Sudiarsyah</t>
  </si>
  <si>
    <t>2040824PR6997</t>
  </si>
  <si>
    <t>Skivo F. Sahabat</t>
  </si>
  <si>
    <t>2060824PR7000</t>
  </si>
  <si>
    <t>Paska Fransikus Silaban</t>
  </si>
  <si>
    <t>2080824PR7005</t>
  </si>
  <si>
    <t>Saprianto</t>
  </si>
  <si>
    <t>2030824PR6991</t>
  </si>
  <si>
    <t>2030824PR6995</t>
  </si>
  <si>
    <t>Sahrudin</t>
  </si>
  <si>
    <t>2060824PR7001</t>
  </si>
  <si>
    <t>2060824PR7002</t>
  </si>
  <si>
    <t>Marsel Lana</t>
  </si>
  <si>
    <t>2070824PR7003</t>
  </si>
  <si>
    <t>Irfan Rifai</t>
  </si>
  <si>
    <t>Buntu Suman</t>
  </si>
  <si>
    <t>Andi Mawasir M</t>
  </si>
  <si>
    <t>2100824PR7011</t>
  </si>
  <si>
    <t>2120824PR7014</t>
  </si>
  <si>
    <t>2120824PR7015</t>
  </si>
  <si>
    <t>Susanto</t>
  </si>
  <si>
    <t>Yanuardo Dapinsi</t>
  </si>
  <si>
    <t>Bambang Hariwanto</t>
  </si>
  <si>
    <t>2150824PR7023</t>
  </si>
  <si>
    <t>Pungky Sudi A</t>
  </si>
  <si>
    <t>2180824PR7027</t>
  </si>
  <si>
    <t>Bonavantura Taso Tare</t>
  </si>
  <si>
    <t>2210824PR7033</t>
  </si>
  <si>
    <t>Reza Pahlefi</t>
  </si>
  <si>
    <t>2210824PR7034</t>
  </si>
  <si>
    <t>Oki Kikindo</t>
  </si>
  <si>
    <t>2240824PR7045</t>
  </si>
  <si>
    <t>Candra Siagian</t>
  </si>
  <si>
    <t>2200824PR7031</t>
  </si>
  <si>
    <t>Catur Irawan</t>
  </si>
  <si>
    <t>2230824PR7043</t>
  </si>
  <si>
    <t>Boni Restu Rapang</t>
  </si>
  <si>
    <t>2220824PR7036</t>
  </si>
  <si>
    <t>Gidieon</t>
  </si>
  <si>
    <t>2230824PR7044</t>
  </si>
  <si>
    <t>Alwandi Lampah</t>
  </si>
  <si>
    <t>2200824PR7032</t>
  </si>
  <si>
    <t>Mahmud</t>
  </si>
  <si>
    <t>2230824PR7039</t>
  </si>
  <si>
    <t>Kurdiansyah</t>
  </si>
  <si>
    <t>2230824PR7040</t>
  </si>
  <si>
    <t>Ahmad Syaibani</t>
  </si>
  <si>
    <t>AGUSTUS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</si>
</sst>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0;\-0;;@"/>
    <numFmt numFmtId="165" formatCode="[$-409]d\-mmm\-yy;@"/>
  </numFmts>
  <fonts count="21">
    <font>
      <sz val="11"/>
      <color theme="1"/>
      <name val="Calibri"/>
      <charset val="134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indexed="8"/>
      <name val="Arial"/>
      <family val="2"/>
    </font>
    <font>
      <sz val="12"/>
      <name val="Tahoma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sz val="10"/>
      <color indexed="8"/>
      <name val="MS Sans Serif"/>
      <family val="2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5"/>
      <color theme="1"/>
      <name val="Arial"/>
      <family val="2"/>
    </font>
    <font>
      <sz val="15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8449659718619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0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3" fillId="0" borderId="0"/>
    <xf numFmtId="0" fontId="13" fillId="0" borderId="0"/>
    <xf numFmtId="0" fontId="16" fillId="0" borderId="0"/>
    <xf numFmtId="0" fontId="16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2" fillId="0" borderId="0" applyFont="0" applyFill="0" applyBorder="0" applyAlignment="0" applyProtection="0"/>
    <xf numFmtId="0" fontId="13" fillId="0" borderId="0"/>
  </cellStyleXfs>
  <cellXfs count="9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8" fillId="0" borderId="1" xfId="4" applyFont="1" applyBorder="1" applyAlignment="1">
      <alignment horizontal="center" vertical="center"/>
    </xf>
    <xf numFmtId="0" fontId="8" fillId="0" borderId="4" xfId="4" applyFont="1" applyBorder="1" applyAlignment="1">
      <alignment horizontal="center" vertical="center"/>
    </xf>
    <xf numFmtId="0" fontId="8" fillId="0" borderId="1" xfId="4" applyFont="1" applyBorder="1" applyAlignment="1">
      <alignment horizontal="center"/>
    </xf>
    <xf numFmtId="0" fontId="8" fillId="0" borderId="1" xfId="4" applyFont="1" applyBorder="1" applyAlignment="1">
      <alignment horizontal="left" vertical="center"/>
    </xf>
    <xf numFmtId="0" fontId="8" fillId="0" borderId="1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3" fillId="0" borderId="1" xfId="3" applyFont="1" applyBorder="1" applyAlignment="1">
      <alignment horizontal="left"/>
    </xf>
    <xf numFmtId="0" fontId="8" fillId="0" borderId="1" xfId="5" applyFont="1" applyBorder="1" applyAlignment="1">
      <alignment horizontal="center" vertical="center"/>
    </xf>
    <xf numFmtId="0" fontId="8" fillId="0" borderId="1" xfId="5" applyFont="1" applyBorder="1" applyAlignment="1">
      <alignment horizontal="left"/>
    </xf>
    <xf numFmtId="0" fontId="9" fillId="0" borderId="7" xfId="3" applyFont="1" applyBorder="1" applyAlignment="1">
      <alignment horizontal="center" vertical="center"/>
    </xf>
    <xf numFmtId="0" fontId="9" fillId="0" borderId="7" xfId="3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165" fontId="6" fillId="0" borderId="0" xfId="0" applyNumberFormat="1" applyFont="1" applyAlignment="1">
      <alignment vertical="center"/>
    </xf>
    <xf numFmtId="0" fontId="2" fillId="0" borderId="0" xfId="0" applyFont="1"/>
    <xf numFmtId="165" fontId="6" fillId="0" borderId="1" xfId="0" applyNumberFormat="1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19" fillId="0" borderId="1" xfId="0" applyNumberFormat="1" applyFont="1" applyBorder="1" applyAlignment="1">
      <alignment horizontal="center" vertical="center"/>
    </xf>
    <xf numFmtId="0" fontId="19" fillId="4" borderId="1" xfId="0" applyNumberFormat="1" applyFont="1" applyFill="1" applyBorder="1" applyAlignment="1">
      <alignment horizontal="center" vertical="center"/>
    </xf>
    <xf numFmtId="0" fontId="0" fillId="0" borderId="0" xfId="0" applyNumberFormat="1"/>
    <xf numFmtId="0" fontId="19" fillId="9" borderId="1" xfId="0" applyNumberFormat="1" applyFont="1" applyFill="1" applyBorder="1" applyAlignment="1">
      <alignment horizontal="left" vertical="center"/>
    </xf>
    <xf numFmtId="0" fontId="19" fillId="4" borderId="1" xfId="0" applyNumberFormat="1" applyFont="1" applyFill="1" applyBorder="1" applyAlignment="1">
      <alignment horizontal="left" vertical="center"/>
    </xf>
    <xf numFmtId="0" fontId="20" fillId="0" borderId="1" xfId="0" applyNumberFormat="1" applyFont="1" applyFill="1" applyBorder="1" applyAlignment="1">
      <alignment horizontal="center" vertical="center"/>
    </xf>
    <xf numFmtId="0" fontId="20" fillId="4" borderId="1" xfId="0" applyNumberFormat="1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left"/>
    </xf>
    <xf numFmtId="165" fontId="6" fillId="0" borderId="6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/>
    </xf>
    <xf numFmtId="0" fontId="7" fillId="8" borderId="4" xfId="0" applyFont="1" applyFill="1" applyBorder="1" applyAlignment="1">
      <alignment horizontal="left" vertical="center"/>
    </xf>
    <xf numFmtId="165" fontId="6" fillId="0" borderId="13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0">
    <cellStyle name="Comma [0] 2" xfId="1"/>
    <cellStyle name="Comma 3" xfId="2"/>
    <cellStyle name="Normal" xfId="0" builtinId="0"/>
    <cellStyle name="Normal 114" xfId="19"/>
    <cellStyle name="Normal 2" xfId="3"/>
    <cellStyle name="Normal 2 2" xfId="4"/>
    <cellStyle name="Normal 2 2 2" xfId="5"/>
    <cellStyle name="Normal 3" xfId="6"/>
    <cellStyle name="Normal 3 2" xfId="7"/>
    <cellStyle name="Normal 4" xfId="8"/>
    <cellStyle name="Normal 5" xfId="9"/>
    <cellStyle name="Normal 6" xfId="10"/>
    <cellStyle name="Normal 68" xfId="11"/>
    <cellStyle name="Normal 71" xfId="12"/>
    <cellStyle name="Normal 73" xfId="13"/>
    <cellStyle name="Normal 75" xfId="14"/>
    <cellStyle name="Normal 77" xfId="15"/>
    <cellStyle name="Normal 78" xfId="16"/>
    <cellStyle name="Normal 79" xfId="17"/>
    <cellStyle name="Percent 2" xfId="18"/>
  </cellStyles>
  <dxfs count="28">
    <dxf>
      <font>
        <color rgb="FF9C0006"/>
      </font>
      <fill>
        <patternFill patternType="solid">
          <bgColor rgb="FFFFC7CE"/>
        </patternFill>
      </fill>
    </dxf>
    <dxf>
      <font>
        <b/>
        <i val="0"/>
      </font>
      <fill>
        <patternFill patternType="solid">
          <bgColor theme="5" tint="0.3984191412091433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</font>
      <fill>
        <patternFill patternType="solid">
          <bgColor theme="5" tint="0.3984191412091433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3" defaultTableStyle="TableStyleMedium2" defaultPivotStyle="PivotTable Style 2">
    <tableStyle name="PivotTable Style 1" table="0" count="0"/>
    <tableStyle name="PivotTable Style 2" table="0" count="0"/>
    <tableStyle name="Table Style 1" pivot="0" count="0"/>
  </tableStyles>
  <colors>
    <mruColors>
      <color rgb="FFFF5363"/>
      <color rgb="FFFF3300"/>
      <color rgb="FFCC66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 KARYAWAN KELUAR TURN OVER TAHUN 2022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IN OUT'!$C$19</c:f>
              <c:strCache>
                <c:ptCount val="1"/>
                <c:pt idx="0">
                  <c:v>PKWT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IN OUT'!$B$21:$B$31</c:f>
              <c:strCache>
                <c:ptCount val="11"/>
                <c:pt idx="0">
                  <c:v>PRODUKSI</c:v>
                </c:pt>
                <c:pt idx="1">
                  <c:v>RM</c:v>
                </c:pt>
                <c:pt idx="2">
                  <c:v>ENGINEERING</c:v>
                </c:pt>
                <c:pt idx="3">
                  <c:v>HSEQ</c:v>
                </c:pt>
                <c:pt idx="4">
                  <c:v>LOGISTIK</c:v>
                </c:pt>
                <c:pt idx="5">
                  <c:v>FINANCE</c:v>
                </c:pt>
                <c:pt idx="6">
                  <c:v>HRGA</c:v>
                </c:pt>
                <c:pt idx="7">
                  <c:v>CHPP</c:v>
                </c:pt>
                <c:pt idx="8">
                  <c:v>IT</c:v>
                </c:pt>
                <c:pt idx="9">
                  <c:v>SURVEY</c:v>
                </c:pt>
                <c:pt idx="10">
                  <c:v>SECURITY</c:v>
                </c:pt>
              </c:strCache>
            </c:strRef>
          </c:cat>
          <c:val>
            <c:numRef>
              <c:f>'SUMMARY IN OUT'!$O$21:$O$31</c:f>
              <c:numCache>
                <c:formatCode>0;\-0;;@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B9-4E2E-96D1-2B5392583AE2}"/>
            </c:ext>
          </c:extLst>
        </c:ser>
        <c:ser>
          <c:idx val="11"/>
          <c:order val="1"/>
          <c:tx>
            <c:strRef>
              <c:f>'SUMMARY IN OUT'!$C$3</c:f>
              <c:strCache>
                <c:ptCount val="1"/>
                <c:pt idx="0">
                  <c:v>PHL</c:v>
                </c:pt>
              </c:strCache>
            </c:strRef>
          </c:tx>
          <c:spPr>
            <a:solidFill>
              <a:schemeClr val="accent6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IN OUT'!$B$5:$B$16</c:f>
              <c:strCache>
                <c:ptCount val="12"/>
                <c:pt idx="0">
                  <c:v>PRODUKSI</c:v>
                </c:pt>
                <c:pt idx="1">
                  <c:v>RM</c:v>
                </c:pt>
                <c:pt idx="2">
                  <c:v>ENGINEERING</c:v>
                </c:pt>
                <c:pt idx="3">
                  <c:v>HSEQ</c:v>
                </c:pt>
                <c:pt idx="4">
                  <c:v>LOGISTIK</c:v>
                </c:pt>
                <c:pt idx="5">
                  <c:v>FINANCE</c:v>
                </c:pt>
                <c:pt idx="6">
                  <c:v>HRGA</c:v>
                </c:pt>
                <c:pt idx="7">
                  <c:v>CHPP</c:v>
                </c:pt>
                <c:pt idx="8">
                  <c:v>IT</c:v>
                </c:pt>
                <c:pt idx="9">
                  <c:v>SURVEY</c:v>
                </c:pt>
                <c:pt idx="10">
                  <c:v>SECURITY</c:v>
                </c:pt>
                <c:pt idx="11">
                  <c:v>TOTAL</c:v>
                </c:pt>
              </c:strCache>
            </c:strRef>
          </c:cat>
          <c:val>
            <c:numRef>
              <c:f>'SUMMARY IN OUT'!$O$5:$O$15</c:f>
              <c:numCache>
                <c:formatCode>0;\-0;;@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3B9-4E2E-96D1-2B5392583A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18297728"/>
        <c:axId val="418299264"/>
      </c:barChart>
      <c:catAx>
        <c:axId val="4182977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299264"/>
        <c:crosses val="autoZero"/>
        <c:auto val="1"/>
        <c:lblAlgn val="ctr"/>
        <c:lblOffset val="100"/>
        <c:noMultiLvlLbl val="0"/>
      </c:catAx>
      <c:valAx>
        <c:axId val="41829926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</c:spPr>
        </c:majorGridlines>
        <c:numFmt formatCode="0;\-0;;@" sourceLinked="1"/>
        <c:majorTickMark val="none"/>
        <c:minorTickMark val="none"/>
        <c:tickLblPos val="nextTo"/>
        <c:crossAx val="41829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 KARYAWAN KELUAR TURN OVER TAHUN 2022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'SUMMARY IN OUT'!$C$19</c:f>
              <c:strCache>
                <c:ptCount val="1"/>
                <c:pt idx="0">
                  <c:v>PKWT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IN OUT'!$C$20:$N$20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'SUMMARY IN OUT'!$C$32:$N$32</c:f>
              <c:numCache>
                <c:formatCode>0;\-0;;@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AC1-45F5-9EFD-03034B210E19}"/>
            </c:ext>
          </c:extLst>
        </c:ser>
        <c:ser>
          <c:idx val="0"/>
          <c:order val="1"/>
          <c:tx>
            <c:strRef>
              <c:f>'SUMMARY IN OUT'!$C$3</c:f>
              <c:strCache>
                <c:ptCount val="1"/>
                <c:pt idx="0">
                  <c:v>PHL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IN OUT'!$C$4:$N$4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'SUMMARY IN OUT'!$C$16:$N$16</c:f>
              <c:numCache>
                <c:formatCode>0;\-0;;@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AC1-45F5-9EFD-03034B210E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0260736"/>
        <c:axId val="340262272"/>
      </c:barChart>
      <c:catAx>
        <c:axId val="34026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62272"/>
        <c:crosses val="autoZero"/>
        <c:auto val="1"/>
        <c:lblAlgn val="ctr"/>
        <c:lblOffset val="100"/>
        <c:noMultiLvlLbl val="0"/>
      </c:catAx>
      <c:valAx>
        <c:axId val="34026227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olid"/>
              <a:round/>
            </a:ln>
            <a:effectLst/>
          </c:spPr>
        </c:majorGridlines>
        <c:numFmt formatCode="0;\-0;;@" sourceLinked="1"/>
        <c:majorTickMark val="none"/>
        <c:minorTickMark val="none"/>
        <c:tickLblPos val="nextTo"/>
        <c:crossAx val="34026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#1">
  <dgm:title val=""/>
  <dgm:desc val=""/>
  <dgm:catLst>
    <dgm:cat type="accent1" pri="11200"/>
  </dgm:catLst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276ADF8-173F-4A8C-A451-7A594527696F}" type="doc">
      <dgm:prSet loTypeId="urn:microsoft.com/office/officeart/2008/layout/NameandTitleOrganizationalChart#1" loCatId="hierarchy" qsTypeId="urn:microsoft.com/office/officeart/2005/8/quickstyle/simple1#1" qsCatId="simple" csTypeId="urn:microsoft.com/office/officeart/2005/8/colors/accent1_2#1" csCatId="accent1" phldr="1"/>
      <dgm:spPr/>
      <dgm:t>
        <a:bodyPr/>
        <a:lstStyle/>
        <a:p>
          <a:endParaRPr lang="en-US"/>
        </a:p>
      </dgm:t>
    </dgm:pt>
    <dgm:pt modelId="{E2C80430-CAFB-4074-BF5B-234414788F58}">
      <dgm:prSet phldrT="[Text]"/>
      <dgm:spPr/>
      <dgm:t>
        <a:bodyPr/>
        <a:lstStyle/>
        <a:p>
          <a:endParaRPr lang="en-US"/>
        </a:p>
      </dgm:t>
    </dgm:pt>
    <dgm:pt modelId="{2FB92A33-9E20-4297-B7F3-DC9855DEA2D8}" type="parTrans" cxnId="{8D5527CC-2116-4758-9541-ABF90E3E8BEE}">
      <dgm:prSet/>
      <dgm:spPr/>
      <dgm:t>
        <a:bodyPr/>
        <a:lstStyle/>
        <a:p>
          <a:endParaRPr lang="en-US"/>
        </a:p>
      </dgm:t>
    </dgm:pt>
    <dgm:pt modelId="{ECADABFA-C0C7-4BAF-88F5-B7C493C95D1F}" type="sibTrans" cxnId="{8D5527CC-2116-4758-9541-ABF90E3E8BEE}">
      <dgm:prSet/>
      <dgm:spPr/>
      <dgm:t>
        <a:bodyPr/>
        <a:lstStyle/>
        <a:p>
          <a:endParaRPr lang="en-US"/>
        </a:p>
      </dgm:t>
    </dgm:pt>
    <dgm:pt modelId="{B4C6AD68-255E-44DB-A5C2-BE7F01B55A91}">
      <dgm:prSet phldrT="[Text]"/>
      <dgm:spPr/>
      <dgm:t>
        <a:bodyPr/>
        <a:lstStyle/>
        <a:p>
          <a:pPr algn="ctr"/>
          <a:r>
            <a:rPr lang="en-US"/>
            <a:t>Ramadhan Kartiko G.	</a:t>
          </a:r>
        </a:p>
      </dgm:t>
    </dgm:pt>
    <dgm:pt modelId="{A07B1F0C-578A-4A97-94B8-E77E596AA644}" type="parTrans" cxnId="{70E973A9-5ED4-4E8F-B329-59D84BBA01AF}">
      <dgm:prSet/>
      <dgm:spPr/>
      <dgm:t>
        <a:bodyPr/>
        <a:lstStyle/>
        <a:p>
          <a:endParaRPr lang="en-US"/>
        </a:p>
      </dgm:t>
    </dgm:pt>
    <dgm:pt modelId="{CAAF2B8B-8F07-4A10-917E-D81E5F16CA63}" type="sibTrans" cxnId="{70E973A9-5ED4-4E8F-B329-59D84BBA01AF}">
      <dgm:prSet/>
      <dgm:spPr/>
      <dgm:t>
        <a:bodyPr/>
        <a:lstStyle/>
        <a:p>
          <a:pPr algn="ctr"/>
          <a:r>
            <a:rPr lang="en-US"/>
            <a:t>SPI RM</a:t>
          </a:r>
        </a:p>
      </dgm:t>
    </dgm:pt>
    <dgm:pt modelId="{ABFC6FAD-43D6-4539-8F4C-7BF5F4056674}">
      <dgm:prSet phldrT="[Text]" phldr="1"/>
      <dgm:spPr/>
      <dgm:t>
        <a:bodyPr/>
        <a:lstStyle/>
        <a:p>
          <a:endParaRPr lang="en-US"/>
        </a:p>
      </dgm:t>
    </dgm:pt>
    <dgm:pt modelId="{42B065CA-8F11-45E6-A3BB-F653034FF456}" type="parTrans" cxnId="{58262F70-C2DB-4503-9E2C-5E072697ED1F}">
      <dgm:prSet/>
      <dgm:spPr/>
      <dgm:t>
        <a:bodyPr/>
        <a:lstStyle/>
        <a:p>
          <a:endParaRPr lang="en-US"/>
        </a:p>
      </dgm:t>
    </dgm:pt>
    <dgm:pt modelId="{477DF75F-08F9-40C5-807A-119C0907472B}" type="sibTrans" cxnId="{58262F70-C2DB-4503-9E2C-5E072697ED1F}">
      <dgm:prSet/>
      <dgm:spPr/>
      <dgm:t>
        <a:bodyPr/>
        <a:lstStyle/>
        <a:p>
          <a:pPr algn="ctr"/>
          <a:endParaRPr lang="en-US"/>
        </a:p>
      </dgm:t>
    </dgm:pt>
    <dgm:pt modelId="{1E4D5BD6-3349-455A-AFA9-084D28DF97EF}">
      <dgm:prSet phldrT="[Text]" phldr="1"/>
      <dgm:spPr/>
      <dgm:t>
        <a:bodyPr/>
        <a:lstStyle/>
        <a:p>
          <a:endParaRPr lang="en-US"/>
        </a:p>
      </dgm:t>
    </dgm:pt>
    <dgm:pt modelId="{84C70CA9-BEE3-48C5-A271-369672D4B1FD}" type="parTrans" cxnId="{8021D828-96E0-4CC7-8868-4FB308F745E8}">
      <dgm:prSet/>
      <dgm:spPr/>
      <dgm:t>
        <a:bodyPr/>
        <a:lstStyle/>
        <a:p>
          <a:endParaRPr lang="en-US"/>
        </a:p>
      </dgm:t>
    </dgm:pt>
    <dgm:pt modelId="{03F6E3CB-655C-47DA-A994-4D84FA15C247}" type="sibTrans" cxnId="{8021D828-96E0-4CC7-8868-4FB308F745E8}">
      <dgm:prSet/>
      <dgm:spPr/>
      <dgm:t>
        <a:bodyPr/>
        <a:lstStyle/>
        <a:p>
          <a:pPr algn="ctr"/>
          <a:endParaRPr lang="en-US"/>
        </a:p>
      </dgm:t>
    </dgm:pt>
    <dgm:pt modelId="{4EBCB64A-D801-475F-9706-F4A88EFB2AD7}">
      <dgm:prSet/>
      <dgm:spPr/>
      <dgm:t>
        <a:bodyPr/>
        <a:lstStyle/>
        <a:p>
          <a:r>
            <a:rPr lang="en-US"/>
            <a:t>Muhammad Akbar</a:t>
          </a:r>
        </a:p>
      </dgm:t>
    </dgm:pt>
    <dgm:pt modelId="{2F873CA1-9A74-4093-9821-5EDFEB134E77}" type="parTrans" cxnId="{DA4E6422-3EFB-47DA-91F1-E2FA7006415B}">
      <dgm:prSet/>
      <dgm:spPr/>
      <dgm:t>
        <a:bodyPr/>
        <a:lstStyle/>
        <a:p>
          <a:endParaRPr lang="en-US"/>
        </a:p>
      </dgm:t>
    </dgm:pt>
    <dgm:pt modelId="{EBCD8834-750C-47D8-853B-0D77945E2FFE}" type="sibTrans" cxnId="{DA4E6422-3EFB-47DA-91F1-E2FA7006415B}">
      <dgm:prSet/>
      <dgm:spPr/>
      <dgm:t>
        <a:bodyPr/>
        <a:lstStyle/>
        <a:p>
          <a:pPr algn="ctr"/>
          <a:r>
            <a:rPr lang="en-US"/>
            <a:t>Dispacher</a:t>
          </a:r>
        </a:p>
      </dgm:t>
    </dgm:pt>
    <dgm:pt modelId="{12E27EAF-6D28-42E4-98BF-413BF50AB904}">
      <dgm:prSet/>
      <dgm:spPr/>
      <dgm:t>
        <a:bodyPr/>
        <a:lstStyle/>
        <a:p>
          <a:r>
            <a:rPr lang="en-US"/>
            <a:t>Halim Perdana Kusuma</a:t>
          </a:r>
        </a:p>
      </dgm:t>
    </dgm:pt>
    <dgm:pt modelId="{3FD41B99-4720-4958-8412-658CE64FE1D0}" type="parTrans" cxnId="{68BA1968-8BAB-472C-B310-AEED83597F61}">
      <dgm:prSet/>
      <dgm:spPr/>
      <dgm:t>
        <a:bodyPr/>
        <a:lstStyle/>
        <a:p>
          <a:endParaRPr lang="en-US"/>
        </a:p>
      </dgm:t>
    </dgm:pt>
    <dgm:pt modelId="{34466539-F207-45F0-A315-F1127328946F}" type="sibTrans" cxnId="{68BA1968-8BAB-472C-B310-AEED83597F61}">
      <dgm:prSet/>
      <dgm:spPr/>
      <dgm:t>
        <a:bodyPr/>
        <a:lstStyle/>
        <a:p>
          <a:pPr algn="ctr"/>
          <a:r>
            <a:rPr lang="en-US"/>
            <a:t>Dispatcher</a:t>
          </a:r>
        </a:p>
      </dgm:t>
    </dgm:pt>
    <dgm:pt modelId="{882958D2-5A0A-401D-9F15-57321B107DFD}">
      <dgm:prSet/>
      <dgm:spPr/>
      <dgm:t>
        <a:bodyPr/>
        <a:lstStyle/>
        <a:p>
          <a:r>
            <a:rPr lang="en-US"/>
            <a:t>Maria Yulianti Kelen</a:t>
          </a:r>
        </a:p>
      </dgm:t>
    </dgm:pt>
    <dgm:pt modelId="{0E91CDD2-94A9-4442-8924-8181EFF686FD}" type="parTrans" cxnId="{56F19F63-4316-43CC-B961-5B750D75E82D}">
      <dgm:prSet/>
      <dgm:spPr/>
      <dgm:t>
        <a:bodyPr/>
        <a:lstStyle/>
        <a:p>
          <a:endParaRPr lang="en-US"/>
        </a:p>
      </dgm:t>
    </dgm:pt>
    <dgm:pt modelId="{513E0AE6-A8D0-4262-94C0-E3204FF92C83}" type="sibTrans" cxnId="{56F19F63-4316-43CC-B961-5B750D75E82D}">
      <dgm:prSet/>
      <dgm:spPr/>
      <dgm:t>
        <a:bodyPr/>
        <a:lstStyle/>
        <a:p>
          <a:pPr algn="ctr"/>
          <a:r>
            <a:rPr lang="en-US"/>
            <a:t>Admin</a:t>
          </a:r>
        </a:p>
      </dgm:t>
    </dgm:pt>
    <dgm:pt modelId="{73A975DC-57F9-424C-8634-99AC9D536B1C}">
      <dgm:prSet/>
      <dgm:spPr/>
      <dgm:t>
        <a:bodyPr/>
        <a:lstStyle/>
        <a:p>
          <a:endParaRPr lang="en-US"/>
        </a:p>
      </dgm:t>
    </dgm:pt>
    <dgm:pt modelId="{BC39C9E8-E9FE-4525-8BAF-21E32FB741C0}" type="parTrans" cxnId="{13DAA7FF-D4B4-411D-8168-908429AEDA24}">
      <dgm:prSet/>
      <dgm:spPr/>
      <dgm:t>
        <a:bodyPr/>
        <a:lstStyle/>
        <a:p>
          <a:endParaRPr lang="en-US"/>
        </a:p>
      </dgm:t>
    </dgm:pt>
    <dgm:pt modelId="{CA896D58-8783-420B-A3FE-05A3548A4189}" type="sibTrans" cxnId="{13DAA7FF-D4B4-411D-8168-908429AEDA24}">
      <dgm:prSet/>
      <dgm:spPr/>
      <dgm:t>
        <a:bodyPr/>
        <a:lstStyle/>
        <a:p>
          <a:endParaRPr lang="en-US"/>
        </a:p>
      </dgm:t>
    </dgm:pt>
    <dgm:pt modelId="{83BC36A2-9A92-4DEC-B63A-A616C72B034F}">
      <dgm:prSet/>
      <dgm:spPr/>
      <dgm:t>
        <a:bodyPr/>
        <a:lstStyle/>
        <a:p>
          <a:endParaRPr lang="en-US"/>
        </a:p>
      </dgm:t>
    </dgm:pt>
    <dgm:pt modelId="{0323DDCD-CD57-448D-A4BA-E3E753989403}" type="parTrans" cxnId="{3EF45293-A651-4662-A81D-688D0A480D9F}">
      <dgm:prSet/>
      <dgm:spPr/>
      <dgm:t>
        <a:bodyPr/>
        <a:lstStyle/>
        <a:p>
          <a:endParaRPr lang="en-US"/>
        </a:p>
      </dgm:t>
    </dgm:pt>
    <dgm:pt modelId="{79AA112E-382F-49B1-AEA2-B5B64A53EC21}" type="sibTrans" cxnId="{3EF45293-A651-4662-A81D-688D0A480D9F}">
      <dgm:prSet/>
      <dgm:spPr/>
      <dgm:t>
        <a:bodyPr/>
        <a:lstStyle/>
        <a:p>
          <a:endParaRPr lang="en-US"/>
        </a:p>
      </dgm:t>
    </dgm:pt>
    <dgm:pt modelId="{C67CF62E-659B-4732-A1B8-BC347BF87BAE}">
      <dgm:prSet/>
      <dgm:spPr/>
      <dgm:t>
        <a:bodyPr/>
        <a:lstStyle/>
        <a:p>
          <a:endParaRPr lang="en-US"/>
        </a:p>
      </dgm:t>
    </dgm:pt>
    <dgm:pt modelId="{48A3CCF1-D474-4223-9E94-3C8C84F56F33}" type="parTrans" cxnId="{DE8D3C1E-9B52-453D-9A74-6935B69866F5}">
      <dgm:prSet/>
      <dgm:spPr/>
      <dgm:t>
        <a:bodyPr/>
        <a:lstStyle/>
        <a:p>
          <a:endParaRPr lang="en-US"/>
        </a:p>
      </dgm:t>
    </dgm:pt>
    <dgm:pt modelId="{124C56AD-23E1-465E-BA9C-4DEFAE07D209}" type="sibTrans" cxnId="{DE8D3C1E-9B52-453D-9A74-6935B69866F5}">
      <dgm:prSet/>
      <dgm:spPr/>
      <dgm:t>
        <a:bodyPr/>
        <a:lstStyle/>
        <a:p>
          <a:endParaRPr lang="en-US"/>
        </a:p>
      </dgm:t>
    </dgm:pt>
    <dgm:pt modelId="{FBFB7AA1-5EC2-4EFC-9B04-76CA03F8CD66}">
      <dgm:prSet/>
      <dgm:spPr/>
      <dgm:t>
        <a:bodyPr/>
        <a:lstStyle/>
        <a:p>
          <a:endParaRPr lang="en-US"/>
        </a:p>
      </dgm:t>
    </dgm:pt>
    <dgm:pt modelId="{EABFED4F-717E-4287-B0CA-F3203113002C}" type="parTrans" cxnId="{5C5AB4EB-7912-4A25-B72A-D694ABFC9C03}">
      <dgm:prSet/>
      <dgm:spPr/>
      <dgm:t>
        <a:bodyPr/>
        <a:lstStyle/>
        <a:p>
          <a:endParaRPr lang="en-US"/>
        </a:p>
      </dgm:t>
    </dgm:pt>
    <dgm:pt modelId="{E894ECC1-4CC2-4605-AEEC-32593242E006}" type="sibTrans" cxnId="{5C5AB4EB-7912-4A25-B72A-D694ABFC9C03}">
      <dgm:prSet/>
      <dgm:spPr/>
      <dgm:t>
        <a:bodyPr/>
        <a:lstStyle/>
        <a:p>
          <a:endParaRPr lang="en-US"/>
        </a:p>
      </dgm:t>
    </dgm:pt>
    <dgm:pt modelId="{ED8B0EC7-B578-406D-BA07-607239E0DA25}">
      <dgm:prSet phldrT="[Text]"/>
      <dgm:spPr/>
      <dgm:t>
        <a:bodyPr/>
        <a:lstStyle/>
        <a:p>
          <a:endParaRPr lang="en-US"/>
        </a:p>
      </dgm:t>
    </dgm:pt>
    <dgm:pt modelId="{CB09776C-AEA3-4BB1-B673-519C1B3AC21B}" type="parTrans" cxnId="{6FF96046-738E-4865-8EA5-D1B3CBD4F1A7}">
      <dgm:prSet/>
      <dgm:spPr/>
      <dgm:t>
        <a:bodyPr/>
        <a:lstStyle/>
        <a:p>
          <a:endParaRPr lang="en-US"/>
        </a:p>
      </dgm:t>
    </dgm:pt>
    <dgm:pt modelId="{7694D44F-EC60-45BB-B865-E56EBCF02F32}" type="sibTrans" cxnId="{6FF96046-738E-4865-8EA5-D1B3CBD4F1A7}">
      <dgm:prSet/>
      <dgm:spPr/>
      <dgm:t>
        <a:bodyPr/>
        <a:lstStyle/>
        <a:p>
          <a:pPr algn="ctr"/>
          <a:endParaRPr lang="en-US"/>
        </a:p>
      </dgm:t>
    </dgm:pt>
    <dgm:pt modelId="{E00C60B0-3463-4A60-A5CB-C1E704E1D83F}">
      <dgm:prSet phldrT="[Text]"/>
      <dgm:spPr/>
      <dgm:t>
        <a:bodyPr/>
        <a:lstStyle/>
        <a:p>
          <a:r>
            <a:rPr lang="en-US"/>
            <a:t>Sutiyoso</a:t>
          </a:r>
        </a:p>
      </dgm:t>
    </dgm:pt>
    <dgm:pt modelId="{7E878226-B96B-4949-8DE3-2F1F81502A69}" type="parTrans" cxnId="{0BE55451-D1A3-44AE-A7EB-65BD06A6F770}">
      <dgm:prSet/>
      <dgm:spPr/>
      <dgm:t>
        <a:bodyPr/>
        <a:lstStyle/>
        <a:p>
          <a:endParaRPr lang="en-US"/>
        </a:p>
      </dgm:t>
    </dgm:pt>
    <dgm:pt modelId="{DFBDCAA6-80F2-4129-B5DA-CA89EA35EE4F}" type="sibTrans" cxnId="{0BE55451-D1A3-44AE-A7EB-65BD06A6F770}">
      <dgm:prSet/>
      <dgm:spPr/>
      <dgm:t>
        <a:bodyPr/>
        <a:lstStyle/>
        <a:p>
          <a:pPr algn="ctr"/>
          <a:r>
            <a:rPr lang="en-US"/>
            <a:t>SPV Plant Planner</a:t>
          </a:r>
        </a:p>
      </dgm:t>
    </dgm:pt>
    <dgm:pt modelId="{824B5040-A2E9-4CFD-A67F-FE03314EEE96}">
      <dgm:prSet/>
      <dgm:spPr/>
      <dgm:t>
        <a:bodyPr/>
        <a:lstStyle/>
        <a:p>
          <a:r>
            <a:rPr lang="en-US"/>
            <a:t>Linda Dewi Purnawasari</a:t>
          </a:r>
        </a:p>
      </dgm:t>
    </dgm:pt>
    <dgm:pt modelId="{AD3EFD35-47B3-4ECF-8C88-F944F8002F60}" type="parTrans" cxnId="{C4F48E3A-C6DA-4E5E-B4D1-F3933C8B290F}">
      <dgm:prSet/>
      <dgm:spPr/>
      <dgm:t>
        <a:bodyPr/>
        <a:lstStyle/>
        <a:p>
          <a:endParaRPr lang="en-US"/>
        </a:p>
      </dgm:t>
    </dgm:pt>
    <dgm:pt modelId="{82284318-93C7-4055-872E-B6A629D1A00D}" type="sibTrans" cxnId="{C4F48E3A-C6DA-4E5E-B4D1-F3933C8B290F}">
      <dgm:prSet/>
      <dgm:spPr/>
      <dgm:t>
        <a:bodyPr/>
        <a:lstStyle/>
        <a:p>
          <a:r>
            <a:rPr lang="en-US"/>
            <a:t>Jr. Foreman Plant</a:t>
          </a:r>
        </a:p>
      </dgm:t>
    </dgm:pt>
    <dgm:pt modelId="{9459E8F8-2850-4BE7-AD71-A42A0DC295C3}" type="pres">
      <dgm:prSet presAssocID="{6276ADF8-173F-4A8C-A451-7A594527696F}" presName="hierChild1" presStyleCnt="0">
        <dgm:presLayoutVars>
          <dgm:orgChart val="1"/>
          <dgm:chPref val="1"/>
          <dgm:dir val="rev"/>
          <dgm:animOne val="branch"/>
          <dgm:animLvl val="lvl"/>
          <dgm:resizeHandles/>
        </dgm:presLayoutVars>
      </dgm:prSet>
      <dgm:spPr/>
      <dgm:t>
        <a:bodyPr/>
        <a:lstStyle/>
        <a:p>
          <a:endParaRPr lang="en-US"/>
        </a:p>
      </dgm:t>
    </dgm:pt>
    <dgm:pt modelId="{9E789C6E-89BA-4B21-97B8-B68CE9D86712}" type="pres">
      <dgm:prSet presAssocID="{E2C80430-CAFB-4074-BF5B-234414788F58}" presName="hierRoot1" presStyleCnt="0">
        <dgm:presLayoutVars>
          <dgm:hierBranch val="r"/>
        </dgm:presLayoutVars>
      </dgm:prSet>
      <dgm:spPr/>
    </dgm:pt>
    <dgm:pt modelId="{CE50B994-2846-4757-B979-64E259663ED1}" type="pres">
      <dgm:prSet presAssocID="{E2C80430-CAFB-4074-BF5B-234414788F58}" presName="rootComposite1" presStyleCnt="0"/>
      <dgm:spPr/>
    </dgm:pt>
    <dgm:pt modelId="{2BE81D55-2435-4A5F-89BB-8067A8C4BA0B}" type="pres">
      <dgm:prSet presAssocID="{E2C80430-CAFB-4074-BF5B-234414788F58}" presName="rootText1" presStyleLbl="node0" presStyleIdx="0" presStyleCnt="1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2D38AED0-FDD7-4D93-B955-17809A09E5F2}" type="pres">
      <dgm:prSet presAssocID="{E2C80430-CAFB-4074-BF5B-234414788F58}" presName="titleText1" presStyleLbl="fgAcc0" presStyleIdx="0" presStyleCnt="1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B4B6B678-9572-4CEA-813F-0B7B0A14EC78}" type="pres">
      <dgm:prSet presAssocID="{E2C80430-CAFB-4074-BF5B-234414788F58}" presName="rootConnector1" presStyleLbl="node1" presStyleIdx="0" presStyleCnt="13"/>
      <dgm:spPr/>
      <dgm:t>
        <a:bodyPr/>
        <a:lstStyle/>
        <a:p>
          <a:endParaRPr lang="en-US"/>
        </a:p>
      </dgm:t>
    </dgm:pt>
    <dgm:pt modelId="{1C3D673D-B81B-46F2-BE88-16E2F03968EA}" type="pres">
      <dgm:prSet presAssocID="{E2C80430-CAFB-4074-BF5B-234414788F58}" presName="hierChild2" presStyleCnt="0"/>
      <dgm:spPr/>
    </dgm:pt>
    <dgm:pt modelId="{131851AB-6586-48F1-BDF5-6328020AE633}" type="pres">
      <dgm:prSet presAssocID="{A07B1F0C-578A-4A97-94B8-E77E596AA644}" presName="Name44" presStyleLbl="parChTrans1D2" presStyleIdx="0" presStyleCnt="5"/>
      <dgm:spPr/>
      <dgm:t>
        <a:bodyPr/>
        <a:lstStyle/>
        <a:p>
          <a:endParaRPr lang="en-US"/>
        </a:p>
      </dgm:t>
    </dgm:pt>
    <dgm:pt modelId="{8C00A5F2-72E4-4AA9-8BD2-808B05254CC5}" type="pres">
      <dgm:prSet presAssocID="{B4C6AD68-255E-44DB-A5C2-BE7F01B55A91}" presName="hierRoot2" presStyleCnt="0">
        <dgm:presLayoutVars>
          <dgm:hierBranch/>
        </dgm:presLayoutVars>
      </dgm:prSet>
      <dgm:spPr/>
    </dgm:pt>
    <dgm:pt modelId="{0E84E3D5-0CB9-4249-BE25-0EC94B0917C1}" type="pres">
      <dgm:prSet presAssocID="{B4C6AD68-255E-44DB-A5C2-BE7F01B55A91}" presName="rootComposite" presStyleCnt="0"/>
      <dgm:spPr/>
    </dgm:pt>
    <dgm:pt modelId="{C88648EC-DBBB-4652-A5F7-3E2B71BCDE7D}" type="pres">
      <dgm:prSet presAssocID="{B4C6AD68-255E-44DB-A5C2-BE7F01B55A91}" presName="rootText" presStyleLbl="node1" presStyleIdx="0" presStyleCnt="1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5D531E92-D250-41D9-9659-29214135F236}" type="pres">
      <dgm:prSet presAssocID="{B4C6AD68-255E-44DB-A5C2-BE7F01B55A91}" presName="titleText2" presStyleLbl="fgAcc1" presStyleIdx="0" presStyleCnt="1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27486609-88E0-4881-AE86-6C809DF40004}" type="pres">
      <dgm:prSet presAssocID="{B4C6AD68-255E-44DB-A5C2-BE7F01B55A91}" presName="rootConnector" presStyleLbl="node2" presStyleIdx="0" presStyleCnt="0"/>
      <dgm:spPr/>
      <dgm:t>
        <a:bodyPr/>
        <a:lstStyle/>
        <a:p>
          <a:endParaRPr lang="en-US"/>
        </a:p>
      </dgm:t>
    </dgm:pt>
    <dgm:pt modelId="{22528FD4-8F79-4506-8F89-B986B211711C}" type="pres">
      <dgm:prSet presAssocID="{B4C6AD68-255E-44DB-A5C2-BE7F01B55A91}" presName="hierChild4" presStyleCnt="0"/>
      <dgm:spPr/>
    </dgm:pt>
    <dgm:pt modelId="{B383173C-BF37-4B40-B777-21174A269D6A}" type="pres">
      <dgm:prSet presAssocID="{B4C6AD68-255E-44DB-A5C2-BE7F01B55A91}" presName="hierChild5" presStyleCnt="0"/>
      <dgm:spPr/>
    </dgm:pt>
    <dgm:pt modelId="{28E3F9FE-0878-42F8-ACEB-8CE194159344}" type="pres">
      <dgm:prSet presAssocID="{7E878226-B96B-4949-8DE3-2F1F81502A69}" presName="Name44" presStyleLbl="parChTrans1D2" presStyleIdx="1" presStyleCnt="5"/>
      <dgm:spPr/>
      <dgm:t>
        <a:bodyPr/>
        <a:lstStyle/>
        <a:p>
          <a:endParaRPr lang="en-US"/>
        </a:p>
      </dgm:t>
    </dgm:pt>
    <dgm:pt modelId="{D4F83ABA-B67C-46EF-ABCF-2D825264BB15}" type="pres">
      <dgm:prSet presAssocID="{E00C60B0-3463-4A60-A5CB-C1E704E1D83F}" presName="hierRoot2" presStyleCnt="0">
        <dgm:presLayoutVars>
          <dgm:hierBranch val="init"/>
        </dgm:presLayoutVars>
      </dgm:prSet>
      <dgm:spPr/>
    </dgm:pt>
    <dgm:pt modelId="{3F8FBE42-5135-44BE-B6B0-8B3C40890EF8}" type="pres">
      <dgm:prSet presAssocID="{E00C60B0-3463-4A60-A5CB-C1E704E1D83F}" presName="rootComposite" presStyleCnt="0"/>
      <dgm:spPr/>
    </dgm:pt>
    <dgm:pt modelId="{A8B43B62-52AE-4A3A-B209-F84B3B95ADCF}" type="pres">
      <dgm:prSet presAssocID="{E00C60B0-3463-4A60-A5CB-C1E704E1D83F}" presName="rootText" presStyleLbl="node1" presStyleIdx="1" presStyleCnt="1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4FD04EB9-A064-46E5-B9DE-4D0E6061A2AB}" type="pres">
      <dgm:prSet presAssocID="{E00C60B0-3463-4A60-A5CB-C1E704E1D83F}" presName="titleText2" presStyleLbl="fgAcc1" presStyleIdx="1" presStyleCnt="13" custLinFactNeighborX="4441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33A9B8E3-109C-4D3F-82AD-0D4ACE92A157}" type="pres">
      <dgm:prSet presAssocID="{E00C60B0-3463-4A60-A5CB-C1E704E1D83F}" presName="rootConnector" presStyleLbl="node2" presStyleIdx="0" presStyleCnt="0"/>
      <dgm:spPr/>
      <dgm:t>
        <a:bodyPr/>
        <a:lstStyle/>
        <a:p>
          <a:endParaRPr lang="en-US"/>
        </a:p>
      </dgm:t>
    </dgm:pt>
    <dgm:pt modelId="{831BDC8E-9882-4842-8E3F-24622D0E75DF}" type="pres">
      <dgm:prSet presAssocID="{E00C60B0-3463-4A60-A5CB-C1E704E1D83F}" presName="hierChild4" presStyleCnt="0"/>
      <dgm:spPr/>
    </dgm:pt>
    <dgm:pt modelId="{40289B39-128C-4B15-9A54-8BDB48F4201A}" type="pres">
      <dgm:prSet presAssocID="{AD3EFD35-47B3-4ECF-8C88-F944F8002F60}" presName="Name37" presStyleLbl="parChTrans1D3" presStyleIdx="0" presStyleCnt="4"/>
      <dgm:spPr/>
      <dgm:t>
        <a:bodyPr/>
        <a:lstStyle/>
        <a:p>
          <a:endParaRPr lang="en-US"/>
        </a:p>
      </dgm:t>
    </dgm:pt>
    <dgm:pt modelId="{05B45903-B5C3-409F-AF3C-FF6DB3E2C039}" type="pres">
      <dgm:prSet presAssocID="{824B5040-A2E9-4CFD-A67F-FE03314EEE96}" presName="hierRoot2" presStyleCnt="0">
        <dgm:presLayoutVars>
          <dgm:hierBranch val="init"/>
        </dgm:presLayoutVars>
      </dgm:prSet>
      <dgm:spPr/>
    </dgm:pt>
    <dgm:pt modelId="{8DB509E7-0513-4728-84F0-FD7885FB7E23}" type="pres">
      <dgm:prSet presAssocID="{824B5040-A2E9-4CFD-A67F-FE03314EEE96}" presName="rootComposite" presStyleCnt="0"/>
      <dgm:spPr/>
    </dgm:pt>
    <dgm:pt modelId="{B8641FC7-5D34-4E03-A0ED-676983DBA659}" type="pres">
      <dgm:prSet presAssocID="{824B5040-A2E9-4CFD-A67F-FE03314EEE96}" presName="rootText" presStyleLbl="node1" presStyleIdx="2" presStyleCnt="1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D8E6EF67-2399-46CF-83BA-AEB95FCCFFF6}" type="pres">
      <dgm:prSet presAssocID="{824B5040-A2E9-4CFD-A67F-FE03314EEE96}" presName="titleText2" presStyleLbl="fgAcc1" presStyleIdx="2" presStyleCnt="1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E1D7B775-847B-4917-91A3-ADBB39505CD6}" type="pres">
      <dgm:prSet presAssocID="{824B5040-A2E9-4CFD-A67F-FE03314EEE96}" presName="rootConnector" presStyleLbl="node3" presStyleIdx="0" presStyleCnt="0"/>
      <dgm:spPr/>
      <dgm:t>
        <a:bodyPr/>
        <a:lstStyle/>
        <a:p>
          <a:endParaRPr lang="en-US"/>
        </a:p>
      </dgm:t>
    </dgm:pt>
    <dgm:pt modelId="{9673AF8E-DF47-4FC7-BBD4-58C6CD24CE39}" type="pres">
      <dgm:prSet presAssocID="{824B5040-A2E9-4CFD-A67F-FE03314EEE96}" presName="hierChild4" presStyleCnt="0"/>
      <dgm:spPr/>
    </dgm:pt>
    <dgm:pt modelId="{75693A1F-2D2C-4759-8674-C6341318C963}" type="pres">
      <dgm:prSet presAssocID="{824B5040-A2E9-4CFD-A67F-FE03314EEE96}" presName="hierChild5" presStyleCnt="0"/>
      <dgm:spPr/>
    </dgm:pt>
    <dgm:pt modelId="{2DA2F8A1-2490-413F-A3B1-1AFE29EEA4D0}" type="pres">
      <dgm:prSet presAssocID="{E00C60B0-3463-4A60-A5CB-C1E704E1D83F}" presName="hierChild5" presStyleCnt="0"/>
      <dgm:spPr/>
    </dgm:pt>
    <dgm:pt modelId="{E1249BE2-81FA-40A0-82E4-553C81AD54C1}" type="pres">
      <dgm:prSet presAssocID="{CB09776C-AEA3-4BB1-B673-519C1B3AC21B}" presName="Name44" presStyleLbl="parChTrans1D2" presStyleIdx="2" presStyleCnt="5"/>
      <dgm:spPr/>
      <dgm:t>
        <a:bodyPr/>
        <a:lstStyle/>
        <a:p>
          <a:endParaRPr lang="en-US"/>
        </a:p>
      </dgm:t>
    </dgm:pt>
    <dgm:pt modelId="{46C8F3A2-ABE0-435B-921E-E35C62D6FAE5}" type="pres">
      <dgm:prSet presAssocID="{ED8B0EC7-B578-406D-BA07-607239E0DA25}" presName="hierRoot2" presStyleCnt="0">
        <dgm:presLayoutVars>
          <dgm:hierBranch val="init"/>
        </dgm:presLayoutVars>
      </dgm:prSet>
      <dgm:spPr/>
    </dgm:pt>
    <dgm:pt modelId="{2BB02DBA-85A7-4227-8FC5-2567AAA92D3C}" type="pres">
      <dgm:prSet presAssocID="{ED8B0EC7-B578-406D-BA07-607239E0DA25}" presName="rootComposite" presStyleCnt="0"/>
      <dgm:spPr/>
    </dgm:pt>
    <dgm:pt modelId="{2852F00B-2AAF-47A9-AC2C-6FA0FCC8437F}" type="pres">
      <dgm:prSet presAssocID="{ED8B0EC7-B578-406D-BA07-607239E0DA25}" presName="rootText" presStyleLbl="node1" presStyleIdx="3" presStyleCnt="1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D72300CF-93FA-4841-9EFC-04F850F16524}" type="pres">
      <dgm:prSet presAssocID="{ED8B0EC7-B578-406D-BA07-607239E0DA25}" presName="titleText2" presStyleLbl="fgAcc1" presStyleIdx="3" presStyleCnt="13" custLinFactNeighborX="4441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49CF801B-60BF-4483-B5E7-2ABC5AE9FA79}" type="pres">
      <dgm:prSet presAssocID="{ED8B0EC7-B578-406D-BA07-607239E0DA25}" presName="rootConnector" presStyleLbl="node2" presStyleIdx="0" presStyleCnt="0"/>
      <dgm:spPr/>
      <dgm:t>
        <a:bodyPr/>
        <a:lstStyle/>
        <a:p>
          <a:endParaRPr lang="en-US"/>
        </a:p>
      </dgm:t>
    </dgm:pt>
    <dgm:pt modelId="{37A5C393-C1CB-4EE5-B878-66A8A1F7DF01}" type="pres">
      <dgm:prSet presAssocID="{ED8B0EC7-B578-406D-BA07-607239E0DA25}" presName="hierChild4" presStyleCnt="0"/>
      <dgm:spPr/>
    </dgm:pt>
    <dgm:pt modelId="{DD55262A-BE14-4D59-9DD7-C5AFBB5CBA8D}" type="pres">
      <dgm:prSet presAssocID="{2F873CA1-9A74-4093-9821-5EDFEB134E77}" presName="Name37" presStyleLbl="parChTrans1D3" presStyleIdx="1" presStyleCnt="4"/>
      <dgm:spPr/>
      <dgm:t>
        <a:bodyPr/>
        <a:lstStyle/>
        <a:p>
          <a:endParaRPr lang="en-US"/>
        </a:p>
      </dgm:t>
    </dgm:pt>
    <dgm:pt modelId="{8EC52EE4-826E-4037-8FF0-7D23C1C99703}" type="pres">
      <dgm:prSet presAssocID="{4EBCB64A-D801-475F-9706-F4A88EFB2AD7}" presName="hierRoot2" presStyleCnt="0">
        <dgm:presLayoutVars>
          <dgm:hierBranch val="init"/>
        </dgm:presLayoutVars>
      </dgm:prSet>
      <dgm:spPr/>
    </dgm:pt>
    <dgm:pt modelId="{57F2D19B-78EA-4275-A231-6E5A393882B9}" type="pres">
      <dgm:prSet presAssocID="{4EBCB64A-D801-475F-9706-F4A88EFB2AD7}" presName="rootComposite" presStyleCnt="0"/>
      <dgm:spPr/>
    </dgm:pt>
    <dgm:pt modelId="{FD0C5D81-CCB2-475B-8255-41B5C31A5902}" type="pres">
      <dgm:prSet presAssocID="{4EBCB64A-D801-475F-9706-F4A88EFB2AD7}" presName="rootText" presStyleLbl="node1" presStyleIdx="4" presStyleCnt="1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E6C0AE3E-B300-40CF-A28D-EA33BE7F56B8}" type="pres">
      <dgm:prSet presAssocID="{4EBCB64A-D801-475F-9706-F4A88EFB2AD7}" presName="titleText2" presStyleLbl="fgAcc1" presStyleIdx="4" presStyleCnt="1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4586042C-DAA6-4056-8A45-E21C82F8BF88}" type="pres">
      <dgm:prSet presAssocID="{4EBCB64A-D801-475F-9706-F4A88EFB2AD7}" presName="rootConnector" presStyleLbl="node3" presStyleIdx="0" presStyleCnt="0"/>
      <dgm:spPr/>
      <dgm:t>
        <a:bodyPr/>
        <a:lstStyle/>
        <a:p>
          <a:endParaRPr lang="en-US"/>
        </a:p>
      </dgm:t>
    </dgm:pt>
    <dgm:pt modelId="{778B59F7-073B-4EC9-BE2C-232A0FCDB690}" type="pres">
      <dgm:prSet presAssocID="{4EBCB64A-D801-475F-9706-F4A88EFB2AD7}" presName="hierChild4" presStyleCnt="0"/>
      <dgm:spPr/>
    </dgm:pt>
    <dgm:pt modelId="{6A2721E3-29CC-4589-8CFD-A6BD8506F2BF}" type="pres">
      <dgm:prSet presAssocID="{48A3CCF1-D474-4223-9E94-3C8C84F56F33}" presName="Name37" presStyleLbl="parChTrans1D4" presStyleIdx="0" presStyleCnt="4"/>
      <dgm:spPr/>
      <dgm:t>
        <a:bodyPr/>
        <a:lstStyle/>
        <a:p>
          <a:endParaRPr lang="en-US"/>
        </a:p>
      </dgm:t>
    </dgm:pt>
    <dgm:pt modelId="{7BAE4336-8CDE-4267-B0E9-8C2295A4A420}" type="pres">
      <dgm:prSet presAssocID="{C67CF62E-659B-4732-A1B8-BC347BF87BAE}" presName="hierRoot2" presStyleCnt="0">
        <dgm:presLayoutVars>
          <dgm:hierBranch val="init"/>
        </dgm:presLayoutVars>
      </dgm:prSet>
      <dgm:spPr/>
    </dgm:pt>
    <dgm:pt modelId="{56C8F173-EBC8-4003-B6EC-79741AAD1462}" type="pres">
      <dgm:prSet presAssocID="{C67CF62E-659B-4732-A1B8-BC347BF87BAE}" presName="rootComposite" presStyleCnt="0"/>
      <dgm:spPr/>
    </dgm:pt>
    <dgm:pt modelId="{3C8DC605-3B70-45C4-A050-2FB52FAB7508}" type="pres">
      <dgm:prSet presAssocID="{C67CF62E-659B-4732-A1B8-BC347BF87BAE}" presName="rootText" presStyleLbl="node1" presStyleIdx="5" presStyleCnt="1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A5459433-2894-4E19-BD2F-18AB60D7F359}" type="pres">
      <dgm:prSet presAssocID="{C67CF62E-659B-4732-A1B8-BC347BF87BAE}" presName="titleText2" presStyleLbl="fgAcc1" presStyleIdx="5" presStyleCnt="1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7E8D3AB4-B686-4E74-90EB-655311CEF4FF}" type="pres">
      <dgm:prSet presAssocID="{C67CF62E-659B-4732-A1B8-BC347BF87BAE}" presName="rootConnector" presStyleLbl="node4" presStyleIdx="0" presStyleCnt="0"/>
      <dgm:spPr/>
      <dgm:t>
        <a:bodyPr/>
        <a:lstStyle/>
        <a:p>
          <a:endParaRPr lang="en-US"/>
        </a:p>
      </dgm:t>
    </dgm:pt>
    <dgm:pt modelId="{4E351C1F-60E6-4A59-B678-D7D080059287}" type="pres">
      <dgm:prSet presAssocID="{C67CF62E-659B-4732-A1B8-BC347BF87BAE}" presName="hierChild4" presStyleCnt="0"/>
      <dgm:spPr/>
    </dgm:pt>
    <dgm:pt modelId="{A985C0F0-ACDE-4649-9326-568D38748C91}" type="pres">
      <dgm:prSet presAssocID="{C67CF62E-659B-4732-A1B8-BC347BF87BAE}" presName="hierChild5" presStyleCnt="0"/>
      <dgm:spPr/>
    </dgm:pt>
    <dgm:pt modelId="{18AC8500-64C7-4187-885A-7EDE57D976F7}" type="pres">
      <dgm:prSet presAssocID="{EABFED4F-717E-4287-B0CA-F3203113002C}" presName="Name37" presStyleLbl="parChTrans1D4" presStyleIdx="1" presStyleCnt="4"/>
      <dgm:spPr/>
      <dgm:t>
        <a:bodyPr/>
        <a:lstStyle/>
        <a:p>
          <a:endParaRPr lang="en-US"/>
        </a:p>
      </dgm:t>
    </dgm:pt>
    <dgm:pt modelId="{9AE05872-145F-4B6E-B2D1-C151E0E5097F}" type="pres">
      <dgm:prSet presAssocID="{FBFB7AA1-5EC2-4EFC-9B04-76CA03F8CD66}" presName="hierRoot2" presStyleCnt="0">
        <dgm:presLayoutVars>
          <dgm:hierBranch val="init"/>
        </dgm:presLayoutVars>
      </dgm:prSet>
      <dgm:spPr/>
    </dgm:pt>
    <dgm:pt modelId="{FF41DFF8-FBA7-44C9-BD68-4E29072ED0CE}" type="pres">
      <dgm:prSet presAssocID="{FBFB7AA1-5EC2-4EFC-9B04-76CA03F8CD66}" presName="rootComposite" presStyleCnt="0"/>
      <dgm:spPr/>
    </dgm:pt>
    <dgm:pt modelId="{F6EF556E-E0DB-4C83-B786-17AF38D7C739}" type="pres">
      <dgm:prSet presAssocID="{FBFB7AA1-5EC2-4EFC-9B04-76CA03F8CD66}" presName="rootText" presStyleLbl="node1" presStyleIdx="6" presStyleCnt="1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B7029FA1-DD6A-437E-9FB6-1E239C50A141}" type="pres">
      <dgm:prSet presAssocID="{FBFB7AA1-5EC2-4EFC-9B04-76CA03F8CD66}" presName="titleText2" presStyleLbl="fgAcc1" presStyleIdx="6" presStyleCnt="1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C36FCFA2-003B-4BF1-81A1-7B4B793290BF}" type="pres">
      <dgm:prSet presAssocID="{FBFB7AA1-5EC2-4EFC-9B04-76CA03F8CD66}" presName="rootConnector" presStyleLbl="node4" presStyleIdx="0" presStyleCnt="0"/>
      <dgm:spPr/>
      <dgm:t>
        <a:bodyPr/>
        <a:lstStyle/>
        <a:p>
          <a:endParaRPr lang="en-US"/>
        </a:p>
      </dgm:t>
    </dgm:pt>
    <dgm:pt modelId="{5FE78E29-54A3-4452-A121-8A522DFF0011}" type="pres">
      <dgm:prSet presAssocID="{FBFB7AA1-5EC2-4EFC-9B04-76CA03F8CD66}" presName="hierChild4" presStyleCnt="0"/>
      <dgm:spPr/>
    </dgm:pt>
    <dgm:pt modelId="{36987EE5-6C19-405E-BAFA-1CF5EFB3EBF7}" type="pres">
      <dgm:prSet presAssocID="{FBFB7AA1-5EC2-4EFC-9B04-76CA03F8CD66}" presName="hierChild5" presStyleCnt="0"/>
      <dgm:spPr/>
    </dgm:pt>
    <dgm:pt modelId="{AD6C957D-066A-4092-8E9A-4AF23C3B57BA}" type="pres">
      <dgm:prSet presAssocID="{4EBCB64A-D801-475F-9706-F4A88EFB2AD7}" presName="hierChild5" presStyleCnt="0"/>
      <dgm:spPr/>
    </dgm:pt>
    <dgm:pt modelId="{3F4CF33A-7AD2-40E9-8823-3395E8DB45A1}" type="pres">
      <dgm:prSet presAssocID="{3FD41B99-4720-4958-8412-658CE64FE1D0}" presName="Name37" presStyleLbl="parChTrans1D3" presStyleIdx="2" presStyleCnt="4"/>
      <dgm:spPr/>
      <dgm:t>
        <a:bodyPr/>
        <a:lstStyle/>
        <a:p>
          <a:endParaRPr lang="en-US"/>
        </a:p>
      </dgm:t>
    </dgm:pt>
    <dgm:pt modelId="{1973F20E-1714-4D26-8F6C-E48DD2BF4F15}" type="pres">
      <dgm:prSet presAssocID="{12E27EAF-6D28-42E4-98BF-413BF50AB904}" presName="hierRoot2" presStyleCnt="0">
        <dgm:presLayoutVars>
          <dgm:hierBranch val="init"/>
        </dgm:presLayoutVars>
      </dgm:prSet>
      <dgm:spPr/>
    </dgm:pt>
    <dgm:pt modelId="{CEE70A00-1762-4D84-9665-0BF7732DA4E3}" type="pres">
      <dgm:prSet presAssocID="{12E27EAF-6D28-42E4-98BF-413BF50AB904}" presName="rootComposite" presStyleCnt="0"/>
      <dgm:spPr/>
    </dgm:pt>
    <dgm:pt modelId="{B78D8A1E-5181-4805-A3E6-FDAE5D611303}" type="pres">
      <dgm:prSet presAssocID="{12E27EAF-6D28-42E4-98BF-413BF50AB904}" presName="rootText" presStyleLbl="node1" presStyleIdx="7" presStyleCnt="1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BFD9636B-3A0B-4843-9A09-1BB983AFDBC6}" type="pres">
      <dgm:prSet presAssocID="{12E27EAF-6D28-42E4-98BF-413BF50AB904}" presName="titleText2" presStyleLbl="fgAcc1" presStyleIdx="7" presStyleCnt="13" custLinFactNeighborX="4441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3E254A32-67BC-448E-BE73-4F8AC86C4AB3}" type="pres">
      <dgm:prSet presAssocID="{12E27EAF-6D28-42E4-98BF-413BF50AB904}" presName="rootConnector" presStyleLbl="node3" presStyleIdx="0" presStyleCnt="0"/>
      <dgm:spPr/>
      <dgm:t>
        <a:bodyPr/>
        <a:lstStyle/>
        <a:p>
          <a:endParaRPr lang="en-US"/>
        </a:p>
      </dgm:t>
    </dgm:pt>
    <dgm:pt modelId="{55D7C58D-6F22-4EE1-97AF-782A4E7C5820}" type="pres">
      <dgm:prSet presAssocID="{12E27EAF-6D28-42E4-98BF-413BF50AB904}" presName="hierChild4" presStyleCnt="0"/>
      <dgm:spPr/>
    </dgm:pt>
    <dgm:pt modelId="{79F41A8D-CD3C-4D07-916F-94507A32A9F2}" type="pres">
      <dgm:prSet presAssocID="{12E27EAF-6D28-42E4-98BF-413BF50AB904}" presName="hierChild5" presStyleCnt="0"/>
      <dgm:spPr/>
    </dgm:pt>
    <dgm:pt modelId="{8F626422-2FC6-499D-BFC5-DB727EB9655C}" type="pres">
      <dgm:prSet presAssocID="{0E91CDD2-94A9-4442-8924-8181EFF686FD}" presName="Name37" presStyleLbl="parChTrans1D3" presStyleIdx="3" presStyleCnt="4"/>
      <dgm:spPr/>
      <dgm:t>
        <a:bodyPr/>
        <a:lstStyle/>
        <a:p>
          <a:endParaRPr lang="en-US"/>
        </a:p>
      </dgm:t>
    </dgm:pt>
    <dgm:pt modelId="{359BEF19-E76D-49EC-A53A-87FF3B056DBC}" type="pres">
      <dgm:prSet presAssocID="{882958D2-5A0A-401D-9F15-57321B107DFD}" presName="hierRoot2" presStyleCnt="0">
        <dgm:presLayoutVars>
          <dgm:hierBranch val="init"/>
        </dgm:presLayoutVars>
      </dgm:prSet>
      <dgm:spPr/>
    </dgm:pt>
    <dgm:pt modelId="{704CFAFE-1580-42AA-9A35-732F57AE0923}" type="pres">
      <dgm:prSet presAssocID="{882958D2-5A0A-401D-9F15-57321B107DFD}" presName="rootComposite" presStyleCnt="0"/>
      <dgm:spPr/>
    </dgm:pt>
    <dgm:pt modelId="{05476FC0-3C66-45B4-8207-01A164687DF9}" type="pres">
      <dgm:prSet presAssocID="{882958D2-5A0A-401D-9F15-57321B107DFD}" presName="rootText" presStyleLbl="node1" presStyleIdx="8" presStyleCnt="1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27E0D48A-04C2-46B8-8F71-F09C86F96399}" type="pres">
      <dgm:prSet presAssocID="{882958D2-5A0A-401D-9F15-57321B107DFD}" presName="titleText2" presStyleLbl="fgAcc1" presStyleIdx="8" presStyleCnt="1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6B3885F9-F943-4DC7-B0C2-28169F7DAAE1}" type="pres">
      <dgm:prSet presAssocID="{882958D2-5A0A-401D-9F15-57321B107DFD}" presName="rootConnector" presStyleLbl="node3" presStyleIdx="0" presStyleCnt="0"/>
      <dgm:spPr/>
      <dgm:t>
        <a:bodyPr/>
        <a:lstStyle/>
        <a:p>
          <a:endParaRPr lang="en-US"/>
        </a:p>
      </dgm:t>
    </dgm:pt>
    <dgm:pt modelId="{EC1ED916-1D90-499D-8C77-62944F8D2F93}" type="pres">
      <dgm:prSet presAssocID="{882958D2-5A0A-401D-9F15-57321B107DFD}" presName="hierChild4" presStyleCnt="0"/>
      <dgm:spPr/>
    </dgm:pt>
    <dgm:pt modelId="{A1025FAB-5DFB-42D6-96B2-29AB22945F6D}" type="pres">
      <dgm:prSet presAssocID="{BC39C9E8-E9FE-4525-8BAF-21E32FB741C0}" presName="Name37" presStyleLbl="parChTrans1D4" presStyleIdx="2" presStyleCnt="4"/>
      <dgm:spPr/>
      <dgm:t>
        <a:bodyPr/>
        <a:lstStyle/>
        <a:p>
          <a:endParaRPr lang="en-US"/>
        </a:p>
      </dgm:t>
    </dgm:pt>
    <dgm:pt modelId="{EB7E330E-EAF6-4702-B407-1D1A0C63EAA1}" type="pres">
      <dgm:prSet presAssocID="{73A975DC-57F9-424C-8634-99AC9D536B1C}" presName="hierRoot2" presStyleCnt="0">
        <dgm:presLayoutVars>
          <dgm:hierBranch val="init"/>
        </dgm:presLayoutVars>
      </dgm:prSet>
      <dgm:spPr/>
    </dgm:pt>
    <dgm:pt modelId="{04D6D7D7-AEF3-46DD-8A4C-4F93201DF427}" type="pres">
      <dgm:prSet presAssocID="{73A975DC-57F9-424C-8634-99AC9D536B1C}" presName="rootComposite" presStyleCnt="0"/>
      <dgm:spPr/>
    </dgm:pt>
    <dgm:pt modelId="{191D4031-89C9-445B-950F-2AEF89F8C179}" type="pres">
      <dgm:prSet presAssocID="{73A975DC-57F9-424C-8634-99AC9D536B1C}" presName="rootText" presStyleLbl="node1" presStyleIdx="9" presStyleCnt="1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1CD47437-6802-4D17-A52A-5E4CEE7F854A}" type="pres">
      <dgm:prSet presAssocID="{73A975DC-57F9-424C-8634-99AC9D536B1C}" presName="titleText2" presStyleLbl="fgAcc1" presStyleIdx="9" presStyleCnt="1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0A089B8D-F96E-4432-A5BB-15938E8A5C5A}" type="pres">
      <dgm:prSet presAssocID="{73A975DC-57F9-424C-8634-99AC9D536B1C}" presName="rootConnector" presStyleLbl="node4" presStyleIdx="0" presStyleCnt="0"/>
      <dgm:spPr/>
      <dgm:t>
        <a:bodyPr/>
        <a:lstStyle/>
        <a:p>
          <a:endParaRPr lang="en-US"/>
        </a:p>
      </dgm:t>
    </dgm:pt>
    <dgm:pt modelId="{2AB58438-0C73-48D7-920F-E31AAACB1CEE}" type="pres">
      <dgm:prSet presAssocID="{73A975DC-57F9-424C-8634-99AC9D536B1C}" presName="hierChild4" presStyleCnt="0"/>
      <dgm:spPr/>
    </dgm:pt>
    <dgm:pt modelId="{83E3C6B3-7D5F-420D-9E6F-60F1E6561006}" type="pres">
      <dgm:prSet presAssocID="{73A975DC-57F9-424C-8634-99AC9D536B1C}" presName="hierChild5" presStyleCnt="0"/>
      <dgm:spPr/>
    </dgm:pt>
    <dgm:pt modelId="{C7EDBCAF-DE9F-4DD7-9D14-EF266E4E4A1D}" type="pres">
      <dgm:prSet presAssocID="{0323DDCD-CD57-448D-A4BA-E3E753989403}" presName="Name37" presStyleLbl="parChTrans1D4" presStyleIdx="3" presStyleCnt="4"/>
      <dgm:spPr/>
      <dgm:t>
        <a:bodyPr/>
        <a:lstStyle/>
        <a:p>
          <a:endParaRPr lang="en-US"/>
        </a:p>
      </dgm:t>
    </dgm:pt>
    <dgm:pt modelId="{7C1CEA51-95A8-48A7-8D93-719621C7E3CE}" type="pres">
      <dgm:prSet presAssocID="{83BC36A2-9A92-4DEC-B63A-A616C72B034F}" presName="hierRoot2" presStyleCnt="0">
        <dgm:presLayoutVars>
          <dgm:hierBranch val="init"/>
        </dgm:presLayoutVars>
      </dgm:prSet>
      <dgm:spPr/>
    </dgm:pt>
    <dgm:pt modelId="{33E3CCA0-CD58-49B0-841C-DC666955E5F4}" type="pres">
      <dgm:prSet presAssocID="{83BC36A2-9A92-4DEC-B63A-A616C72B034F}" presName="rootComposite" presStyleCnt="0"/>
      <dgm:spPr/>
    </dgm:pt>
    <dgm:pt modelId="{74EDF0C9-60F4-46F4-A2B4-D60688E47BF8}" type="pres">
      <dgm:prSet presAssocID="{83BC36A2-9A92-4DEC-B63A-A616C72B034F}" presName="rootText" presStyleLbl="node1" presStyleIdx="10" presStyleCnt="1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2D71E230-7E83-4BB2-B894-13C6329FBF86}" type="pres">
      <dgm:prSet presAssocID="{83BC36A2-9A92-4DEC-B63A-A616C72B034F}" presName="titleText2" presStyleLbl="fgAcc1" presStyleIdx="10" presStyleCnt="1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35B71BDB-1835-49A7-887E-33882C4000A0}" type="pres">
      <dgm:prSet presAssocID="{83BC36A2-9A92-4DEC-B63A-A616C72B034F}" presName="rootConnector" presStyleLbl="node4" presStyleIdx="0" presStyleCnt="0"/>
      <dgm:spPr/>
      <dgm:t>
        <a:bodyPr/>
        <a:lstStyle/>
        <a:p>
          <a:endParaRPr lang="en-US"/>
        </a:p>
      </dgm:t>
    </dgm:pt>
    <dgm:pt modelId="{11E3F1F6-D749-4C66-8F58-1B28B3A45E7E}" type="pres">
      <dgm:prSet presAssocID="{83BC36A2-9A92-4DEC-B63A-A616C72B034F}" presName="hierChild4" presStyleCnt="0"/>
      <dgm:spPr/>
    </dgm:pt>
    <dgm:pt modelId="{BAF9E7B3-A9C7-4B8A-875E-AD6E60DCEE15}" type="pres">
      <dgm:prSet presAssocID="{83BC36A2-9A92-4DEC-B63A-A616C72B034F}" presName="hierChild5" presStyleCnt="0"/>
      <dgm:spPr/>
    </dgm:pt>
    <dgm:pt modelId="{9452EE61-C244-4F77-A656-7BF3A7CF5E00}" type="pres">
      <dgm:prSet presAssocID="{882958D2-5A0A-401D-9F15-57321B107DFD}" presName="hierChild5" presStyleCnt="0"/>
      <dgm:spPr/>
    </dgm:pt>
    <dgm:pt modelId="{03861FB5-B35D-4632-A72C-6BA8D8075ACE}" type="pres">
      <dgm:prSet presAssocID="{ED8B0EC7-B578-406D-BA07-607239E0DA25}" presName="hierChild5" presStyleCnt="0"/>
      <dgm:spPr/>
    </dgm:pt>
    <dgm:pt modelId="{861BDBCB-B15D-415B-A3BE-DE336944052A}" type="pres">
      <dgm:prSet presAssocID="{42B065CA-8F11-45E6-A3BB-F653034FF456}" presName="Name44" presStyleLbl="parChTrans1D2" presStyleIdx="3" presStyleCnt="5"/>
      <dgm:spPr/>
      <dgm:t>
        <a:bodyPr/>
        <a:lstStyle/>
        <a:p>
          <a:endParaRPr lang="en-US"/>
        </a:p>
      </dgm:t>
    </dgm:pt>
    <dgm:pt modelId="{31E2FE59-8604-4C16-A478-160633A50FD9}" type="pres">
      <dgm:prSet presAssocID="{ABFC6FAD-43D6-4539-8F4C-7BF5F4056674}" presName="hierRoot2" presStyleCnt="0">
        <dgm:presLayoutVars>
          <dgm:hierBranch val="init"/>
        </dgm:presLayoutVars>
      </dgm:prSet>
      <dgm:spPr/>
    </dgm:pt>
    <dgm:pt modelId="{543F8176-7E54-481C-863E-5DD3AAA44FB3}" type="pres">
      <dgm:prSet presAssocID="{ABFC6FAD-43D6-4539-8F4C-7BF5F4056674}" presName="rootComposite" presStyleCnt="0"/>
      <dgm:spPr/>
    </dgm:pt>
    <dgm:pt modelId="{E816C345-C4C5-4ACF-8C08-2FC4FF6B69CE}" type="pres">
      <dgm:prSet presAssocID="{ABFC6FAD-43D6-4539-8F4C-7BF5F4056674}" presName="rootText" presStyleLbl="node1" presStyleIdx="11" presStyleCnt="1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9D2595C8-2748-4CF8-9576-CC4930E7AD13}" type="pres">
      <dgm:prSet presAssocID="{ABFC6FAD-43D6-4539-8F4C-7BF5F4056674}" presName="titleText2" presStyleLbl="fgAcc1" presStyleIdx="11" presStyleCnt="13" custLinFactNeighborX="4441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8CC714CE-C5B3-4DDA-BE1F-91DAC2CF2555}" type="pres">
      <dgm:prSet presAssocID="{ABFC6FAD-43D6-4539-8F4C-7BF5F4056674}" presName="rootConnector" presStyleLbl="node2" presStyleIdx="0" presStyleCnt="0"/>
      <dgm:spPr/>
      <dgm:t>
        <a:bodyPr/>
        <a:lstStyle/>
        <a:p>
          <a:endParaRPr lang="en-US"/>
        </a:p>
      </dgm:t>
    </dgm:pt>
    <dgm:pt modelId="{6AFE5C8D-E9E9-4B15-992B-8BCF1CA2F89A}" type="pres">
      <dgm:prSet presAssocID="{ABFC6FAD-43D6-4539-8F4C-7BF5F4056674}" presName="hierChild4" presStyleCnt="0"/>
      <dgm:spPr/>
    </dgm:pt>
    <dgm:pt modelId="{5BFBCAC9-AFA0-4FBC-AAB9-F0293883C81F}" type="pres">
      <dgm:prSet presAssocID="{ABFC6FAD-43D6-4539-8F4C-7BF5F4056674}" presName="hierChild5" presStyleCnt="0"/>
      <dgm:spPr/>
    </dgm:pt>
    <dgm:pt modelId="{B90B3CD9-EBCF-4865-97F9-75D0A9DE6FA6}" type="pres">
      <dgm:prSet presAssocID="{84C70CA9-BEE3-48C5-A271-369672D4B1FD}" presName="Name44" presStyleLbl="parChTrans1D2" presStyleIdx="4" presStyleCnt="5"/>
      <dgm:spPr/>
      <dgm:t>
        <a:bodyPr/>
        <a:lstStyle/>
        <a:p>
          <a:endParaRPr lang="en-US"/>
        </a:p>
      </dgm:t>
    </dgm:pt>
    <dgm:pt modelId="{8A86981F-F520-4B21-8309-0C344BC6A6CB}" type="pres">
      <dgm:prSet presAssocID="{1E4D5BD6-3349-455A-AFA9-084D28DF97EF}" presName="hierRoot2" presStyleCnt="0">
        <dgm:presLayoutVars>
          <dgm:hierBranch val="init"/>
        </dgm:presLayoutVars>
      </dgm:prSet>
      <dgm:spPr/>
    </dgm:pt>
    <dgm:pt modelId="{F1111F81-9D32-45AF-977C-1F5D9250266A}" type="pres">
      <dgm:prSet presAssocID="{1E4D5BD6-3349-455A-AFA9-084D28DF97EF}" presName="rootComposite" presStyleCnt="0"/>
      <dgm:spPr/>
    </dgm:pt>
    <dgm:pt modelId="{08CFFBF0-0751-4CF5-9A0F-7BB23D978F54}" type="pres">
      <dgm:prSet presAssocID="{1E4D5BD6-3349-455A-AFA9-084D28DF97EF}" presName="rootText" presStyleLbl="node1" presStyleIdx="12" presStyleCnt="1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B5E42238-499F-4627-9235-518AC5E7A178}" type="pres">
      <dgm:prSet presAssocID="{1E4D5BD6-3349-455A-AFA9-084D28DF97EF}" presName="titleText2" presStyleLbl="fgAcc1" presStyleIdx="12" presStyleCnt="13" custLinFactNeighborX="4441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82B6832F-5470-4A24-8C70-D3C18BD40FFA}" type="pres">
      <dgm:prSet presAssocID="{1E4D5BD6-3349-455A-AFA9-084D28DF97EF}" presName="rootConnector" presStyleLbl="node2" presStyleIdx="0" presStyleCnt="0"/>
      <dgm:spPr/>
      <dgm:t>
        <a:bodyPr/>
        <a:lstStyle/>
        <a:p>
          <a:endParaRPr lang="en-US"/>
        </a:p>
      </dgm:t>
    </dgm:pt>
    <dgm:pt modelId="{78ADBBED-1630-4E58-B0D7-AE6FCE3250C5}" type="pres">
      <dgm:prSet presAssocID="{1E4D5BD6-3349-455A-AFA9-084D28DF97EF}" presName="hierChild4" presStyleCnt="0"/>
      <dgm:spPr/>
    </dgm:pt>
    <dgm:pt modelId="{C1579F62-32A5-4FE0-9ABE-308B739D8895}" type="pres">
      <dgm:prSet presAssocID="{1E4D5BD6-3349-455A-AFA9-084D28DF97EF}" presName="hierChild5" presStyleCnt="0"/>
      <dgm:spPr/>
    </dgm:pt>
    <dgm:pt modelId="{20FE3D43-F69D-43E6-8DDE-DEB19A7E79A0}" type="pres">
      <dgm:prSet presAssocID="{E2C80430-CAFB-4074-BF5B-234414788F58}" presName="hierChild3" presStyleCnt="0"/>
      <dgm:spPr/>
    </dgm:pt>
  </dgm:ptLst>
  <dgm:cxnLst>
    <dgm:cxn modelId="{C85B3E93-41E9-4C3C-B03A-998B1090D44E}" type="presOf" srcId="{ED8B0EC7-B578-406D-BA07-607239E0DA25}" destId="{2852F00B-2AAF-47A9-AC2C-6FA0FCC8437F}" srcOrd="0" destOrd="0" presId="urn:microsoft.com/office/officeart/2008/layout/NameandTitleOrganizationalChart#1"/>
    <dgm:cxn modelId="{29D20EC1-E29D-4161-9902-7443540D0BCC}" type="presOf" srcId="{7694D44F-EC60-45BB-B865-E56EBCF02F32}" destId="{D72300CF-93FA-4841-9EFC-04F850F16524}" srcOrd="0" destOrd="0" presId="urn:microsoft.com/office/officeart/2008/layout/NameandTitleOrganizationalChart#1"/>
    <dgm:cxn modelId="{C273B6BA-CBC0-43C0-8FAC-47A2D68F2FD0}" type="presOf" srcId="{6276ADF8-173F-4A8C-A451-7A594527696F}" destId="{9459E8F8-2850-4BE7-AD71-A42A0DC295C3}" srcOrd="0" destOrd="0" presId="urn:microsoft.com/office/officeart/2008/layout/NameandTitleOrganizationalChart#1"/>
    <dgm:cxn modelId="{3EF45293-A651-4662-A81D-688D0A480D9F}" srcId="{882958D2-5A0A-401D-9F15-57321B107DFD}" destId="{83BC36A2-9A92-4DEC-B63A-A616C72B034F}" srcOrd="1" destOrd="0" parTransId="{0323DDCD-CD57-448D-A4BA-E3E753989403}" sibTransId="{79AA112E-382F-49B1-AEA2-B5B64A53EC21}"/>
    <dgm:cxn modelId="{7B73D5BC-F0E1-45D4-A97D-8259B951D434}" type="presOf" srcId="{CA896D58-8783-420B-A3FE-05A3548A4189}" destId="{1CD47437-6802-4D17-A52A-5E4CEE7F854A}" srcOrd="0" destOrd="0" presId="urn:microsoft.com/office/officeart/2008/layout/NameandTitleOrganizationalChart#1"/>
    <dgm:cxn modelId="{8C8F7787-27BB-4905-9CC4-9689DE86662A}" type="presOf" srcId="{E2C80430-CAFB-4074-BF5B-234414788F58}" destId="{B4B6B678-9572-4CEA-813F-0B7B0A14EC78}" srcOrd="1" destOrd="0" presId="urn:microsoft.com/office/officeart/2008/layout/NameandTitleOrganizationalChart#1"/>
    <dgm:cxn modelId="{BB842F54-A61C-4ED9-9309-3E4F173BD339}" type="presOf" srcId="{FBFB7AA1-5EC2-4EFC-9B04-76CA03F8CD66}" destId="{C36FCFA2-003B-4BF1-81A1-7B4B793290BF}" srcOrd="1" destOrd="0" presId="urn:microsoft.com/office/officeart/2008/layout/NameandTitleOrganizationalChart#1"/>
    <dgm:cxn modelId="{94E677EE-96B6-4BB1-8D3C-D09A121FD138}" type="presOf" srcId="{3FD41B99-4720-4958-8412-658CE64FE1D0}" destId="{3F4CF33A-7AD2-40E9-8823-3395E8DB45A1}" srcOrd="0" destOrd="0" presId="urn:microsoft.com/office/officeart/2008/layout/NameandTitleOrganizationalChart#1"/>
    <dgm:cxn modelId="{4A704EDE-43A1-4C84-9BE0-F9CEF043CC40}" type="presOf" srcId="{83BC36A2-9A92-4DEC-B63A-A616C72B034F}" destId="{35B71BDB-1835-49A7-887E-33882C4000A0}" srcOrd="1" destOrd="0" presId="urn:microsoft.com/office/officeart/2008/layout/NameandTitleOrganizationalChart#1"/>
    <dgm:cxn modelId="{F9BB3D93-53A9-473E-B1E0-EE46B14FE3D9}" type="presOf" srcId="{C67CF62E-659B-4732-A1B8-BC347BF87BAE}" destId="{7E8D3AB4-B686-4E74-90EB-655311CEF4FF}" srcOrd="1" destOrd="0" presId="urn:microsoft.com/office/officeart/2008/layout/NameandTitleOrganizationalChart#1"/>
    <dgm:cxn modelId="{F7515610-DCF5-4BDF-8F8B-D5D81FFE9D08}" type="presOf" srcId="{79AA112E-382F-49B1-AEA2-B5B64A53EC21}" destId="{2D71E230-7E83-4BB2-B894-13C6329FBF86}" srcOrd="0" destOrd="0" presId="urn:microsoft.com/office/officeart/2008/layout/NameandTitleOrganizationalChart#1"/>
    <dgm:cxn modelId="{30CBC5F1-666B-49B9-8AC4-CB1703922A2C}" type="presOf" srcId="{ECADABFA-C0C7-4BAF-88F5-B7C493C95D1F}" destId="{2D38AED0-FDD7-4D93-B955-17809A09E5F2}" srcOrd="0" destOrd="0" presId="urn:microsoft.com/office/officeart/2008/layout/NameandTitleOrganizationalChart#1"/>
    <dgm:cxn modelId="{56F19F63-4316-43CC-B961-5B750D75E82D}" srcId="{ED8B0EC7-B578-406D-BA07-607239E0DA25}" destId="{882958D2-5A0A-401D-9F15-57321B107DFD}" srcOrd="2" destOrd="0" parTransId="{0E91CDD2-94A9-4442-8924-8181EFF686FD}" sibTransId="{513E0AE6-A8D0-4262-94C0-E3204FF92C83}"/>
    <dgm:cxn modelId="{B2A520B3-8347-4162-899E-24E14BE24473}" type="presOf" srcId="{CAAF2B8B-8F07-4A10-917E-D81E5F16CA63}" destId="{5D531E92-D250-41D9-9659-29214135F236}" srcOrd="0" destOrd="0" presId="urn:microsoft.com/office/officeart/2008/layout/NameandTitleOrganizationalChart#1"/>
    <dgm:cxn modelId="{627F3C8D-D7CA-40FE-B383-79D6C38ABDAD}" type="presOf" srcId="{FBFB7AA1-5EC2-4EFC-9B04-76CA03F8CD66}" destId="{F6EF556E-E0DB-4C83-B786-17AF38D7C739}" srcOrd="0" destOrd="0" presId="urn:microsoft.com/office/officeart/2008/layout/NameandTitleOrganizationalChart#1"/>
    <dgm:cxn modelId="{291B8D99-93EF-44F1-8A3F-C7716C1BF765}" type="presOf" srcId="{477DF75F-08F9-40C5-807A-119C0907472B}" destId="{9D2595C8-2748-4CF8-9576-CC4930E7AD13}" srcOrd="0" destOrd="0" presId="urn:microsoft.com/office/officeart/2008/layout/NameandTitleOrganizationalChart#1"/>
    <dgm:cxn modelId="{19CB629F-2EA9-4080-803E-C50E1F703CCD}" type="presOf" srcId="{DFBDCAA6-80F2-4129-B5DA-CA89EA35EE4F}" destId="{4FD04EB9-A064-46E5-B9DE-4D0E6061A2AB}" srcOrd="0" destOrd="0" presId="urn:microsoft.com/office/officeart/2008/layout/NameandTitleOrganizationalChart#1"/>
    <dgm:cxn modelId="{B0BDBB06-9716-476E-9C2C-E3952AE5E3DD}" type="presOf" srcId="{12E27EAF-6D28-42E4-98BF-413BF50AB904}" destId="{B78D8A1E-5181-4805-A3E6-FDAE5D611303}" srcOrd="0" destOrd="0" presId="urn:microsoft.com/office/officeart/2008/layout/NameandTitleOrganizationalChart#1"/>
    <dgm:cxn modelId="{0AD9617C-0EF9-4315-B5FC-9EE383AA81DC}" type="presOf" srcId="{E00C60B0-3463-4A60-A5CB-C1E704E1D83F}" destId="{A8B43B62-52AE-4A3A-B209-F84B3B95ADCF}" srcOrd="0" destOrd="0" presId="urn:microsoft.com/office/officeart/2008/layout/NameandTitleOrganizationalChart#1"/>
    <dgm:cxn modelId="{DECC6679-5AB1-4A33-ACFB-0C53C0B3B258}" type="presOf" srcId="{E894ECC1-4CC2-4605-AEEC-32593242E006}" destId="{B7029FA1-DD6A-437E-9FB6-1E239C50A141}" srcOrd="0" destOrd="0" presId="urn:microsoft.com/office/officeart/2008/layout/NameandTitleOrganizationalChart#1"/>
    <dgm:cxn modelId="{84A711E8-44FF-42C0-B81B-27EEF0028DC9}" type="presOf" srcId="{73A975DC-57F9-424C-8634-99AC9D536B1C}" destId="{0A089B8D-F96E-4432-A5BB-15938E8A5C5A}" srcOrd="1" destOrd="0" presId="urn:microsoft.com/office/officeart/2008/layout/NameandTitleOrganizationalChart#1"/>
    <dgm:cxn modelId="{8D5527CC-2116-4758-9541-ABF90E3E8BEE}" srcId="{6276ADF8-173F-4A8C-A451-7A594527696F}" destId="{E2C80430-CAFB-4074-BF5B-234414788F58}" srcOrd="0" destOrd="0" parTransId="{2FB92A33-9E20-4297-B7F3-DC9855DEA2D8}" sibTransId="{ECADABFA-C0C7-4BAF-88F5-B7C493C95D1F}"/>
    <dgm:cxn modelId="{C4F48E3A-C6DA-4E5E-B4D1-F3933C8B290F}" srcId="{E00C60B0-3463-4A60-A5CB-C1E704E1D83F}" destId="{824B5040-A2E9-4CFD-A67F-FE03314EEE96}" srcOrd="0" destOrd="0" parTransId="{AD3EFD35-47B3-4ECF-8C88-F944F8002F60}" sibTransId="{82284318-93C7-4055-872E-B6A629D1A00D}"/>
    <dgm:cxn modelId="{5C5AB4EB-7912-4A25-B72A-D694ABFC9C03}" srcId="{4EBCB64A-D801-475F-9706-F4A88EFB2AD7}" destId="{FBFB7AA1-5EC2-4EFC-9B04-76CA03F8CD66}" srcOrd="1" destOrd="0" parTransId="{EABFED4F-717E-4287-B0CA-F3203113002C}" sibTransId="{E894ECC1-4CC2-4605-AEEC-32593242E006}"/>
    <dgm:cxn modelId="{37669A23-A03C-4C48-9694-05F75F53FC76}" type="presOf" srcId="{BC39C9E8-E9FE-4525-8BAF-21E32FB741C0}" destId="{A1025FAB-5DFB-42D6-96B2-29AB22945F6D}" srcOrd="0" destOrd="0" presId="urn:microsoft.com/office/officeart/2008/layout/NameandTitleOrganizationalChart#1"/>
    <dgm:cxn modelId="{FDBAA7AA-9D46-43DE-AE0D-7FBF246914AF}" type="presOf" srcId="{4EBCB64A-D801-475F-9706-F4A88EFB2AD7}" destId="{4586042C-DAA6-4056-8A45-E21C82F8BF88}" srcOrd="1" destOrd="0" presId="urn:microsoft.com/office/officeart/2008/layout/NameandTitleOrganizationalChart#1"/>
    <dgm:cxn modelId="{DE8D3C1E-9B52-453D-9A74-6935B69866F5}" srcId="{4EBCB64A-D801-475F-9706-F4A88EFB2AD7}" destId="{C67CF62E-659B-4732-A1B8-BC347BF87BAE}" srcOrd="0" destOrd="0" parTransId="{48A3CCF1-D474-4223-9E94-3C8C84F56F33}" sibTransId="{124C56AD-23E1-465E-BA9C-4DEFAE07D209}"/>
    <dgm:cxn modelId="{62EF443D-CA7D-4841-A6E1-34F543DFFAD6}" type="presOf" srcId="{A07B1F0C-578A-4A97-94B8-E77E596AA644}" destId="{131851AB-6586-48F1-BDF5-6328020AE633}" srcOrd="0" destOrd="0" presId="urn:microsoft.com/office/officeart/2008/layout/NameandTitleOrganizationalChart#1"/>
    <dgm:cxn modelId="{EB4E51C7-9037-453A-A467-867F86240417}" type="presOf" srcId="{03F6E3CB-655C-47DA-A994-4D84FA15C247}" destId="{B5E42238-499F-4627-9235-518AC5E7A178}" srcOrd="0" destOrd="0" presId="urn:microsoft.com/office/officeart/2008/layout/NameandTitleOrganizationalChart#1"/>
    <dgm:cxn modelId="{AAB31297-8D6D-421C-A3D9-F7A025587E23}" type="presOf" srcId="{E2C80430-CAFB-4074-BF5B-234414788F58}" destId="{2BE81D55-2435-4A5F-89BB-8067A8C4BA0B}" srcOrd="0" destOrd="0" presId="urn:microsoft.com/office/officeart/2008/layout/NameandTitleOrganizationalChart#1"/>
    <dgm:cxn modelId="{77E70B75-9A47-4FFF-B6D2-0FF83787BCA0}" type="presOf" srcId="{1E4D5BD6-3349-455A-AFA9-084D28DF97EF}" destId="{82B6832F-5470-4A24-8C70-D3C18BD40FFA}" srcOrd="1" destOrd="0" presId="urn:microsoft.com/office/officeart/2008/layout/NameandTitleOrganizationalChart#1"/>
    <dgm:cxn modelId="{67D8EA2F-81D4-45D2-9152-4F408D861F3F}" type="presOf" srcId="{83BC36A2-9A92-4DEC-B63A-A616C72B034F}" destId="{74EDF0C9-60F4-46F4-A2B4-D60688E47BF8}" srcOrd="0" destOrd="0" presId="urn:microsoft.com/office/officeart/2008/layout/NameandTitleOrganizationalChart#1"/>
    <dgm:cxn modelId="{4D569069-72DF-4454-B575-F0C9EFEB2A71}" type="presOf" srcId="{124C56AD-23E1-465E-BA9C-4DEFAE07D209}" destId="{A5459433-2894-4E19-BD2F-18AB60D7F359}" srcOrd="0" destOrd="0" presId="urn:microsoft.com/office/officeart/2008/layout/NameandTitleOrganizationalChart#1"/>
    <dgm:cxn modelId="{68BA1968-8BAB-472C-B310-AEED83597F61}" srcId="{ED8B0EC7-B578-406D-BA07-607239E0DA25}" destId="{12E27EAF-6D28-42E4-98BF-413BF50AB904}" srcOrd="1" destOrd="0" parTransId="{3FD41B99-4720-4958-8412-658CE64FE1D0}" sibTransId="{34466539-F207-45F0-A315-F1127328946F}"/>
    <dgm:cxn modelId="{C1A02A76-E6EA-494B-8A46-23C5FFFB38F5}" type="presOf" srcId="{824B5040-A2E9-4CFD-A67F-FE03314EEE96}" destId="{E1D7B775-847B-4917-91A3-ADBB39505CD6}" srcOrd="1" destOrd="0" presId="urn:microsoft.com/office/officeart/2008/layout/NameandTitleOrganizationalChart#1"/>
    <dgm:cxn modelId="{2666BD57-F83A-4539-A849-61A714C39017}" type="presOf" srcId="{82284318-93C7-4055-872E-B6A629D1A00D}" destId="{D8E6EF67-2399-46CF-83BA-AEB95FCCFFF6}" srcOrd="0" destOrd="0" presId="urn:microsoft.com/office/officeart/2008/layout/NameandTitleOrganizationalChart#1"/>
    <dgm:cxn modelId="{8021D828-96E0-4CC7-8868-4FB308F745E8}" srcId="{E2C80430-CAFB-4074-BF5B-234414788F58}" destId="{1E4D5BD6-3349-455A-AFA9-084D28DF97EF}" srcOrd="4" destOrd="0" parTransId="{84C70CA9-BEE3-48C5-A271-369672D4B1FD}" sibTransId="{03F6E3CB-655C-47DA-A994-4D84FA15C247}"/>
    <dgm:cxn modelId="{023296B5-B941-4C88-AE9A-FC5AF433C122}" type="presOf" srcId="{48A3CCF1-D474-4223-9E94-3C8C84F56F33}" destId="{6A2721E3-29CC-4589-8CFD-A6BD8506F2BF}" srcOrd="0" destOrd="0" presId="urn:microsoft.com/office/officeart/2008/layout/NameandTitleOrganizationalChart#1"/>
    <dgm:cxn modelId="{049AAA6D-7675-4C3B-B292-C517FB540931}" type="presOf" srcId="{513E0AE6-A8D0-4262-94C0-E3204FF92C83}" destId="{27E0D48A-04C2-46B8-8F71-F09C86F96399}" srcOrd="0" destOrd="0" presId="urn:microsoft.com/office/officeart/2008/layout/NameandTitleOrganizationalChart#1"/>
    <dgm:cxn modelId="{5B2E7A2B-6C8D-4A2A-8559-DBD5776E55E3}" type="presOf" srcId="{EBCD8834-750C-47D8-853B-0D77945E2FFE}" destId="{E6C0AE3E-B300-40CF-A28D-EA33BE7F56B8}" srcOrd="0" destOrd="0" presId="urn:microsoft.com/office/officeart/2008/layout/NameandTitleOrganizationalChart#1"/>
    <dgm:cxn modelId="{70E973A9-5ED4-4E8F-B329-59D84BBA01AF}" srcId="{E2C80430-CAFB-4074-BF5B-234414788F58}" destId="{B4C6AD68-255E-44DB-A5C2-BE7F01B55A91}" srcOrd="0" destOrd="0" parTransId="{A07B1F0C-578A-4A97-94B8-E77E596AA644}" sibTransId="{CAAF2B8B-8F07-4A10-917E-D81E5F16CA63}"/>
    <dgm:cxn modelId="{E5A56E67-BA46-4F7F-AC6C-5828F1747516}" type="presOf" srcId="{42B065CA-8F11-45E6-A3BB-F653034FF456}" destId="{861BDBCB-B15D-415B-A3BE-DE336944052A}" srcOrd="0" destOrd="0" presId="urn:microsoft.com/office/officeart/2008/layout/NameandTitleOrganizationalChart#1"/>
    <dgm:cxn modelId="{FA553959-FF1F-43AB-8CCD-97F432B536EB}" type="presOf" srcId="{882958D2-5A0A-401D-9F15-57321B107DFD}" destId="{05476FC0-3C66-45B4-8207-01A164687DF9}" srcOrd="0" destOrd="0" presId="urn:microsoft.com/office/officeart/2008/layout/NameandTitleOrganizationalChart#1"/>
    <dgm:cxn modelId="{E15F6443-D7D9-4A47-9021-0F8D0CDAE042}" type="presOf" srcId="{0E91CDD2-94A9-4442-8924-8181EFF686FD}" destId="{8F626422-2FC6-499D-BFC5-DB727EB9655C}" srcOrd="0" destOrd="0" presId="urn:microsoft.com/office/officeart/2008/layout/NameandTitleOrganizationalChart#1"/>
    <dgm:cxn modelId="{D3824F9F-250F-4AD5-B7C0-617C46E0143D}" type="presOf" srcId="{ABFC6FAD-43D6-4539-8F4C-7BF5F4056674}" destId="{E816C345-C4C5-4ACF-8C08-2FC4FF6B69CE}" srcOrd="0" destOrd="0" presId="urn:microsoft.com/office/officeart/2008/layout/NameandTitleOrganizationalChart#1"/>
    <dgm:cxn modelId="{0BE55451-D1A3-44AE-A7EB-65BD06A6F770}" srcId="{E2C80430-CAFB-4074-BF5B-234414788F58}" destId="{E00C60B0-3463-4A60-A5CB-C1E704E1D83F}" srcOrd="1" destOrd="0" parTransId="{7E878226-B96B-4949-8DE3-2F1F81502A69}" sibTransId="{DFBDCAA6-80F2-4129-B5DA-CA89EA35EE4F}"/>
    <dgm:cxn modelId="{7AA222CE-30E9-4163-BB2E-A8D31D582A2F}" type="presOf" srcId="{2F873CA1-9A74-4093-9821-5EDFEB134E77}" destId="{DD55262A-BE14-4D59-9DD7-C5AFBB5CBA8D}" srcOrd="0" destOrd="0" presId="urn:microsoft.com/office/officeart/2008/layout/NameandTitleOrganizationalChart#1"/>
    <dgm:cxn modelId="{3C7B6360-8A72-46E3-A43F-8991428CD685}" type="presOf" srcId="{7E878226-B96B-4949-8DE3-2F1F81502A69}" destId="{28E3F9FE-0878-42F8-ACEB-8CE194159344}" srcOrd="0" destOrd="0" presId="urn:microsoft.com/office/officeart/2008/layout/NameandTitleOrganizationalChart#1"/>
    <dgm:cxn modelId="{DA4E6422-3EFB-47DA-91F1-E2FA7006415B}" srcId="{ED8B0EC7-B578-406D-BA07-607239E0DA25}" destId="{4EBCB64A-D801-475F-9706-F4A88EFB2AD7}" srcOrd="0" destOrd="0" parTransId="{2F873CA1-9A74-4093-9821-5EDFEB134E77}" sibTransId="{EBCD8834-750C-47D8-853B-0D77945E2FFE}"/>
    <dgm:cxn modelId="{58262F70-C2DB-4503-9E2C-5E072697ED1F}" srcId="{E2C80430-CAFB-4074-BF5B-234414788F58}" destId="{ABFC6FAD-43D6-4539-8F4C-7BF5F4056674}" srcOrd="3" destOrd="0" parTransId="{42B065CA-8F11-45E6-A3BB-F653034FF456}" sibTransId="{477DF75F-08F9-40C5-807A-119C0907472B}"/>
    <dgm:cxn modelId="{89EFC382-3F9C-4BBD-8A73-FE3355C6FE4F}" type="presOf" srcId="{0323DDCD-CD57-448D-A4BA-E3E753989403}" destId="{C7EDBCAF-DE9F-4DD7-9D14-EF266E4E4A1D}" srcOrd="0" destOrd="0" presId="urn:microsoft.com/office/officeart/2008/layout/NameandTitleOrganizationalChart#1"/>
    <dgm:cxn modelId="{77293863-E074-43EC-99DC-FB2CE71E3448}" type="presOf" srcId="{882958D2-5A0A-401D-9F15-57321B107DFD}" destId="{6B3885F9-F943-4DC7-B0C2-28169F7DAAE1}" srcOrd="1" destOrd="0" presId="urn:microsoft.com/office/officeart/2008/layout/NameandTitleOrganizationalChart#1"/>
    <dgm:cxn modelId="{B4D974EB-38C3-4FD3-A19A-9B469A2584FD}" type="presOf" srcId="{34466539-F207-45F0-A315-F1127328946F}" destId="{BFD9636B-3A0B-4843-9A09-1BB983AFDBC6}" srcOrd="0" destOrd="0" presId="urn:microsoft.com/office/officeart/2008/layout/NameandTitleOrganizationalChart#1"/>
    <dgm:cxn modelId="{4FD3AF49-7ADC-40D1-853B-B86B64912337}" type="presOf" srcId="{B4C6AD68-255E-44DB-A5C2-BE7F01B55A91}" destId="{27486609-88E0-4881-AE86-6C809DF40004}" srcOrd="1" destOrd="0" presId="urn:microsoft.com/office/officeart/2008/layout/NameandTitleOrganizationalChart#1"/>
    <dgm:cxn modelId="{13DAA7FF-D4B4-411D-8168-908429AEDA24}" srcId="{882958D2-5A0A-401D-9F15-57321B107DFD}" destId="{73A975DC-57F9-424C-8634-99AC9D536B1C}" srcOrd="0" destOrd="0" parTransId="{BC39C9E8-E9FE-4525-8BAF-21E32FB741C0}" sibTransId="{CA896D58-8783-420B-A3FE-05A3548A4189}"/>
    <dgm:cxn modelId="{CB852792-D442-4506-805D-1D6886D0A36B}" type="presOf" srcId="{12E27EAF-6D28-42E4-98BF-413BF50AB904}" destId="{3E254A32-67BC-448E-BE73-4F8AC86C4AB3}" srcOrd="1" destOrd="0" presId="urn:microsoft.com/office/officeart/2008/layout/NameandTitleOrganizationalChart#1"/>
    <dgm:cxn modelId="{079D2343-3823-4C29-85C2-1A7498137253}" type="presOf" srcId="{824B5040-A2E9-4CFD-A67F-FE03314EEE96}" destId="{B8641FC7-5D34-4E03-A0ED-676983DBA659}" srcOrd="0" destOrd="0" presId="urn:microsoft.com/office/officeart/2008/layout/NameandTitleOrganizationalChart#1"/>
    <dgm:cxn modelId="{F60B20D1-1064-4913-8943-D5E97E1475E1}" type="presOf" srcId="{84C70CA9-BEE3-48C5-A271-369672D4B1FD}" destId="{B90B3CD9-EBCF-4865-97F9-75D0A9DE6FA6}" srcOrd="0" destOrd="0" presId="urn:microsoft.com/office/officeart/2008/layout/NameandTitleOrganizationalChart#1"/>
    <dgm:cxn modelId="{ED5A88A8-0974-47D5-B25C-640FB36E04D7}" type="presOf" srcId="{E00C60B0-3463-4A60-A5CB-C1E704E1D83F}" destId="{33A9B8E3-109C-4D3F-82AD-0D4ACE92A157}" srcOrd="1" destOrd="0" presId="urn:microsoft.com/office/officeart/2008/layout/NameandTitleOrganizationalChart#1"/>
    <dgm:cxn modelId="{B27A4884-E263-491E-88BE-E4E58773CF42}" type="presOf" srcId="{AD3EFD35-47B3-4ECF-8C88-F944F8002F60}" destId="{40289B39-128C-4B15-9A54-8BDB48F4201A}" srcOrd="0" destOrd="0" presId="urn:microsoft.com/office/officeart/2008/layout/NameandTitleOrganizationalChart#1"/>
    <dgm:cxn modelId="{FF5F11A4-BC55-40C1-9455-C5ED86B00E7D}" type="presOf" srcId="{CB09776C-AEA3-4BB1-B673-519C1B3AC21B}" destId="{E1249BE2-81FA-40A0-82E4-553C81AD54C1}" srcOrd="0" destOrd="0" presId="urn:microsoft.com/office/officeart/2008/layout/NameandTitleOrganizationalChart#1"/>
    <dgm:cxn modelId="{7A55A937-69E7-4968-908B-5DAF07179765}" type="presOf" srcId="{ED8B0EC7-B578-406D-BA07-607239E0DA25}" destId="{49CF801B-60BF-4483-B5E7-2ABC5AE9FA79}" srcOrd="1" destOrd="0" presId="urn:microsoft.com/office/officeart/2008/layout/NameandTitleOrganizationalChart#1"/>
    <dgm:cxn modelId="{A42E1FA0-1275-4F29-8E81-CB9777AC5FD5}" type="presOf" srcId="{C67CF62E-659B-4732-A1B8-BC347BF87BAE}" destId="{3C8DC605-3B70-45C4-A050-2FB52FAB7508}" srcOrd="0" destOrd="0" presId="urn:microsoft.com/office/officeart/2008/layout/NameandTitleOrganizationalChart#1"/>
    <dgm:cxn modelId="{326BAFF3-8F5E-47DD-B7B8-995BE446FF09}" type="presOf" srcId="{ABFC6FAD-43D6-4539-8F4C-7BF5F4056674}" destId="{8CC714CE-C5B3-4DDA-BE1F-91DAC2CF2555}" srcOrd="1" destOrd="0" presId="urn:microsoft.com/office/officeart/2008/layout/NameandTitleOrganizationalChart#1"/>
    <dgm:cxn modelId="{E66AB8BE-28BB-45F4-B874-678574403637}" type="presOf" srcId="{4EBCB64A-D801-475F-9706-F4A88EFB2AD7}" destId="{FD0C5D81-CCB2-475B-8255-41B5C31A5902}" srcOrd="0" destOrd="0" presId="urn:microsoft.com/office/officeart/2008/layout/NameandTitleOrganizationalChart#1"/>
    <dgm:cxn modelId="{40E25CA0-7AE9-4DCD-B5DA-3979BC4359F6}" type="presOf" srcId="{1E4D5BD6-3349-455A-AFA9-084D28DF97EF}" destId="{08CFFBF0-0751-4CF5-9A0F-7BB23D978F54}" srcOrd="0" destOrd="0" presId="urn:microsoft.com/office/officeart/2008/layout/NameandTitleOrganizationalChart#1"/>
    <dgm:cxn modelId="{6FF96046-738E-4865-8EA5-D1B3CBD4F1A7}" srcId="{E2C80430-CAFB-4074-BF5B-234414788F58}" destId="{ED8B0EC7-B578-406D-BA07-607239E0DA25}" srcOrd="2" destOrd="0" parTransId="{CB09776C-AEA3-4BB1-B673-519C1B3AC21B}" sibTransId="{7694D44F-EC60-45BB-B865-E56EBCF02F32}"/>
    <dgm:cxn modelId="{C668BC37-0E51-473F-ABB9-9CDC4BFCDDA5}" type="presOf" srcId="{73A975DC-57F9-424C-8634-99AC9D536B1C}" destId="{191D4031-89C9-445B-950F-2AEF89F8C179}" srcOrd="0" destOrd="0" presId="urn:microsoft.com/office/officeart/2008/layout/NameandTitleOrganizationalChart#1"/>
    <dgm:cxn modelId="{3EE36D6B-5AB8-424F-AA0A-A2087E39B939}" type="presOf" srcId="{EABFED4F-717E-4287-B0CA-F3203113002C}" destId="{18AC8500-64C7-4187-885A-7EDE57D976F7}" srcOrd="0" destOrd="0" presId="urn:microsoft.com/office/officeart/2008/layout/NameandTitleOrganizationalChart#1"/>
    <dgm:cxn modelId="{24517D1D-8E0A-4FDF-A627-937FD05AF80D}" type="presOf" srcId="{B4C6AD68-255E-44DB-A5C2-BE7F01B55A91}" destId="{C88648EC-DBBB-4652-A5F7-3E2B71BCDE7D}" srcOrd="0" destOrd="0" presId="urn:microsoft.com/office/officeart/2008/layout/NameandTitleOrganizationalChart#1"/>
    <dgm:cxn modelId="{F43DEDC6-5839-437B-A14D-AFCA74863D48}" type="presParOf" srcId="{9459E8F8-2850-4BE7-AD71-A42A0DC295C3}" destId="{9E789C6E-89BA-4B21-97B8-B68CE9D86712}" srcOrd="0" destOrd="0" presId="urn:microsoft.com/office/officeart/2008/layout/NameandTitleOrganizationalChart#1"/>
    <dgm:cxn modelId="{98AEC506-62D0-4D70-8734-91EE71D6486B}" type="presParOf" srcId="{9E789C6E-89BA-4B21-97B8-B68CE9D86712}" destId="{CE50B994-2846-4757-B979-64E259663ED1}" srcOrd="0" destOrd="0" presId="urn:microsoft.com/office/officeart/2008/layout/NameandTitleOrganizationalChart#1"/>
    <dgm:cxn modelId="{3F6850AB-0A0C-43B9-B2EA-BA9F4B937415}" type="presParOf" srcId="{CE50B994-2846-4757-B979-64E259663ED1}" destId="{2BE81D55-2435-4A5F-89BB-8067A8C4BA0B}" srcOrd="0" destOrd="0" presId="urn:microsoft.com/office/officeart/2008/layout/NameandTitleOrganizationalChart#1"/>
    <dgm:cxn modelId="{8E77FB07-3EF4-46F8-91B3-016350BA7A0C}" type="presParOf" srcId="{CE50B994-2846-4757-B979-64E259663ED1}" destId="{2D38AED0-FDD7-4D93-B955-17809A09E5F2}" srcOrd="1" destOrd="0" presId="urn:microsoft.com/office/officeart/2008/layout/NameandTitleOrganizationalChart#1"/>
    <dgm:cxn modelId="{1B9F6C95-89A7-4E9A-845A-0069AF3F2B01}" type="presParOf" srcId="{CE50B994-2846-4757-B979-64E259663ED1}" destId="{B4B6B678-9572-4CEA-813F-0B7B0A14EC78}" srcOrd="2" destOrd="0" presId="urn:microsoft.com/office/officeart/2008/layout/NameandTitleOrganizationalChart#1"/>
    <dgm:cxn modelId="{3F5C1E62-2AA6-488D-9E7E-5D92F76F3C48}" type="presParOf" srcId="{9E789C6E-89BA-4B21-97B8-B68CE9D86712}" destId="{1C3D673D-B81B-46F2-BE88-16E2F03968EA}" srcOrd="1" destOrd="0" presId="urn:microsoft.com/office/officeart/2008/layout/NameandTitleOrganizationalChart#1"/>
    <dgm:cxn modelId="{68A1BE67-68B7-4E02-B99A-72B85F3369B4}" type="presParOf" srcId="{1C3D673D-B81B-46F2-BE88-16E2F03968EA}" destId="{131851AB-6586-48F1-BDF5-6328020AE633}" srcOrd="0" destOrd="0" presId="urn:microsoft.com/office/officeart/2008/layout/NameandTitleOrganizationalChart#1"/>
    <dgm:cxn modelId="{6F201547-9566-45CD-AB23-EB98254B62B0}" type="presParOf" srcId="{1C3D673D-B81B-46F2-BE88-16E2F03968EA}" destId="{8C00A5F2-72E4-4AA9-8BD2-808B05254CC5}" srcOrd="1" destOrd="0" presId="urn:microsoft.com/office/officeart/2008/layout/NameandTitleOrganizationalChart#1"/>
    <dgm:cxn modelId="{882307B9-E4E8-4FFF-B6CD-4340DB486CE0}" type="presParOf" srcId="{8C00A5F2-72E4-4AA9-8BD2-808B05254CC5}" destId="{0E84E3D5-0CB9-4249-BE25-0EC94B0917C1}" srcOrd="0" destOrd="0" presId="urn:microsoft.com/office/officeart/2008/layout/NameandTitleOrganizationalChart#1"/>
    <dgm:cxn modelId="{C35365B0-6B96-48A3-85E2-EDB6F457BE22}" type="presParOf" srcId="{0E84E3D5-0CB9-4249-BE25-0EC94B0917C1}" destId="{C88648EC-DBBB-4652-A5F7-3E2B71BCDE7D}" srcOrd="0" destOrd="0" presId="urn:microsoft.com/office/officeart/2008/layout/NameandTitleOrganizationalChart#1"/>
    <dgm:cxn modelId="{71CC1399-5204-4C38-8800-167F95822327}" type="presParOf" srcId="{0E84E3D5-0CB9-4249-BE25-0EC94B0917C1}" destId="{5D531E92-D250-41D9-9659-29214135F236}" srcOrd="1" destOrd="0" presId="urn:microsoft.com/office/officeart/2008/layout/NameandTitleOrganizationalChart#1"/>
    <dgm:cxn modelId="{6138F475-1F83-4A3B-9A79-5697DB154A86}" type="presParOf" srcId="{0E84E3D5-0CB9-4249-BE25-0EC94B0917C1}" destId="{27486609-88E0-4881-AE86-6C809DF40004}" srcOrd="2" destOrd="0" presId="urn:microsoft.com/office/officeart/2008/layout/NameandTitleOrganizationalChart#1"/>
    <dgm:cxn modelId="{A975F932-BF36-4A34-BEDE-51D075004EA6}" type="presParOf" srcId="{8C00A5F2-72E4-4AA9-8BD2-808B05254CC5}" destId="{22528FD4-8F79-4506-8F89-B986B211711C}" srcOrd="1" destOrd="0" presId="urn:microsoft.com/office/officeart/2008/layout/NameandTitleOrganizationalChart#1"/>
    <dgm:cxn modelId="{8A10ED1F-8C66-4207-AB62-FF10380022CF}" type="presParOf" srcId="{8C00A5F2-72E4-4AA9-8BD2-808B05254CC5}" destId="{B383173C-BF37-4B40-B777-21174A269D6A}" srcOrd="2" destOrd="0" presId="urn:microsoft.com/office/officeart/2008/layout/NameandTitleOrganizationalChart#1"/>
    <dgm:cxn modelId="{6A573406-144A-4C3B-9B34-32E005805BE8}" type="presParOf" srcId="{1C3D673D-B81B-46F2-BE88-16E2F03968EA}" destId="{28E3F9FE-0878-42F8-ACEB-8CE194159344}" srcOrd="2" destOrd="0" presId="urn:microsoft.com/office/officeart/2008/layout/NameandTitleOrganizationalChart#1"/>
    <dgm:cxn modelId="{423C5EFE-2FC4-4E14-9026-D0FF7AC4EEC9}" type="presParOf" srcId="{1C3D673D-B81B-46F2-BE88-16E2F03968EA}" destId="{D4F83ABA-B67C-46EF-ABCF-2D825264BB15}" srcOrd="3" destOrd="0" presId="urn:microsoft.com/office/officeart/2008/layout/NameandTitleOrganizationalChart#1"/>
    <dgm:cxn modelId="{A3EE4515-C6C1-4537-857C-2563887D0454}" type="presParOf" srcId="{D4F83ABA-B67C-46EF-ABCF-2D825264BB15}" destId="{3F8FBE42-5135-44BE-B6B0-8B3C40890EF8}" srcOrd="0" destOrd="0" presId="urn:microsoft.com/office/officeart/2008/layout/NameandTitleOrganizationalChart#1"/>
    <dgm:cxn modelId="{584A8A82-56DA-45FC-8EEA-9F53E005498B}" type="presParOf" srcId="{3F8FBE42-5135-44BE-B6B0-8B3C40890EF8}" destId="{A8B43B62-52AE-4A3A-B209-F84B3B95ADCF}" srcOrd="0" destOrd="0" presId="urn:microsoft.com/office/officeart/2008/layout/NameandTitleOrganizationalChart#1"/>
    <dgm:cxn modelId="{6CB2244E-8652-48F6-AF3C-18D1B11AD16A}" type="presParOf" srcId="{3F8FBE42-5135-44BE-B6B0-8B3C40890EF8}" destId="{4FD04EB9-A064-46E5-B9DE-4D0E6061A2AB}" srcOrd="1" destOrd="0" presId="urn:microsoft.com/office/officeart/2008/layout/NameandTitleOrganizationalChart#1"/>
    <dgm:cxn modelId="{2CA5569B-202D-4B0D-8333-4CEA4EF7FE52}" type="presParOf" srcId="{3F8FBE42-5135-44BE-B6B0-8B3C40890EF8}" destId="{33A9B8E3-109C-4D3F-82AD-0D4ACE92A157}" srcOrd="2" destOrd="0" presId="urn:microsoft.com/office/officeart/2008/layout/NameandTitleOrganizationalChart#1"/>
    <dgm:cxn modelId="{687CE625-E54D-4CCA-A98F-D756F219BC24}" type="presParOf" srcId="{D4F83ABA-B67C-46EF-ABCF-2D825264BB15}" destId="{831BDC8E-9882-4842-8E3F-24622D0E75DF}" srcOrd="1" destOrd="0" presId="urn:microsoft.com/office/officeart/2008/layout/NameandTitleOrganizationalChart#1"/>
    <dgm:cxn modelId="{9059876F-7E41-4B50-8242-7FDEE3307C48}" type="presParOf" srcId="{831BDC8E-9882-4842-8E3F-24622D0E75DF}" destId="{40289B39-128C-4B15-9A54-8BDB48F4201A}" srcOrd="0" destOrd="0" presId="urn:microsoft.com/office/officeart/2008/layout/NameandTitleOrganizationalChart#1"/>
    <dgm:cxn modelId="{286E610C-242E-49C0-9816-3523F1327D31}" type="presParOf" srcId="{831BDC8E-9882-4842-8E3F-24622D0E75DF}" destId="{05B45903-B5C3-409F-AF3C-FF6DB3E2C039}" srcOrd="1" destOrd="0" presId="urn:microsoft.com/office/officeart/2008/layout/NameandTitleOrganizationalChart#1"/>
    <dgm:cxn modelId="{D8DCB055-32A7-43D4-BD36-62F828A98D45}" type="presParOf" srcId="{05B45903-B5C3-409F-AF3C-FF6DB3E2C039}" destId="{8DB509E7-0513-4728-84F0-FD7885FB7E23}" srcOrd="0" destOrd="0" presId="urn:microsoft.com/office/officeart/2008/layout/NameandTitleOrganizationalChart#1"/>
    <dgm:cxn modelId="{8C1AA8ED-F658-47D7-82ED-6E74DAACD8DE}" type="presParOf" srcId="{8DB509E7-0513-4728-84F0-FD7885FB7E23}" destId="{B8641FC7-5D34-4E03-A0ED-676983DBA659}" srcOrd="0" destOrd="0" presId="urn:microsoft.com/office/officeart/2008/layout/NameandTitleOrganizationalChart#1"/>
    <dgm:cxn modelId="{CFCE4E20-FE6E-4330-A248-ECE61764E4E0}" type="presParOf" srcId="{8DB509E7-0513-4728-84F0-FD7885FB7E23}" destId="{D8E6EF67-2399-46CF-83BA-AEB95FCCFFF6}" srcOrd="1" destOrd="0" presId="urn:microsoft.com/office/officeart/2008/layout/NameandTitleOrganizationalChart#1"/>
    <dgm:cxn modelId="{047D2FAD-12DD-4697-B43B-3853C0FB6DD6}" type="presParOf" srcId="{8DB509E7-0513-4728-84F0-FD7885FB7E23}" destId="{E1D7B775-847B-4917-91A3-ADBB39505CD6}" srcOrd="2" destOrd="0" presId="urn:microsoft.com/office/officeart/2008/layout/NameandTitleOrganizationalChart#1"/>
    <dgm:cxn modelId="{EAD66D0A-34CA-482E-A9E1-EABC345749FE}" type="presParOf" srcId="{05B45903-B5C3-409F-AF3C-FF6DB3E2C039}" destId="{9673AF8E-DF47-4FC7-BBD4-58C6CD24CE39}" srcOrd="1" destOrd="0" presId="urn:microsoft.com/office/officeart/2008/layout/NameandTitleOrganizationalChart#1"/>
    <dgm:cxn modelId="{C3FC1C5C-B8A0-4CBB-8636-D053E21C8A23}" type="presParOf" srcId="{05B45903-B5C3-409F-AF3C-FF6DB3E2C039}" destId="{75693A1F-2D2C-4759-8674-C6341318C963}" srcOrd="2" destOrd="0" presId="urn:microsoft.com/office/officeart/2008/layout/NameandTitleOrganizationalChart#1"/>
    <dgm:cxn modelId="{3C50055B-51DE-484F-BDEE-615659334E0E}" type="presParOf" srcId="{D4F83ABA-B67C-46EF-ABCF-2D825264BB15}" destId="{2DA2F8A1-2490-413F-A3B1-1AFE29EEA4D0}" srcOrd="2" destOrd="0" presId="urn:microsoft.com/office/officeart/2008/layout/NameandTitleOrganizationalChart#1"/>
    <dgm:cxn modelId="{D8C03A8C-B1F2-46F0-BD67-8AA97A91F640}" type="presParOf" srcId="{1C3D673D-B81B-46F2-BE88-16E2F03968EA}" destId="{E1249BE2-81FA-40A0-82E4-553C81AD54C1}" srcOrd="4" destOrd="0" presId="urn:microsoft.com/office/officeart/2008/layout/NameandTitleOrganizationalChart#1"/>
    <dgm:cxn modelId="{409A7B61-AB57-449D-B13E-A51F460B860C}" type="presParOf" srcId="{1C3D673D-B81B-46F2-BE88-16E2F03968EA}" destId="{46C8F3A2-ABE0-435B-921E-E35C62D6FAE5}" srcOrd="5" destOrd="0" presId="urn:microsoft.com/office/officeart/2008/layout/NameandTitleOrganizationalChart#1"/>
    <dgm:cxn modelId="{B05FC489-4338-44F0-A204-A532FBB23444}" type="presParOf" srcId="{46C8F3A2-ABE0-435B-921E-E35C62D6FAE5}" destId="{2BB02DBA-85A7-4227-8FC5-2567AAA92D3C}" srcOrd="0" destOrd="0" presId="urn:microsoft.com/office/officeart/2008/layout/NameandTitleOrganizationalChart#1"/>
    <dgm:cxn modelId="{011D0062-49F2-41CA-AC5A-5D7A8422FED7}" type="presParOf" srcId="{2BB02DBA-85A7-4227-8FC5-2567AAA92D3C}" destId="{2852F00B-2AAF-47A9-AC2C-6FA0FCC8437F}" srcOrd="0" destOrd="0" presId="urn:microsoft.com/office/officeart/2008/layout/NameandTitleOrganizationalChart#1"/>
    <dgm:cxn modelId="{1F3B7B6E-AC12-4FCB-A56B-BFDB39CB2E10}" type="presParOf" srcId="{2BB02DBA-85A7-4227-8FC5-2567AAA92D3C}" destId="{D72300CF-93FA-4841-9EFC-04F850F16524}" srcOrd="1" destOrd="0" presId="urn:microsoft.com/office/officeart/2008/layout/NameandTitleOrganizationalChart#1"/>
    <dgm:cxn modelId="{0FFC2EF6-A78B-45F9-8786-179F4CB5F055}" type="presParOf" srcId="{2BB02DBA-85A7-4227-8FC5-2567AAA92D3C}" destId="{49CF801B-60BF-4483-B5E7-2ABC5AE9FA79}" srcOrd="2" destOrd="0" presId="urn:microsoft.com/office/officeart/2008/layout/NameandTitleOrganizationalChart#1"/>
    <dgm:cxn modelId="{FD51E7BB-BD08-40DA-B6F3-6026A7C3B9DB}" type="presParOf" srcId="{46C8F3A2-ABE0-435B-921E-E35C62D6FAE5}" destId="{37A5C393-C1CB-4EE5-B878-66A8A1F7DF01}" srcOrd="1" destOrd="0" presId="urn:microsoft.com/office/officeart/2008/layout/NameandTitleOrganizationalChart#1"/>
    <dgm:cxn modelId="{A33C1226-B1FF-43E9-948B-CB69AB0031D4}" type="presParOf" srcId="{37A5C393-C1CB-4EE5-B878-66A8A1F7DF01}" destId="{DD55262A-BE14-4D59-9DD7-C5AFBB5CBA8D}" srcOrd="0" destOrd="0" presId="urn:microsoft.com/office/officeart/2008/layout/NameandTitleOrganizationalChart#1"/>
    <dgm:cxn modelId="{05429E12-06FB-4226-815B-AFA47497AFA3}" type="presParOf" srcId="{37A5C393-C1CB-4EE5-B878-66A8A1F7DF01}" destId="{8EC52EE4-826E-4037-8FF0-7D23C1C99703}" srcOrd="1" destOrd="0" presId="urn:microsoft.com/office/officeart/2008/layout/NameandTitleOrganizationalChart#1"/>
    <dgm:cxn modelId="{1D6D50C1-7E0A-4AEE-9FBF-C2D31024B4F4}" type="presParOf" srcId="{8EC52EE4-826E-4037-8FF0-7D23C1C99703}" destId="{57F2D19B-78EA-4275-A231-6E5A393882B9}" srcOrd="0" destOrd="0" presId="urn:microsoft.com/office/officeart/2008/layout/NameandTitleOrganizationalChart#1"/>
    <dgm:cxn modelId="{2F5A84B8-58EB-46FD-BBD5-AAD2CAECD8E4}" type="presParOf" srcId="{57F2D19B-78EA-4275-A231-6E5A393882B9}" destId="{FD0C5D81-CCB2-475B-8255-41B5C31A5902}" srcOrd="0" destOrd="0" presId="urn:microsoft.com/office/officeart/2008/layout/NameandTitleOrganizationalChart#1"/>
    <dgm:cxn modelId="{5AAE835D-B8AC-45CA-824C-141F9AE18A67}" type="presParOf" srcId="{57F2D19B-78EA-4275-A231-6E5A393882B9}" destId="{E6C0AE3E-B300-40CF-A28D-EA33BE7F56B8}" srcOrd="1" destOrd="0" presId="urn:microsoft.com/office/officeart/2008/layout/NameandTitleOrganizationalChart#1"/>
    <dgm:cxn modelId="{0287E677-0094-4C51-8953-E15B026A674B}" type="presParOf" srcId="{57F2D19B-78EA-4275-A231-6E5A393882B9}" destId="{4586042C-DAA6-4056-8A45-E21C82F8BF88}" srcOrd="2" destOrd="0" presId="urn:microsoft.com/office/officeart/2008/layout/NameandTitleOrganizationalChart#1"/>
    <dgm:cxn modelId="{9D25E41C-CA07-41A6-9C48-8F2A5E4FB843}" type="presParOf" srcId="{8EC52EE4-826E-4037-8FF0-7D23C1C99703}" destId="{778B59F7-073B-4EC9-BE2C-232A0FCDB690}" srcOrd="1" destOrd="0" presId="urn:microsoft.com/office/officeart/2008/layout/NameandTitleOrganizationalChart#1"/>
    <dgm:cxn modelId="{AA8997D7-9E3A-4267-8670-58DE55A651C2}" type="presParOf" srcId="{778B59F7-073B-4EC9-BE2C-232A0FCDB690}" destId="{6A2721E3-29CC-4589-8CFD-A6BD8506F2BF}" srcOrd="0" destOrd="0" presId="urn:microsoft.com/office/officeart/2008/layout/NameandTitleOrganizationalChart#1"/>
    <dgm:cxn modelId="{FFA52F41-B4CB-4EA1-8A2A-78EC9490D85F}" type="presParOf" srcId="{778B59F7-073B-4EC9-BE2C-232A0FCDB690}" destId="{7BAE4336-8CDE-4267-B0E9-8C2295A4A420}" srcOrd="1" destOrd="0" presId="urn:microsoft.com/office/officeart/2008/layout/NameandTitleOrganizationalChart#1"/>
    <dgm:cxn modelId="{3D451A66-B985-4DA5-891A-D21B06F50DAF}" type="presParOf" srcId="{7BAE4336-8CDE-4267-B0E9-8C2295A4A420}" destId="{56C8F173-EBC8-4003-B6EC-79741AAD1462}" srcOrd="0" destOrd="0" presId="urn:microsoft.com/office/officeart/2008/layout/NameandTitleOrganizationalChart#1"/>
    <dgm:cxn modelId="{B4007726-66B8-4603-9576-EF2BC3CF6DAB}" type="presParOf" srcId="{56C8F173-EBC8-4003-B6EC-79741AAD1462}" destId="{3C8DC605-3B70-45C4-A050-2FB52FAB7508}" srcOrd="0" destOrd="0" presId="urn:microsoft.com/office/officeart/2008/layout/NameandTitleOrganizationalChart#1"/>
    <dgm:cxn modelId="{DFD4D637-AEB2-402C-B616-59F7C7A0C0BF}" type="presParOf" srcId="{56C8F173-EBC8-4003-B6EC-79741AAD1462}" destId="{A5459433-2894-4E19-BD2F-18AB60D7F359}" srcOrd="1" destOrd="0" presId="urn:microsoft.com/office/officeart/2008/layout/NameandTitleOrganizationalChart#1"/>
    <dgm:cxn modelId="{C7C22A98-13DB-4347-882B-91D3D067928F}" type="presParOf" srcId="{56C8F173-EBC8-4003-B6EC-79741AAD1462}" destId="{7E8D3AB4-B686-4E74-90EB-655311CEF4FF}" srcOrd="2" destOrd="0" presId="urn:microsoft.com/office/officeart/2008/layout/NameandTitleOrganizationalChart#1"/>
    <dgm:cxn modelId="{84DB8D19-F548-4A7B-83A7-4E66CD60F993}" type="presParOf" srcId="{7BAE4336-8CDE-4267-B0E9-8C2295A4A420}" destId="{4E351C1F-60E6-4A59-B678-D7D080059287}" srcOrd="1" destOrd="0" presId="urn:microsoft.com/office/officeart/2008/layout/NameandTitleOrganizationalChart#1"/>
    <dgm:cxn modelId="{12D0BCBC-16D6-476C-B963-2148F782BA92}" type="presParOf" srcId="{7BAE4336-8CDE-4267-B0E9-8C2295A4A420}" destId="{A985C0F0-ACDE-4649-9326-568D38748C91}" srcOrd="2" destOrd="0" presId="urn:microsoft.com/office/officeart/2008/layout/NameandTitleOrganizationalChart#1"/>
    <dgm:cxn modelId="{659670E1-3201-46AD-BADC-DFC24D941338}" type="presParOf" srcId="{778B59F7-073B-4EC9-BE2C-232A0FCDB690}" destId="{18AC8500-64C7-4187-885A-7EDE57D976F7}" srcOrd="2" destOrd="0" presId="urn:microsoft.com/office/officeart/2008/layout/NameandTitleOrganizationalChart#1"/>
    <dgm:cxn modelId="{E6F37E44-5193-44E1-A875-3270BF9191F6}" type="presParOf" srcId="{778B59F7-073B-4EC9-BE2C-232A0FCDB690}" destId="{9AE05872-145F-4B6E-B2D1-C151E0E5097F}" srcOrd="3" destOrd="0" presId="urn:microsoft.com/office/officeart/2008/layout/NameandTitleOrganizationalChart#1"/>
    <dgm:cxn modelId="{0BFD9DAD-BED4-4B18-B81E-7E92CD381034}" type="presParOf" srcId="{9AE05872-145F-4B6E-B2D1-C151E0E5097F}" destId="{FF41DFF8-FBA7-44C9-BD68-4E29072ED0CE}" srcOrd="0" destOrd="0" presId="urn:microsoft.com/office/officeart/2008/layout/NameandTitleOrganizationalChart#1"/>
    <dgm:cxn modelId="{51E73C33-D5DC-453D-B587-4DB9F981CD1C}" type="presParOf" srcId="{FF41DFF8-FBA7-44C9-BD68-4E29072ED0CE}" destId="{F6EF556E-E0DB-4C83-B786-17AF38D7C739}" srcOrd="0" destOrd="0" presId="urn:microsoft.com/office/officeart/2008/layout/NameandTitleOrganizationalChart#1"/>
    <dgm:cxn modelId="{2D179BEB-6CB1-464E-849C-B5F02A5861F0}" type="presParOf" srcId="{FF41DFF8-FBA7-44C9-BD68-4E29072ED0CE}" destId="{B7029FA1-DD6A-437E-9FB6-1E239C50A141}" srcOrd="1" destOrd="0" presId="urn:microsoft.com/office/officeart/2008/layout/NameandTitleOrganizationalChart#1"/>
    <dgm:cxn modelId="{1BBB9AC0-7250-4148-8A64-A337EA4886B9}" type="presParOf" srcId="{FF41DFF8-FBA7-44C9-BD68-4E29072ED0CE}" destId="{C36FCFA2-003B-4BF1-81A1-7B4B793290BF}" srcOrd="2" destOrd="0" presId="urn:microsoft.com/office/officeart/2008/layout/NameandTitleOrganizationalChart#1"/>
    <dgm:cxn modelId="{7CBCC060-3314-466D-8E48-04D6A7C86D32}" type="presParOf" srcId="{9AE05872-145F-4B6E-B2D1-C151E0E5097F}" destId="{5FE78E29-54A3-4452-A121-8A522DFF0011}" srcOrd="1" destOrd="0" presId="urn:microsoft.com/office/officeart/2008/layout/NameandTitleOrganizationalChart#1"/>
    <dgm:cxn modelId="{44547115-8CC0-4EB0-A17A-2287A4CF98C4}" type="presParOf" srcId="{9AE05872-145F-4B6E-B2D1-C151E0E5097F}" destId="{36987EE5-6C19-405E-BAFA-1CF5EFB3EBF7}" srcOrd="2" destOrd="0" presId="urn:microsoft.com/office/officeart/2008/layout/NameandTitleOrganizationalChart#1"/>
    <dgm:cxn modelId="{881E809D-2875-495B-85E3-D08A832623FE}" type="presParOf" srcId="{8EC52EE4-826E-4037-8FF0-7D23C1C99703}" destId="{AD6C957D-066A-4092-8E9A-4AF23C3B57BA}" srcOrd="2" destOrd="0" presId="urn:microsoft.com/office/officeart/2008/layout/NameandTitleOrganizationalChart#1"/>
    <dgm:cxn modelId="{513E67B0-8006-4CDD-B2B4-ABE4947F7E9F}" type="presParOf" srcId="{37A5C393-C1CB-4EE5-B878-66A8A1F7DF01}" destId="{3F4CF33A-7AD2-40E9-8823-3395E8DB45A1}" srcOrd="2" destOrd="0" presId="urn:microsoft.com/office/officeart/2008/layout/NameandTitleOrganizationalChart#1"/>
    <dgm:cxn modelId="{E692BCA8-9C05-4B72-B40F-1895FBB1539A}" type="presParOf" srcId="{37A5C393-C1CB-4EE5-B878-66A8A1F7DF01}" destId="{1973F20E-1714-4D26-8F6C-E48DD2BF4F15}" srcOrd="3" destOrd="0" presId="urn:microsoft.com/office/officeart/2008/layout/NameandTitleOrganizationalChart#1"/>
    <dgm:cxn modelId="{F680A8DA-4F81-43CD-A537-4CB67A433BA2}" type="presParOf" srcId="{1973F20E-1714-4D26-8F6C-E48DD2BF4F15}" destId="{CEE70A00-1762-4D84-9665-0BF7732DA4E3}" srcOrd="0" destOrd="0" presId="urn:microsoft.com/office/officeart/2008/layout/NameandTitleOrganizationalChart#1"/>
    <dgm:cxn modelId="{836C9365-312A-4775-9D5E-9749D19CB826}" type="presParOf" srcId="{CEE70A00-1762-4D84-9665-0BF7732DA4E3}" destId="{B78D8A1E-5181-4805-A3E6-FDAE5D611303}" srcOrd="0" destOrd="0" presId="urn:microsoft.com/office/officeart/2008/layout/NameandTitleOrganizationalChart#1"/>
    <dgm:cxn modelId="{398010DD-8FF7-439C-AB70-29ACA2BBBB94}" type="presParOf" srcId="{CEE70A00-1762-4D84-9665-0BF7732DA4E3}" destId="{BFD9636B-3A0B-4843-9A09-1BB983AFDBC6}" srcOrd="1" destOrd="0" presId="urn:microsoft.com/office/officeart/2008/layout/NameandTitleOrganizationalChart#1"/>
    <dgm:cxn modelId="{272C1B23-637E-4090-BF5A-7CA04A0C2DAC}" type="presParOf" srcId="{CEE70A00-1762-4D84-9665-0BF7732DA4E3}" destId="{3E254A32-67BC-448E-BE73-4F8AC86C4AB3}" srcOrd="2" destOrd="0" presId="urn:microsoft.com/office/officeart/2008/layout/NameandTitleOrganizationalChart#1"/>
    <dgm:cxn modelId="{C32B17BF-C420-4C15-9F76-F2A3D5320BD5}" type="presParOf" srcId="{1973F20E-1714-4D26-8F6C-E48DD2BF4F15}" destId="{55D7C58D-6F22-4EE1-97AF-782A4E7C5820}" srcOrd="1" destOrd="0" presId="urn:microsoft.com/office/officeart/2008/layout/NameandTitleOrganizationalChart#1"/>
    <dgm:cxn modelId="{B6BAA0F4-ACF4-430D-8476-A649D493ABA7}" type="presParOf" srcId="{1973F20E-1714-4D26-8F6C-E48DD2BF4F15}" destId="{79F41A8D-CD3C-4D07-916F-94507A32A9F2}" srcOrd="2" destOrd="0" presId="urn:microsoft.com/office/officeart/2008/layout/NameandTitleOrganizationalChart#1"/>
    <dgm:cxn modelId="{C060CB94-012C-42AE-B078-536B9FB19E76}" type="presParOf" srcId="{37A5C393-C1CB-4EE5-B878-66A8A1F7DF01}" destId="{8F626422-2FC6-499D-BFC5-DB727EB9655C}" srcOrd="4" destOrd="0" presId="urn:microsoft.com/office/officeart/2008/layout/NameandTitleOrganizationalChart#1"/>
    <dgm:cxn modelId="{400A9011-0E28-4029-AC28-320C0D0AF5D9}" type="presParOf" srcId="{37A5C393-C1CB-4EE5-B878-66A8A1F7DF01}" destId="{359BEF19-E76D-49EC-A53A-87FF3B056DBC}" srcOrd="5" destOrd="0" presId="urn:microsoft.com/office/officeart/2008/layout/NameandTitleOrganizationalChart#1"/>
    <dgm:cxn modelId="{90CBE844-787C-4B28-BE79-60B4B8F6B2E5}" type="presParOf" srcId="{359BEF19-E76D-49EC-A53A-87FF3B056DBC}" destId="{704CFAFE-1580-42AA-9A35-732F57AE0923}" srcOrd="0" destOrd="0" presId="urn:microsoft.com/office/officeart/2008/layout/NameandTitleOrganizationalChart#1"/>
    <dgm:cxn modelId="{1AF856E4-68AA-41DE-9B35-2ACBFDB96C39}" type="presParOf" srcId="{704CFAFE-1580-42AA-9A35-732F57AE0923}" destId="{05476FC0-3C66-45B4-8207-01A164687DF9}" srcOrd="0" destOrd="0" presId="urn:microsoft.com/office/officeart/2008/layout/NameandTitleOrganizationalChart#1"/>
    <dgm:cxn modelId="{B7EBB103-A375-4498-ABAF-2CC5E2F522EC}" type="presParOf" srcId="{704CFAFE-1580-42AA-9A35-732F57AE0923}" destId="{27E0D48A-04C2-46B8-8F71-F09C86F96399}" srcOrd="1" destOrd="0" presId="urn:microsoft.com/office/officeart/2008/layout/NameandTitleOrganizationalChart#1"/>
    <dgm:cxn modelId="{7FD84D7B-E022-4E13-8940-F01AEF87FADC}" type="presParOf" srcId="{704CFAFE-1580-42AA-9A35-732F57AE0923}" destId="{6B3885F9-F943-4DC7-B0C2-28169F7DAAE1}" srcOrd="2" destOrd="0" presId="urn:microsoft.com/office/officeart/2008/layout/NameandTitleOrganizationalChart#1"/>
    <dgm:cxn modelId="{68452ED9-B1D5-4C32-948A-D2C6E1DFF10A}" type="presParOf" srcId="{359BEF19-E76D-49EC-A53A-87FF3B056DBC}" destId="{EC1ED916-1D90-499D-8C77-62944F8D2F93}" srcOrd="1" destOrd="0" presId="urn:microsoft.com/office/officeart/2008/layout/NameandTitleOrganizationalChart#1"/>
    <dgm:cxn modelId="{3751766A-6047-4D97-9AB7-3A227742280B}" type="presParOf" srcId="{EC1ED916-1D90-499D-8C77-62944F8D2F93}" destId="{A1025FAB-5DFB-42D6-96B2-29AB22945F6D}" srcOrd="0" destOrd="0" presId="urn:microsoft.com/office/officeart/2008/layout/NameandTitleOrganizationalChart#1"/>
    <dgm:cxn modelId="{92645383-9D47-4832-B6C0-F8C342F63CE1}" type="presParOf" srcId="{EC1ED916-1D90-499D-8C77-62944F8D2F93}" destId="{EB7E330E-EAF6-4702-B407-1D1A0C63EAA1}" srcOrd="1" destOrd="0" presId="urn:microsoft.com/office/officeart/2008/layout/NameandTitleOrganizationalChart#1"/>
    <dgm:cxn modelId="{1E52EB4B-3489-4CD2-9D2D-62A8DC8C5D00}" type="presParOf" srcId="{EB7E330E-EAF6-4702-B407-1D1A0C63EAA1}" destId="{04D6D7D7-AEF3-46DD-8A4C-4F93201DF427}" srcOrd="0" destOrd="0" presId="urn:microsoft.com/office/officeart/2008/layout/NameandTitleOrganizationalChart#1"/>
    <dgm:cxn modelId="{04D1EF39-2751-4194-ADED-F25357B8128E}" type="presParOf" srcId="{04D6D7D7-AEF3-46DD-8A4C-4F93201DF427}" destId="{191D4031-89C9-445B-950F-2AEF89F8C179}" srcOrd="0" destOrd="0" presId="urn:microsoft.com/office/officeart/2008/layout/NameandTitleOrganizationalChart#1"/>
    <dgm:cxn modelId="{82F33A97-97B2-453F-A954-8ABB737E8132}" type="presParOf" srcId="{04D6D7D7-AEF3-46DD-8A4C-4F93201DF427}" destId="{1CD47437-6802-4D17-A52A-5E4CEE7F854A}" srcOrd="1" destOrd="0" presId="urn:microsoft.com/office/officeart/2008/layout/NameandTitleOrganizationalChart#1"/>
    <dgm:cxn modelId="{FE3C5979-968F-403F-B61E-AFE91C9681A0}" type="presParOf" srcId="{04D6D7D7-AEF3-46DD-8A4C-4F93201DF427}" destId="{0A089B8D-F96E-4432-A5BB-15938E8A5C5A}" srcOrd="2" destOrd="0" presId="urn:microsoft.com/office/officeart/2008/layout/NameandTitleOrganizationalChart#1"/>
    <dgm:cxn modelId="{B8C397FD-2E5A-4898-B27E-4B6841E817A1}" type="presParOf" srcId="{EB7E330E-EAF6-4702-B407-1D1A0C63EAA1}" destId="{2AB58438-0C73-48D7-920F-E31AAACB1CEE}" srcOrd="1" destOrd="0" presId="urn:microsoft.com/office/officeart/2008/layout/NameandTitleOrganizationalChart#1"/>
    <dgm:cxn modelId="{83BCC8E5-9709-4FC6-8DD4-EAFA176BA192}" type="presParOf" srcId="{EB7E330E-EAF6-4702-B407-1D1A0C63EAA1}" destId="{83E3C6B3-7D5F-420D-9E6F-60F1E6561006}" srcOrd="2" destOrd="0" presId="urn:microsoft.com/office/officeart/2008/layout/NameandTitleOrganizationalChart#1"/>
    <dgm:cxn modelId="{3AD01733-FF04-4862-A5AB-0930B6ED923E}" type="presParOf" srcId="{EC1ED916-1D90-499D-8C77-62944F8D2F93}" destId="{C7EDBCAF-DE9F-4DD7-9D14-EF266E4E4A1D}" srcOrd="2" destOrd="0" presId="urn:microsoft.com/office/officeart/2008/layout/NameandTitleOrganizationalChart#1"/>
    <dgm:cxn modelId="{1DB84F55-E6CF-47F8-94A5-10B9AD430041}" type="presParOf" srcId="{EC1ED916-1D90-499D-8C77-62944F8D2F93}" destId="{7C1CEA51-95A8-48A7-8D93-719621C7E3CE}" srcOrd="3" destOrd="0" presId="urn:microsoft.com/office/officeart/2008/layout/NameandTitleOrganizationalChart#1"/>
    <dgm:cxn modelId="{D8AF49D6-2D6D-4E57-97AD-339ED950AF91}" type="presParOf" srcId="{7C1CEA51-95A8-48A7-8D93-719621C7E3CE}" destId="{33E3CCA0-CD58-49B0-841C-DC666955E5F4}" srcOrd="0" destOrd="0" presId="urn:microsoft.com/office/officeart/2008/layout/NameandTitleOrganizationalChart#1"/>
    <dgm:cxn modelId="{071F95EE-5EF3-4C41-A86D-3BA9098CEA13}" type="presParOf" srcId="{33E3CCA0-CD58-49B0-841C-DC666955E5F4}" destId="{74EDF0C9-60F4-46F4-A2B4-D60688E47BF8}" srcOrd="0" destOrd="0" presId="urn:microsoft.com/office/officeart/2008/layout/NameandTitleOrganizationalChart#1"/>
    <dgm:cxn modelId="{932CBDDD-9BC2-4951-B744-0FC891315DA2}" type="presParOf" srcId="{33E3CCA0-CD58-49B0-841C-DC666955E5F4}" destId="{2D71E230-7E83-4BB2-B894-13C6329FBF86}" srcOrd="1" destOrd="0" presId="urn:microsoft.com/office/officeart/2008/layout/NameandTitleOrganizationalChart#1"/>
    <dgm:cxn modelId="{D8901693-352F-4684-8381-DBEEBAD9C4D0}" type="presParOf" srcId="{33E3CCA0-CD58-49B0-841C-DC666955E5F4}" destId="{35B71BDB-1835-49A7-887E-33882C4000A0}" srcOrd="2" destOrd="0" presId="urn:microsoft.com/office/officeart/2008/layout/NameandTitleOrganizationalChart#1"/>
    <dgm:cxn modelId="{4186AC6C-D22B-461D-9C0F-1770556D18D6}" type="presParOf" srcId="{7C1CEA51-95A8-48A7-8D93-719621C7E3CE}" destId="{11E3F1F6-D749-4C66-8F58-1B28B3A45E7E}" srcOrd="1" destOrd="0" presId="urn:microsoft.com/office/officeart/2008/layout/NameandTitleOrganizationalChart#1"/>
    <dgm:cxn modelId="{3BDB2F0B-D7C9-4825-AC9C-DC583B33F1EE}" type="presParOf" srcId="{7C1CEA51-95A8-48A7-8D93-719621C7E3CE}" destId="{BAF9E7B3-A9C7-4B8A-875E-AD6E60DCEE15}" srcOrd="2" destOrd="0" presId="urn:microsoft.com/office/officeart/2008/layout/NameandTitleOrganizationalChart#1"/>
    <dgm:cxn modelId="{0245754E-2144-4AF8-8FF0-1C78F128F201}" type="presParOf" srcId="{359BEF19-E76D-49EC-A53A-87FF3B056DBC}" destId="{9452EE61-C244-4F77-A656-7BF3A7CF5E00}" srcOrd="2" destOrd="0" presId="urn:microsoft.com/office/officeart/2008/layout/NameandTitleOrganizationalChart#1"/>
    <dgm:cxn modelId="{2B24C411-032D-446B-ADD8-8639111F1000}" type="presParOf" srcId="{46C8F3A2-ABE0-435B-921E-E35C62D6FAE5}" destId="{03861FB5-B35D-4632-A72C-6BA8D8075ACE}" srcOrd="2" destOrd="0" presId="urn:microsoft.com/office/officeart/2008/layout/NameandTitleOrganizationalChart#1"/>
    <dgm:cxn modelId="{74587185-4ABE-4D27-ADFD-2769FA860B13}" type="presParOf" srcId="{1C3D673D-B81B-46F2-BE88-16E2F03968EA}" destId="{861BDBCB-B15D-415B-A3BE-DE336944052A}" srcOrd="6" destOrd="0" presId="urn:microsoft.com/office/officeart/2008/layout/NameandTitleOrganizationalChart#1"/>
    <dgm:cxn modelId="{76DB05B9-DF41-426D-8B78-FCB8183EC2EB}" type="presParOf" srcId="{1C3D673D-B81B-46F2-BE88-16E2F03968EA}" destId="{31E2FE59-8604-4C16-A478-160633A50FD9}" srcOrd="7" destOrd="0" presId="urn:microsoft.com/office/officeart/2008/layout/NameandTitleOrganizationalChart#1"/>
    <dgm:cxn modelId="{1597D41E-423A-4605-938A-330D6109A8D1}" type="presParOf" srcId="{31E2FE59-8604-4C16-A478-160633A50FD9}" destId="{543F8176-7E54-481C-863E-5DD3AAA44FB3}" srcOrd="0" destOrd="0" presId="urn:microsoft.com/office/officeart/2008/layout/NameandTitleOrganizationalChart#1"/>
    <dgm:cxn modelId="{DBD3FF68-D5C6-47E1-BBA1-2E8870E49264}" type="presParOf" srcId="{543F8176-7E54-481C-863E-5DD3AAA44FB3}" destId="{E816C345-C4C5-4ACF-8C08-2FC4FF6B69CE}" srcOrd="0" destOrd="0" presId="urn:microsoft.com/office/officeart/2008/layout/NameandTitleOrganizationalChart#1"/>
    <dgm:cxn modelId="{9B55DD85-E9DD-41D7-A2C0-D5BA02EB5CB2}" type="presParOf" srcId="{543F8176-7E54-481C-863E-5DD3AAA44FB3}" destId="{9D2595C8-2748-4CF8-9576-CC4930E7AD13}" srcOrd="1" destOrd="0" presId="urn:microsoft.com/office/officeart/2008/layout/NameandTitleOrganizationalChart#1"/>
    <dgm:cxn modelId="{231B55B7-C834-4145-BDAE-105EF46840D7}" type="presParOf" srcId="{543F8176-7E54-481C-863E-5DD3AAA44FB3}" destId="{8CC714CE-C5B3-4DDA-BE1F-91DAC2CF2555}" srcOrd="2" destOrd="0" presId="urn:microsoft.com/office/officeart/2008/layout/NameandTitleOrganizationalChart#1"/>
    <dgm:cxn modelId="{A98A14BE-0AD7-4E4A-86E1-0D60A2957010}" type="presParOf" srcId="{31E2FE59-8604-4C16-A478-160633A50FD9}" destId="{6AFE5C8D-E9E9-4B15-992B-8BCF1CA2F89A}" srcOrd="1" destOrd="0" presId="urn:microsoft.com/office/officeart/2008/layout/NameandTitleOrganizationalChart#1"/>
    <dgm:cxn modelId="{73232C47-265D-49A0-9E79-F192E3F802AB}" type="presParOf" srcId="{31E2FE59-8604-4C16-A478-160633A50FD9}" destId="{5BFBCAC9-AFA0-4FBC-AAB9-F0293883C81F}" srcOrd="2" destOrd="0" presId="urn:microsoft.com/office/officeart/2008/layout/NameandTitleOrganizationalChart#1"/>
    <dgm:cxn modelId="{A63C25B1-4343-42A9-914B-8EAF354236A9}" type="presParOf" srcId="{1C3D673D-B81B-46F2-BE88-16E2F03968EA}" destId="{B90B3CD9-EBCF-4865-97F9-75D0A9DE6FA6}" srcOrd="8" destOrd="0" presId="urn:microsoft.com/office/officeart/2008/layout/NameandTitleOrganizationalChart#1"/>
    <dgm:cxn modelId="{7FED47A9-1BC5-4368-96A9-E059D6F7F8A5}" type="presParOf" srcId="{1C3D673D-B81B-46F2-BE88-16E2F03968EA}" destId="{8A86981F-F520-4B21-8309-0C344BC6A6CB}" srcOrd="9" destOrd="0" presId="urn:microsoft.com/office/officeart/2008/layout/NameandTitleOrganizationalChart#1"/>
    <dgm:cxn modelId="{20C03787-5FD0-424C-87C0-5565D6BDBAB3}" type="presParOf" srcId="{8A86981F-F520-4B21-8309-0C344BC6A6CB}" destId="{F1111F81-9D32-45AF-977C-1F5D9250266A}" srcOrd="0" destOrd="0" presId="urn:microsoft.com/office/officeart/2008/layout/NameandTitleOrganizationalChart#1"/>
    <dgm:cxn modelId="{F07B07FA-0F56-4DC9-BCE9-AE4E3810EDDE}" type="presParOf" srcId="{F1111F81-9D32-45AF-977C-1F5D9250266A}" destId="{08CFFBF0-0751-4CF5-9A0F-7BB23D978F54}" srcOrd="0" destOrd="0" presId="urn:microsoft.com/office/officeart/2008/layout/NameandTitleOrganizationalChart#1"/>
    <dgm:cxn modelId="{5BBECA13-4D24-4179-8BAB-B09BFC889DB0}" type="presParOf" srcId="{F1111F81-9D32-45AF-977C-1F5D9250266A}" destId="{B5E42238-499F-4627-9235-518AC5E7A178}" srcOrd="1" destOrd="0" presId="urn:microsoft.com/office/officeart/2008/layout/NameandTitleOrganizationalChart#1"/>
    <dgm:cxn modelId="{9AA987C8-B988-48F3-A597-1BA66F6E0C14}" type="presParOf" srcId="{F1111F81-9D32-45AF-977C-1F5D9250266A}" destId="{82B6832F-5470-4A24-8C70-D3C18BD40FFA}" srcOrd="2" destOrd="0" presId="urn:microsoft.com/office/officeart/2008/layout/NameandTitleOrganizationalChart#1"/>
    <dgm:cxn modelId="{A612BF61-0D33-4870-90BC-278C83F8978F}" type="presParOf" srcId="{8A86981F-F520-4B21-8309-0C344BC6A6CB}" destId="{78ADBBED-1630-4E58-B0D7-AE6FCE3250C5}" srcOrd="1" destOrd="0" presId="urn:microsoft.com/office/officeart/2008/layout/NameandTitleOrganizationalChart#1"/>
    <dgm:cxn modelId="{A580C7A1-00FF-4D52-892E-8016F495799D}" type="presParOf" srcId="{8A86981F-F520-4B21-8309-0C344BC6A6CB}" destId="{C1579F62-32A5-4FE0-9ABE-308B739D8895}" srcOrd="2" destOrd="0" presId="urn:microsoft.com/office/officeart/2008/layout/NameandTitleOrganizationalChart#1"/>
    <dgm:cxn modelId="{0D123F3B-991E-403E-ABB5-EE89A9D99BA2}" type="presParOf" srcId="{9E789C6E-89BA-4B21-97B8-B68CE9D86712}" destId="{20FE3D43-F69D-43E6-8DDE-DEB19A7E79A0}" srcOrd="2" destOrd="0" presId="urn:microsoft.com/office/officeart/2008/layout/NameandTitleOrganizationalChart#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8/layout/NameandTitleOrganizationalChart#1">
  <dgm:title val=""/>
  <dgm:desc val=""/>
  <dgm:catLst>
    <dgm:cat type="hierarchy" pri="125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Max/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h" fact="0.4"/>
              </dgm:constrLst>
              <dgm:ruleLst>
                <dgm:rule type="primFontSz" val="5" fact="NaN" max="NaN"/>
              </dgm:ruleLst>
            </dgm:layoutNode>
            <dgm:layoutNode name="titleText1" styleLbl="fgAcc0">
              <dgm:varLst>
                <dgm:chMax val="0"/>
                <dgm:chPref val="0"/>
              </dgm:varLst>
              <dgm:alg type="tx">
                <dgm:param type="parTxLTRAlign" val="r"/>
              </dgm:alg>
              <dgm:shape xmlns:r="http://schemas.openxmlformats.org/officeDocument/2006/relationships" type="rect" r:blip="">
                <dgm:adjLst/>
              </dgm:shape>
              <dgm:presOf axis="followSib" ptType="sibTrans" hideLastTrans="0" cnt="1"/>
              <dgm:constrLst>
                <dgm:constr type="primFontSz" val="65"/>
                <dgm:constr type="lMarg" refType="primFontSz" fact="0.2"/>
                <dgm:constr type="rMarg" refType="primFontSz" fact="0.2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linDir" val="fromT"/>
                  <dgm:param type="chAlign" val="r"/>
                </dgm:alg>
              </dgm:if>
              <dgm:if name="Name23" func="var" arg="hierBranch" op="equ" val="r">
                <dgm:alg type="hierChild">
                  <dgm:param type="linDir" val="fromT"/>
                  <dgm:param type="chAlign" val="l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linDir" val="fromL"/>
                      <dgm:param type="chAlign" val="l"/>
                      <dgm:param type="secLinDir" val="fromT"/>
                      <dgm:param type="secChAlign" val="t"/>
                    </dgm:alg>
                  </dgm:if>
                  <dgm:else name="Name27">
                    <dgm:alg type="hierChild">
                      <dgm:param type="linDir" val="fromR"/>
                      <dgm:param type="chAlign" val="l"/>
                      <dgm:param type="secLinDir" val="fromT"/>
                      <dgm:param type="secChAlign" val="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dim" val="1D"/>
                        <dgm:param type="endSty" val="noArr"/>
                        <dgm:param type="connRout" val="bend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dim" val="1D"/>
                            <dgm:param type="endSty" val="noArr"/>
                            <dgm:param type="connRout" val="bend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alg type="conn">
                            <dgm:param type="dim" val="1D"/>
                            <dgm:param type="endSty" val="noArr"/>
                            <dgm:param type="connRout" val="bend"/>
                            <dgm:param type="begPts" val="bCtr"/>
                            <dgm:param type="endPts" val="tCtr"/>
                            <dgm:param type="bendPt" val="end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1" func="var" arg="hierBranch" op="equ" val="hang">
                    <dgm:layoutNode name="Name42">
                      <dgm:alg type="conn">
                        <dgm:param type="dim" val="1D"/>
                        <dgm:param type="endSty" val="noArr"/>
                        <dgm:param type="connRout" val="bend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3">
                    <dgm:layoutNode name="Name44">
                      <dgm:choose name="Name45">
                        <dgm:if name="Name46" axis="self" func="depth" op="lte" val="2">
                          <dgm:choose name="Name47">
                            <dgm:if name="Name48" axis="par ch" ptType="node asst" func="cnt" op="gte" val="1">
                              <dgm:alg type="conn">
                                <dgm:param type="dim" val="1D"/>
                                <dgm:param type="endSty" val="noArr"/>
                                <dgm:param type="connRout" val="bend"/>
                                <dgm:param type="begPts" val="bCtr"/>
                                <dgm:param type="endPts" val="midL midR"/>
                              </dgm:alg>
                            </dgm:if>
                            <dgm:else name="Name49">
                              <dgm:alg type="conn">
                                <dgm:param type="srcNode" val="rootConnector1"/>
                                <dgm:param type="dim" val="1D"/>
                                <dgm:param type="endSty" val="noArr"/>
                                <dgm:param type="connRout" val="bend"/>
                                <dgm:param type="begPts" val="bCtr"/>
                                <dgm:param type="endPts" val="midL midR"/>
                              </dgm:alg>
                            </dgm:else>
                          </dgm:choose>
                        </dgm:if>
                        <dgm:else name="Name50">
                          <dgm:choose name="Name51">
                            <dgm:if name="Name52" axis="par ch" ptType="node asst" func="cnt" op="gte" val="1">
                              <dgm:alg type="conn">
                                <dgm:param type="dim" val="1D"/>
                                <dgm:param type="endSty" val="noArr"/>
                                <dgm:param type="connRout" val="bend"/>
                                <dgm:param type="begPts" val="bCtr"/>
                                <dgm:param type="endPts" val="midL midR"/>
                              </dgm:alg>
                            </dgm:if>
                            <dgm:else name="Name53">
                              <dgm:alg type="conn">
                                <dgm:param type="srcNode" val="rootConnector"/>
                                <dgm:param type="dim" val="1D"/>
                                <dgm:param type="endSty" val="noArr"/>
                                <dgm:param type="connRout" val="bend"/>
                                <dgm:param type="begPts" val="bCtr"/>
                                <dgm:param type="endPts" val="midL mid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54">
                  <dgm:if name="Name55" func="var" arg="hierBranch" op="equ" val="l">
                    <dgm:choose name="Name56">
                      <dgm:if name="Name57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58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59" func="var" arg="hierBranch" op="equ" val="r">
                    <dgm:choose name="Name60">
                      <dgm:if name="Name61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2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3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64" func="var" arg="hierBranch" op="equ" val="init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else name="Name65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66">
                    <dgm:if name="Name67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68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69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70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 styleLbl="node1">
                    <dgm:varLst>
                      <dgm:chMax/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h" fact="0.4"/>
                    </dgm:constrLst>
                    <dgm:ruleLst>
                      <dgm:rule type="primFontSz" val="5" fact="NaN" max="NaN"/>
                    </dgm:ruleLst>
                  </dgm:layoutNode>
                  <dgm:layoutNode name="titleText2" styleLbl="fgAcc1">
                    <dgm:varLst>
                      <dgm:chMax val="0"/>
                      <dgm:chPref val="0"/>
                    </dgm:varLst>
                    <dgm:alg type="tx">
                      <dgm:param type="parTxLTRAlign" val="r"/>
                    </dgm:alg>
                    <dgm:shape xmlns:r="http://schemas.openxmlformats.org/officeDocument/2006/relationships" type="rect" r:blip="">
                      <dgm:adjLst/>
                    </dgm:shape>
                    <dgm:presOf axis="followSib" ptType="sibTrans" hideLastTrans="0" cnt="1"/>
                    <dgm:constrLst>
                      <dgm:constr type="primFontSz" val="65"/>
                      <dgm:constr type="lMarg" refType="primFontSz" fact="0.2"/>
                      <dgm:constr type="rMarg" refType="primFontSz" fact="0.2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71">
                    <dgm:if name="Name72" func="var" arg="hierBranch" op="equ" val="l">
                      <dgm:alg type="hierChild">
                        <dgm:param type="linDir" val="fromT"/>
                        <dgm:param type="chAlign" val="r"/>
                      </dgm:alg>
                    </dgm:if>
                    <dgm:if name="Name73" func="var" arg="hierBranch" op="equ" val="r">
                      <dgm:alg type="hierChild">
                        <dgm:param type="linDir" val="fromT"/>
                        <dgm:param type="chAlign" val="l"/>
                      </dgm:alg>
                    </dgm:if>
                    <dgm:if name="Name74" func="var" arg="hierBranch" op="equ" val="hang">
                      <dgm:choose name="Name75">
                        <dgm:if name="Name76" func="var" arg="dir" op="equ" val="norm">
                          <dgm:alg type="hierChild">
                            <dgm:param type="linDir" val="fromL"/>
                            <dgm:param type="chAlign" val="l"/>
                            <dgm:param type="secLinDir" val="fromT"/>
                            <dgm:param type="secChAlign" val="t"/>
                          </dgm:alg>
                        </dgm:if>
                        <dgm:else name="Name77">
                          <dgm:alg type="hierChild">
                            <dgm:param type="linDir" val="fromR"/>
                            <dgm:param type="chAlign" val="l"/>
                            <dgm:param type="secLinDir" val="fromT"/>
                            <dgm:param type="secChAlign" val="t"/>
                          </dgm:alg>
                        </dgm:else>
                      </dgm:choose>
                    </dgm:if>
                    <dgm:if name="Name78" func="var" arg="hierBranch" op="equ" val="std">
                      <dgm:choose name="Name79">
                        <dgm:if name="Name80" func="var" arg="dir" op="equ" val="norm">
                          <dgm:alg type="hierChild"/>
                        </dgm:if>
                        <dgm:else name="Name81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82" func="var" arg="hierBranch" op="equ" val="init">
                      <dgm:choose name="Name83">
                        <dgm:if name="Name84" func="var" arg="dir" op="equ" val="norm">
                          <dgm:alg type="hierChild"/>
                        </dgm:if>
                        <dgm:else name="Name85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else name="Name86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87" ref="rep2a"/>
                </dgm:layoutNode>
                <dgm:layoutNode name="hierChild5">
                  <dgm:choose name="Name88">
                    <dgm:if name="Name89" func="var" arg="dir" op="equ" val="norm">
                      <dgm:alg type="hierChild">
                        <dgm:param type="linDir" val="fromL"/>
                        <dgm:param type="chAlign" val="l"/>
                        <dgm:param type="secLinDir" val="fromT"/>
                        <dgm:param type="secChAlign" val="t"/>
                      </dgm:alg>
                    </dgm:if>
                    <dgm:else name="Name90">
                      <dgm:alg type="hierChild">
                        <dgm:param type="linDir" val="fromR"/>
                        <dgm:param type="chAlign" val="l"/>
                        <dgm:param type="secLinDir" val="fromT"/>
                        <dgm:param type="secChAlign" val="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91" ref="rep2b"/>
                </dgm:layoutNode>
              </dgm:layoutNode>
            </dgm:forEach>
          </dgm:layoutNode>
          <dgm:layoutNode name="hierChild3">
            <dgm:choose name="Name92">
              <dgm:if name="Name93" func="var" arg="dir" op="equ" val="norm">
                <dgm:alg type="hierChild">
                  <dgm:param type="linDir" val="fromL"/>
                  <dgm:param type="chAlign" val="l"/>
                  <dgm:param type="secLinDir" val="fromT"/>
                  <dgm:param type="secChAlign" val="t"/>
                </dgm:alg>
              </dgm:if>
              <dgm:else name="Name94">
                <dgm:alg type="hierChild">
                  <dgm:param type="linDir" val="fromR"/>
                  <dgm:param type="chAlign" val="l"/>
                  <dgm:param type="secLinDir" val="fromT"/>
                  <dgm:param type="secChAlign" val="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95" axis="precedSib" ptType="parTrans" st="-1" cnt="1">
                <dgm:layoutNode name="Name96">
                  <dgm:alg type="conn">
                    <dgm:param type="dim" val="1D"/>
                    <dgm:param type="endSty" val="noArr"/>
                    <dgm:param type="connRout" val="bend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97">
                  <dgm:if name="Name98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99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0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1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02" func="var" arg="hierBranch" op="equ" val="init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else name="Name103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04">
                    <dgm:if name="Name105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06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07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08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 styleLbl="asst1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h" fact="0.4"/>
                    </dgm:constrLst>
                    <dgm:ruleLst>
                      <dgm:rule type="primFontSz" val="5" fact="NaN" max="NaN"/>
                    </dgm:ruleLst>
                  </dgm:layoutNode>
                  <dgm:layoutNode name="titleText3" styleLbl="fgAcc2">
                    <dgm:varLst>
                      <dgm:chMax val="0"/>
                      <dgm:chPref val="0"/>
                    </dgm:varLst>
                    <dgm:alg type="tx">
                      <dgm:param type="parTxLTRAlign" val="r"/>
                    </dgm:alg>
                    <dgm:shape xmlns:r="http://schemas.openxmlformats.org/officeDocument/2006/relationships" type="rect" r:blip="">
                      <dgm:adjLst/>
                    </dgm:shape>
                    <dgm:presOf axis="followSib" ptType="sibTrans" hideLastTrans="0" cnt="1"/>
                    <dgm:constrLst>
                      <dgm:constr type="primFontSz" val="65"/>
                      <dgm:constr type="lMarg" refType="primFontSz" fact="0.2"/>
                      <dgm:constr type="rMarg" refType="primFontSz" fact="0.2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09">
                    <dgm:if name="Name110" func="var" arg="hierBranch" op="equ" val="l">
                      <dgm:alg type="hierChild">
                        <dgm:param type="linDir" val="fromT"/>
                        <dgm:param type="chAlign" val="r"/>
                      </dgm:alg>
                    </dgm:if>
                    <dgm:if name="Name111" func="var" arg="hierBranch" op="equ" val="r">
                      <dgm:alg type="hierChild">
                        <dgm:param type="linDir" val="fromT"/>
                        <dgm:param type="chAlign" val="l"/>
                      </dgm:alg>
                    </dgm:if>
                    <dgm:if name="Name112" func="var" arg="hierBranch" op="equ" val="hang">
                      <dgm:choose name="Name113">
                        <dgm:if name="Name114" func="var" arg="dir" op="equ" val="norm">
                          <dgm:alg type="hierChild">
                            <dgm:param type="linDir" val="fromL"/>
                            <dgm:param type="chAlign" val="l"/>
                            <dgm:param type="secLinDir" val="fromT"/>
                            <dgm:param type="secChAlign" val="t"/>
                          </dgm:alg>
                        </dgm:if>
                        <dgm:else name="Name115">
                          <dgm:alg type="hierChild">
                            <dgm:param type="linDir" val="fromR"/>
                            <dgm:param type="chAlign" val="l"/>
                            <dgm:param type="secLinDir" val="fromT"/>
                            <dgm:param type="secChAlign" val="t"/>
                          </dgm:alg>
                        </dgm:else>
                      </dgm:choose>
                    </dgm:if>
                    <dgm:if name="Name116" func="var" arg="hierBranch" op="equ" val="std">
                      <dgm:choose name="Name117">
                        <dgm:if name="Name118" func="var" arg="dir" op="equ" val="norm">
                          <dgm:alg type="hierChild"/>
                        </dgm:if>
                        <dgm:else name="Name119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20" func="var" arg="hierBranch" op="equ" val="init">
                      <dgm:alg type="hierChild"/>
                    </dgm:if>
                    <dgm:else name="Name12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22" ref="rep2a"/>
                </dgm:layoutNode>
                <dgm:layoutNode name="hierChild7">
                  <dgm:choose name="Name123">
                    <dgm:if name="Name124" func="var" arg="dir" op="equ" val="norm">
                      <dgm:alg type="hierChild">
                        <dgm:param type="linDir" val="fromL"/>
                        <dgm:param type="chAlign" val="l"/>
                        <dgm:param type="secLinDir" val="fromT"/>
                        <dgm:param type="secChAlign" val="t"/>
                      </dgm:alg>
                    </dgm:if>
                    <dgm:else name="Name125">
                      <dgm:alg type="hierChild">
                        <dgm:param type="linDir" val="fromR"/>
                        <dgm:param type="chAlign" val="l"/>
                        <dgm:param type="secLinDir" val="fromT"/>
                        <dgm:param type="secChAlign" val="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26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#1">
  <dgm:title val=""/>
  <dgm:desc val=""/>
  <dgm:catLst>
    <dgm:cat type="simple" pri="10100"/>
  </dgm:catLst>
  <dgm:scene3d>
    <a:camera prst="orthographicFront"/>
    <a:lightRig rig="threePt" dir="t"/>
  </dgm:scene3d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47624</xdr:colOff>
      <xdr:row>0</xdr:row>
      <xdr:rowOff>13607</xdr:rowOff>
    </xdr:from>
    <xdr:to>
      <xdr:col>16</xdr:col>
      <xdr:colOff>466725</xdr:colOff>
      <xdr:row>32</xdr:row>
      <xdr:rowOff>9524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238125</xdr:colOff>
      <xdr:row>5</xdr:row>
      <xdr:rowOff>48986</xdr:rowOff>
    </xdr:from>
    <xdr:to>
      <xdr:col>25</xdr:col>
      <xdr:colOff>476250</xdr:colOff>
      <xdr:row>29</xdr:row>
      <xdr:rowOff>13607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55790</xdr:colOff>
      <xdr:row>5</xdr:row>
      <xdr:rowOff>75518</xdr:rowOff>
    </xdr:from>
    <xdr:to>
      <xdr:col>38</xdr:col>
      <xdr:colOff>95250</xdr:colOff>
      <xdr:row>29</xdr:row>
      <xdr:rowOff>68035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FA412FD\HM%20PRODUKSI%2021%20MAR%20-%2020%20APR%20201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ILE%20RIMA%201\Record%20Gaji%202012\Gaji%20Januari\HM%20PRODUKSI%2021%20DES%20-%2020%20JAN%202012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2B56ABF\HRS%20Report%20Sambarata%20September%202012%20(Autosaved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NIMATE\SECURE\Production\2D_REPNew2.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Base Unit"/>
      <sheetName val="Input"/>
      <sheetName val="Master"/>
      <sheetName val="Master (2)"/>
      <sheetName val="Check Opr"/>
      <sheetName val="CHECK"/>
      <sheetName val="Print"/>
      <sheetName val="Sheet1"/>
      <sheetName val="HM PRODUKSI 21 MAR - 20 APR 2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Base Unit"/>
      <sheetName val="Input"/>
      <sheetName val="Master"/>
      <sheetName val="Master (2)"/>
      <sheetName val="Check Opr"/>
      <sheetName val="CHECK"/>
      <sheetName val="Print"/>
      <sheetName val="Sheet1"/>
      <sheetName val="Sheet2"/>
    </sheetNames>
    <sheetDataSet>
      <sheetData sheetId="0" refreshError="1"/>
      <sheetData sheetId="1">
        <row r="8">
          <cell r="D8" t="str">
            <v>CN</v>
          </cell>
        </row>
        <row r="10">
          <cell r="D10" t="str">
            <v>D 375 01</v>
          </cell>
        </row>
        <row r="11">
          <cell r="D11" t="str">
            <v>D 375 02</v>
          </cell>
        </row>
        <row r="12">
          <cell r="D12" t="str">
            <v>D 375 03</v>
          </cell>
        </row>
        <row r="13">
          <cell r="D13" t="str">
            <v>D 155 02</v>
          </cell>
        </row>
        <row r="14">
          <cell r="D14" t="str">
            <v>D 85 01</v>
          </cell>
        </row>
        <row r="15">
          <cell r="D15" t="str">
            <v>D 85 04</v>
          </cell>
        </row>
        <row r="16">
          <cell r="D16" t="str">
            <v>D 85 05</v>
          </cell>
        </row>
        <row r="17">
          <cell r="D17" t="str">
            <v>D 85 06</v>
          </cell>
        </row>
        <row r="18">
          <cell r="D18" t="str">
            <v>HD 01</v>
          </cell>
        </row>
        <row r="19">
          <cell r="D19" t="str">
            <v>HD 02</v>
          </cell>
        </row>
        <row r="20">
          <cell r="D20" t="str">
            <v>HD 03</v>
          </cell>
        </row>
        <row r="21">
          <cell r="D21" t="str">
            <v>HD 04</v>
          </cell>
        </row>
        <row r="22">
          <cell r="D22" t="str">
            <v>HD 05</v>
          </cell>
        </row>
        <row r="23">
          <cell r="D23" t="str">
            <v>HD 06</v>
          </cell>
        </row>
        <row r="24">
          <cell r="D24" t="str">
            <v>HD 07</v>
          </cell>
        </row>
        <row r="25">
          <cell r="D25" t="str">
            <v>HD 08</v>
          </cell>
        </row>
        <row r="26">
          <cell r="D26" t="str">
            <v>HD 09</v>
          </cell>
        </row>
        <row r="27">
          <cell r="D27" t="str">
            <v>HD 10</v>
          </cell>
        </row>
        <row r="28">
          <cell r="D28" t="str">
            <v>HD 11</v>
          </cell>
        </row>
        <row r="29">
          <cell r="D29" t="str">
            <v>HD 12</v>
          </cell>
        </row>
        <row r="30">
          <cell r="D30" t="str">
            <v>HD 13</v>
          </cell>
        </row>
        <row r="31">
          <cell r="D31" t="str">
            <v>HD 14</v>
          </cell>
        </row>
        <row r="32">
          <cell r="D32" t="str">
            <v>HD 15</v>
          </cell>
        </row>
        <row r="33">
          <cell r="D33" t="str">
            <v>DT 17</v>
          </cell>
        </row>
        <row r="34">
          <cell r="D34" t="str">
            <v>DT 18</v>
          </cell>
        </row>
        <row r="35">
          <cell r="D35" t="str">
            <v>DT 19</v>
          </cell>
        </row>
        <row r="36">
          <cell r="D36" t="str">
            <v>DT 20</v>
          </cell>
        </row>
        <row r="37">
          <cell r="D37" t="str">
            <v>DT 21</v>
          </cell>
        </row>
        <row r="38">
          <cell r="D38" t="str">
            <v>DT 22</v>
          </cell>
        </row>
        <row r="39">
          <cell r="D39" t="str">
            <v>DT 23</v>
          </cell>
        </row>
        <row r="40">
          <cell r="D40" t="str">
            <v>DT 24</v>
          </cell>
        </row>
        <row r="41">
          <cell r="D41" t="str">
            <v>DT 25</v>
          </cell>
        </row>
        <row r="42">
          <cell r="D42" t="str">
            <v>DT 26</v>
          </cell>
        </row>
        <row r="43">
          <cell r="D43" t="str">
            <v>DT 27</v>
          </cell>
        </row>
        <row r="44">
          <cell r="D44" t="str">
            <v>DT 28</v>
          </cell>
        </row>
        <row r="45">
          <cell r="D45" t="str">
            <v>DT 29</v>
          </cell>
        </row>
        <row r="46">
          <cell r="D46" t="str">
            <v>DT 30</v>
          </cell>
        </row>
        <row r="47">
          <cell r="D47" t="str">
            <v>DT 31</v>
          </cell>
        </row>
        <row r="48">
          <cell r="D48" t="str">
            <v>DT 32</v>
          </cell>
        </row>
        <row r="49">
          <cell r="D49" t="str">
            <v>DT 33</v>
          </cell>
        </row>
        <row r="50">
          <cell r="D50" t="str">
            <v>DT 34</v>
          </cell>
        </row>
        <row r="51">
          <cell r="D51" t="str">
            <v>DT 35</v>
          </cell>
        </row>
        <row r="52">
          <cell r="D52" t="str">
            <v>DT 36</v>
          </cell>
        </row>
        <row r="53">
          <cell r="D53" t="str">
            <v>CT 01</v>
          </cell>
        </row>
        <row r="54">
          <cell r="D54" t="str">
            <v>CT 02</v>
          </cell>
        </row>
        <row r="55">
          <cell r="D55" t="str">
            <v>CT 03</v>
          </cell>
        </row>
        <row r="56">
          <cell r="D56" t="str">
            <v>CT 04</v>
          </cell>
        </row>
        <row r="57">
          <cell r="D57" t="str">
            <v>CT 05</v>
          </cell>
        </row>
        <row r="58">
          <cell r="D58" t="str">
            <v>CT 06</v>
          </cell>
        </row>
        <row r="59">
          <cell r="D59" t="str">
            <v>CT 07</v>
          </cell>
        </row>
        <row r="60">
          <cell r="D60" t="str">
            <v>CT 08</v>
          </cell>
        </row>
        <row r="61">
          <cell r="D61" t="str">
            <v>CT 09</v>
          </cell>
        </row>
        <row r="62">
          <cell r="D62" t="str">
            <v>CT 10</v>
          </cell>
        </row>
        <row r="63">
          <cell r="D63" t="str">
            <v>DT 01</v>
          </cell>
        </row>
        <row r="64">
          <cell r="D64" t="str">
            <v>DT 02</v>
          </cell>
        </row>
        <row r="65">
          <cell r="D65" t="str">
            <v>DT 03</v>
          </cell>
        </row>
        <row r="66">
          <cell r="D66" t="str">
            <v>DT 04</v>
          </cell>
        </row>
        <row r="67">
          <cell r="D67" t="str">
            <v>DT 05</v>
          </cell>
        </row>
        <row r="68">
          <cell r="D68" t="str">
            <v>DT 06</v>
          </cell>
        </row>
        <row r="69">
          <cell r="D69" t="str">
            <v>DT 07</v>
          </cell>
        </row>
        <row r="70">
          <cell r="D70" t="str">
            <v>DT 08</v>
          </cell>
        </row>
        <row r="71">
          <cell r="D71" t="str">
            <v>DT 09</v>
          </cell>
        </row>
        <row r="72">
          <cell r="D72" t="str">
            <v>DT 10</v>
          </cell>
        </row>
        <row r="73">
          <cell r="D73" t="str">
            <v>DT 11</v>
          </cell>
        </row>
        <row r="74">
          <cell r="D74" t="str">
            <v>DT 12</v>
          </cell>
        </row>
        <row r="75">
          <cell r="D75" t="str">
            <v>DT 13</v>
          </cell>
        </row>
        <row r="76">
          <cell r="D76" t="str">
            <v>DT 14</v>
          </cell>
        </row>
        <row r="77">
          <cell r="D77" t="str">
            <v>DT 15</v>
          </cell>
        </row>
        <row r="78">
          <cell r="D78" t="str">
            <v>DT 16</v>
          </cell>
        </row>
        <row r="79">
          <cell r="D79" t="str">
            <v>PC 1250 01</v>
          </cell>
        </row>
        <row r="80">
          <cell r="D80" t="str">
            <v>PC 1250 02</v>
          </cell>
        </row>
        <row r="81">
          <cell r="D81" t="str">
            <v>PC 1250 03</v>
          </cell>
        </row>
        <row r="82">
          <cell r="D82" t="str">
            <v>R 500 01</v>
          </cell>
        </row>
        <row r="83">
          <cell r="D83" t="str">
            <v>R 500 02</v>
          </cell>
        </row>
        <row r="84">
          <cell r="D84" t="str">
            <v>R 500 05</v>
          </cell>
        </row>
        <row r="85">
          <cell r="D85" t="str">
            <v>R 500 06</v>
          </cell>
        </row>
        <row r="86">
          <cell r="D86" t="str">
            <v>R 320 07</v>
          </cell>
        </row>
        <row r="87">
          <cell r="D87" t="str">
            <v>R 210 03</v>
          </cell>
        </row>
        <row r="88">
          <cell r="D88" t="str">
            <v>R 210 04</v>
          </cell>
        </row>
        <row r="89">
          <cell r="D89" t="str">
            <v>VC 210 01</v>
          </cell>
        </row>
        <row r="90">
          <cell r="D90" t="str">
            <v>GD 705 01</v>
          </cell>
        </row>
        <row r="91">
          <cell r="D91" t="str">
            <v>GD 705 02</v>
          </cell>
        </row>
        <row r="92">
          <cell r="D92" t="str">
            <v>TL 01</v>
          </cell>
        </row>
        <row r="93">
          <cell r="D93" t="str">
            <v>TL 02</v>
          </cell>
        </row>
        <row r="94">
          <cell r="D94" t="str">
            <v>TL 03</v>
          </cell>
        </row>
        <row r="95">
          <cell r="D95" t="str">
            <v>TL 04</v>
          </cell>
        </row>
        <row r="96">
          <cell r="D96" t="str">
            <v>TL 05</v>
          </cell>
        </row>
        <row r="97">
          <cell r="D97" t="str">
            <v>TL 06</v>
          </cell>
        </row>
        <row r="98">
          <cell r="D98" t="str">
            <v>TL 07</v>
          </cell>
        </row>
        <row r="99">
          <cell r="D99" t="str">
            <v>TL 08</v>
          </cell>
        </row>
        <row r="100">
          <cell r="D100" t="str">
            <v>LV 01</v>
          </cell>
        </row>
        <row r="101">
          <cell r="D101" t="str">
            <v>LV 02</v>
          </cell>
        </row>
        <row r="102">
          <cell r="D102" t="str">
            <v>LV 03</v>
          </cell>
        </row>
        <row r="103">
          <cell r="D103" t="str">
            <v>LV 04</v>
          </cell>
        </row>
        <row r="104">
          <cell r="D104" t="str">
            <v>LV 05</v>
          </cell>
        </row>
        <row r="105">
          <cell r="D105" t="str">
            <v>LV 06</v>
          </cell>
        </row>
        <row r="106">
          <cell r="D106" t="str">
            <v>LV 07</v>
          </cell>
        </row>
        <row r="107">
          <cell r="D107" t="str">
            <v>LV 08</v>
          </cell>
        </row>
        <row r="108">
          <cell r="D108" t="str">
            <v>LV 09</v>
          </cell>
        </row>
        <row r="109">
          <cell r="D109" t="str">
            <v>LV 10</v>
          </cell>
        </row>
        <row r="110">
          <cell r="D110" t="str">
            <v>LV 11</v>
          </cell>
        </row>
        <row r="111">
          <cell r="D111" t="str">
            <v>LV 12</v>
          </cell>
        </row>
        <row r="112">
          <cell r="D112" t="str">
            <v>FT 01</v>
          </cell>
        </row>
        <row r="113">
          <cell r="D113" t="str">
            <v>FT 02</v>
          </cell>
        </row>
        <row r="114">
          <cell r="D114" t="str">
            <v>WT 01</v>
          </cell>
        </row>
        <row r="115">
          <cell r="D115" t="str">
            <v>WT 02</v>
          </cell>
        </row>
        <row r="116">
          <cell r="D116" t="str">
            <v>BUS 01</v>
          </cell>
        </row>
        <row r="117">
          <cell r="D117" t="str">
            <v>BUS 02</v>
          </cell>
        </row>
        <row r="118">
          <cell r="D118" t="str">
            <v>BUS 03</v>
          </cell>
        </row>
        <row r="119">
          <cell r="D119" t="str">
            <v>GZ 01</v>
          </cell>
        </row>
        <row r="120">
          <cell r="D120" t="str">
            <v>GZ 02</v>
          </cell>
        </row>
        <row r="121">
          <cell r="D121" t="str">
            <v>GZ 03</v>
          </cell>
        </row>
        <row r="122">
          <cell r="D122" t="str">
            <v>GZ 04</v>
          </cell>
        </row>
        <row r="123">
          <cell r="D123" t="str">
            <v>NBC</v>
          </cell>
        </row>
        <row r="124">
          <cell r="D124" t="str">
            <v>AC 01</v>
          </cell>
        </row>
        <row r="125">
          <cell r="D125" t="str">
            <v>WM 01</v>
          </cell>
        </row>
        <row r="126">
          <cell r="D126" t="str">
            <v>EX 320D</v>
          </cell>
        </row>
        <row r="127">
          <cell r="D127" t="str">
            <v>DSM 01</v>
          </cell>
        </row>
        <row r="128">
          <cell r="D128" t="str">
            <v>FT 03</v>
          </cell>
        </row>
        <row r="129">
          <cell r="D129" t="str">
            <v>FT 01 VOLVO</v>
          </cell>
        </row>
        <row r="130">
          <cell r="D130" t="str">
            <v>FT 02 VOLVO</v>
          </cell>
        </row>
        <row r="131">
          <cell r="D131" t="str">
            <v>FT 03 Nisan</v>
          </cell>
        </row>
        <row r="132">
          <cell r="D132" t="str">
            <v>FT 04 Nisan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P Active"/>
      <sheetName val="MPP Resign"/>
      <sheetName val="sambarata"/>
      <sheetName val="MPP"/>
      <sheetName val="PKWT &amp; Prob."/>
      <sheetName val="Turn Over"/>
      <sheetName val="count"/>
      <sheetName val="Code Data"/>
      <sheetName val="Surat Peringat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</sheetNames>
    <sheetDataSet>
      <sheetData sheetId="0" refreshError="1"/>
      <sheetData sheetId="1" refreshError="1"/>
      <sheetData sheetId="2" refreshError="1">
        <row r="18">
          <cell r="N18" t="str">
            <v>ENGINEERING</v>
          </cell>
          <cell r="Y18" t="str">
            <v>WK Count</v>
          </cell>
          <cell r="Z18" t="str">
            <v>Total Days</v>
          </cell>
        </row>
        <row r="20">
          <cell r="A20" t="str">
            <v>PREP</v>
          </cell>
          <cell r="F20" t="str">
            <v>ANIMATION</v>
          </cell>
          <cell r="I20" t="str">
            <v>INK &amp; PAINT</v>
          </cell>
          <cell r="L20" t="str">
            <v>ALPHA</v>
          </cell>
          <cell r="N20" t="str">
            <v>BETA</v>
          </cell>
          <cell r="P20" t="str">
            <v>RTM</v>
          </cell>
          <cell r="Y20">
            <v>11</v>
          </cell>
          <cell r="Z20">
            <v>77</v>
          </cell>
        </row>
        <row r="31">
          <cell r="A31" t="str">
            <v>Wks</v>
          </cell>
          <cell r="B31" t="str">
            <v>Days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M32">
            <v>29</v>
          </cell>
          <cell r="O32">
            <v>29</v>
          </cell>
          <cell r="Q32">
            <v>29</v>
          </cell>
          <cell r="Y32">
            <v>7</v>
          </cell>
          <cell r="Z32">
            <v>49</v>
          </cell>
        </row>
        <row r="45">
          <cell r="Y45">
            <v>154</v>
          </cell>
          <cell r="Z45">
            <v>35</v>
          </cell>
        </row>
        <row r="49">
          <cell r="N49" t="str">
            <v>ENGINEERING</v>
          </cell>
          <cell r="Y49" t="str">
            <v>WK Count</v>
          </cell>
          <cell r="Z49" t="str">
            <v>Total Days</v>
          </cell>
        </row>
        <row r="53">
          <cell r="A53" t="str">
            <v>PREP</v>
          </cell>
          <cell r="F53" t="str">
            <v>ANIMATION</v>
          </cell>
          <cell r="I53" t="str">
            <v>INK &amp; PAINT</v>
          </cell>
          <cell r="L53" t="str">
            <v>ALPHA</v>
          </cell>
          <cell r="N53" t="str">
            <v>BETA</v>
          </cell>
          <cell r="P53" t="str">
            <v>RTM</v>
          </cell>
          <cell r="Y53">
            <v>22</v>
          </cell>
          <cell r="Z53">
            <v>154</v>
          </cell>
        </row>
        <row r="64">
          <cell r="A64" t="str">
            <v>Wks</v>
          </cell>
          <cell r="B64" t="str">
            <v>Days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M65">
            <v>29</v>
          </cell>
          <cell r="O65">
            <v>29</v>
          </cell>
          <cell r="Q65">
            <v>29</v>
          </cell>
          <cell r="Y65">
            <v>9</v>
          </cell>
          <cell r="Z65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7">
          <cell r="N97" t="str">
            <v>ENGINEERING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Y98" t="str">
            <v>WK Count</v>
          </cell>
          <cell r="Z98" t="str">
            <v>Total Days</v>
          </cell>
        </row>
        <row r="99">
          <cell r="A99" t="str">
            <v>PREP</v>
          </cell>
          <cell r="F99" t="str">
            <v>ANIMATION</v>
          </cell>
          <cell r="I99" t="str">
            <v>INK &amp; PAINT</v>
          </cell>
          <cell r="L99" t="str">
            <v>ALPHA</v>
          </cell>
          <cell r="N99" t="str">
            <v>BETA</v>
          </cell>
          <cell r="P99" t="str">
            <v>RTM</v>
          </cell>
          <cell r="Y99">
            <v>14</v>
          </cell>
          <cell r="Z99">
            <v>94.5</v>
          </cell>
        </row>
        <row r="100">
          <cell r="A100" t="str">
            <v>PREP</v>
          </cell>
          <cell r="F100" t="str">
            <v>ANIMATION</v>
          </cell>
          <cell r="I100" t="str">
            <v>INK &amp; PAINT</v>
          </cell>
          <cell r="L100" t="str">
            <v>ALPHA</v>
          </cell>
          <cell r="N100" t="str">
            <v>BETA</v>
          </cell>
          <cell r="P100" t="str">
            <v>RTM</v>
          </cell>
          <cell r="Y100">
            <v>12</v>
          </cell>
          <cell r="Z100">
            <v>85.399999999999991</v>
          </cell>
        </row>
        <row r="110">
          <cell r="A110" t="str">
            <v>Wks</v>
          </cell>
          <cell r="B110" t="str">
            <v>Days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Y110">
            <v>11</v>
          </cell>
          <cell r="Z110">
            <v>83.666666666666671</v>
          </cell>
        </row>
        <row r="111">
          <cell r="A111" t="str">
            <v>Wks</v>
          </cell>
          <cell r="B111" t="str">
            <v>Days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M111">
            <v>29</v>
          </cell>
          <cell r="O111">
            <v>29</v>
          </cell>
          <cell r="Q111">
            <v>29</v>
          </cell>
          <cell r="Y111">
            <v>11</v>
          </cell>
          <cell r="Z111">
            <v>77.599999999999994</v>
          </cell>
        </row>
        <row r="112">
          <cell r="A112">
            <v>10.199999999999999</v>
          </cell>
          <cell r="B112">
            <v>85.399999999999991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M112">
            <v>29</v>
          </cell>
          <cell r="O112">
            <v>29</v>
          </cell>
          <cell r="Q112">
            <v>29</v>
          </cell>
          <cell r="Y112">
            <v>5</v>
          </cell>
          <cell r="Z112">
            <v>53.666666666666671</v>
          </cell>
        </row>
        <row r="136">
          <cell r="Y136">
            <v>119</v>
          </cell>
          <cell r="Z136">
            <v>44.722222222222229</v>
          </cell>
        </row>
        <row r="137">
          <cell r="Y137">
            <v>119</v>
          </cell>
          <cell r="Z137">
            <v>39.666666666666671</v>
          </cell>
        </row>
        <row r="141">
          <cell r="N141" t="str">
            <v>ENGINEERING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Y142" t="str">
            <v>WK Count</v>
          </cell>
          <cell r="Z142" t="str">
            <v>Total Days</v>
          </cell>
        </row>
        <row r="143">
          <cell r="A143" t="str">
            <v>PREP</v>
          </cell>
          <cell r="F143" t="str">
            <v>ANIMATION</v>
          </cell>
          <cell r="I143" t="str">
            <v>INK &amp; PAINT</v>
          </cell>
          <cell r="L143" t="str">
            <v>ALPHA</v>
          </cell>
          <cell r="N143" t="str">
            <v>BETA</v>
          </cell>
          <cell r="P143" t="str">
            <v>RTM</v>
          </cell>
          <cell r="Y143">
            <v>0</v>
          </cell>
          <cell r="Z143" t="e">
            <v>#REF!</v>
          </cell>
        </row>
        <row r="144">
          <cell r="A144" t="str">
            <v>PREP</v>
          </cell>
          <cell r="F144" t="str">
            <v>ANIMATION</v>
          </cell>
          <cell r="I144" t="str">
            <v>INK &amp; PAINT</v>
          </cell>
          <cell r="L144" t="str">
            <v>ALPHA</v>
          </cell>
          <cell r="N144" t="str">
            <v>BETA</v>
          </cell>
          <cell r="P144" t="str">
            <v>RTM</v>
          </cell>
          <cell r="Y144">
            <v>0</v>
          </cell>
          <cell r="Z144" t="e">
            <v>#REF!</v>
          </cell>
        </row>
        <row r="165">
          <cell r="Y165" t="e">
            <v>#REF!</v>
          </cell>
          <cell r="Z165" t="e">
            <v>#REF!</v>
          </cell>
        </row>
        <row r="166">
          <cell r="Y166" t="e">
            <v>#REF!</v>
          </cell>
          <cell r="Z166" t="e">
            <v>#REF!</v>
          </cell>
        </row>
        <row r="169">
          <cell r="N169" t="str">
            <v>ENGINEERING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Y170" t="str">
            <v>WK Count</v>
          </cell>
          <cell r="Z170" t="str">
            <v>Total Days</v>
          </cell>
        </row>
        <row r="171">
          <cell r="A171" t="str">
            <v>PREP</v>
          </cell>
          <cell r="F171" t="str">
            <v>ANIMATION</v>
          </cell>
          <cell r="I171" t="str">
            <v>INK &amp; PAINT</v>
          </cell>
          <cell r="L171" t="str">
            <v>ALPHA</v>
          </cell>
          <cell r="N171" t="str">
            <v>BETA</v>
          </cell>
          <cell r="P171" t="str">
            <v>RTM</v>
          </cell>
          <cell r="Y171">
            <v>9</v>
          </cell>
          <cell r="Z171">
            <v>65.73384999999999</v>
          </cell>
        </row>
        <row r="172">
          <cell r="A172" t="str">
            <v>PREP</v>
          </cell>
          <cell r="F172" t="str">
            <v>ANIMATION</v>
          </cell>
          <cell r="I172" t="str">
            <v>INK &amp; PAINT</v>
          </cell>
          <cell r="L172" t="str">
            <v>ALPHA</v>
          </cell>
          <cell r="N172" t="str">
            <v>BETA</v>
          </cell>
          <cell r="P172" t="str">
            <v>RTM</v>
          </cell>
          <cell r="Y172">
            <v>9</v>
          </cell>
          <cell r="Z172">
            <v>65.73384999999999</v>
          </cell>
        </row>
        <row r="182">
          <cell r="A182" t="str">
            <v>Wks</v>
          </cell>
          <cell r="B182" t="str">
            <v>Days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Y182">
            <v>12</v>
          </cell>
          <cell r="Z182">
            <v>57.591386666666665</v>
          </cell>
        </row>
        <row r="183">
          <cell r="A183" t="str">
            <v>Wks</v>
          </cell>
          <cell r="B183" t="str">
            <v>Days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M183">
            <v>29</v>
          </cell>
          <cell r="O183">
            <v>29</v>
          </cell>
          <cell r="Q183">
            <v>29</v>
          </cell>
          <cell r="Y183">
            <v>12</v>
          </cell>
          <cell r="Z183">
            <v>57.591386666666665</v>
          </cell>
        </row>
        <row r="184">
          <cell r="A184">
            <v>7.3905499999999993</v>
          </cell>
          <cell r="B184">
            <v>65.73384999999999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M184">
            <v>29</v>
          </cell>
          <cell r="O184">
            <v>29</v>
          </cell>
          <cell r="Q184">
            <v>29</v>
          </cell>
          <cell r="Y184">
            <v>8</v>
          </cell>
          <cell r="Z184">
            <v>36.992822222222223</v>
          </cell>
        </row>
        <row r="206">
          <cell r="Y206">
            <v>126</v>
          </cell>
          <cell r="Z206">
            <v>22.992822222222223</v>
          </cell>
        </row>
        <row r="207">
          <cell r="Y207">
            <v>126</v>
          </cell>
          <cell r="Z207">
            <v>22.992822222222223</v>
          </cell>
        </row>
        <row r="210">
          <cell r="N210" t="str">
            <v>ENGINEERING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Y211" t="str">
            <v>WK Count</v>
          </cell>
          <cell r="Z211" t="str">
            <v>Total Days</v>
          </cell>
        </row>
        <row r="212">
          <cell r="A212" t="str">
            <v>PREP</v>
          </cell>
          <cell r="F212" t="str">
            <v>ANIMATION</v>
          </cell>
          <cell r="I212" t="str">
            <v>INK &amp; PAINT</v>
          </cell>
          <cell r="L212" t="str">
            <v>ALPHA</v>
          </cell>
          <cell r="N212" t="str">
            <v>BETA</v>
          </cell>
          <cell r="P212" t="str">
            <v>RTM</v>
          </cell>
          <cell r="Y212">
            <v>9</v>
          </cell>
          <cell r="Z212">
            <v>57.220141999999996</v>
          </cell>
        </row>
        <row r="213">
          <cell r="A213" t="str">
            <v>PREP</v>
          </cell>
          <cell r="B213" t="str">
            <v>Days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L213" t="str">
            <v>ALPHA</v>
          </cell>
          <cell r="N213" t="str">
            <v>BETA</v>
          </cell>
          <cell r="P213" t="str">
            <v>RTM</v>
          </cell>
          <cell r="Y213">
            <v>9</v>
          </cell>
          <cell r="Z213">
            <v>57.220141999999996</v>
          </cell>
        </row>
        <row r="214">
          <cell r="A214" t="str">
            <v>Wks</v>
          </cell>
          <cell r="B214" t="str">
            <v>Days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M214">
            <v>29</v>
          </cell>
          <cell r="O214">
            <v>29</v>
          </cell>
          <cell r="Q214">
            <v>29</v>
          </cell>
          <cell r="Y214">
            <v>11</v>
          </cell>
          <cell r="Z214">
            <v>73.220141999999996</v>
          </cell>
        </row>
        <row r="215">
          <cell r="A215">
            <v>6.1743059999999996</v>
          </cell>
          <cell r="B215">
            <v>57.220141999999996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M215">
            <v>29</v>
          </cell>
          <cell r="O215">
            <v>29</v>
          </cell>
          <cell r="Q215">
            <v>29</v>
          </cell>
          <cell r="Y215">
            <v>8</v>
          </cell>
          <cell r="Z215">
            <v>57.220141999999996</v>
          </cell>
        </row>
        <row r="227">
          <cell r="Y227">
            <v>119</v>
          </cell>
          <cell r="Z227">
            <v>43.220141999999996</v>
          </cell>
        </row>
        <row r="228">
          <cell r="Y228">
            <v>119</v>
          </cell>
          <cell r="Z228">
            <v>43.220141999999996</v>
          </cell>
        </row>
        <row r="231">
          <cell r="N231" t="str">
            <v>ENGINEERING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Y232" t="str">
            <v>WK Count</v>
          </cell>
          <cell r="Z232" t="str">
            <v>Total Days</v>
          </cell>
        </row>
        <row r="233">
          <cell r="A233" t="str">
            <v>PREP</v>
          </cell>
          <cell r="F233" t="str">
            <v>ANIMATION</v>
          </cell>
          <cell r="I233" t="str">
            <v>INK &amp; PAINT</v>
          </cell>
          <cell r="L233" t="str">
            <v>ALPHA</v>
          </cell>
          <cell r="N233" t="str">
            <v>BETA</v>
          </cell>
          <cell r="P233" t="str">
            <v>RTM</v>
          </cell>
          <cell r="Y233">
            <v>16</v>
          </cell>
          <cell r="Z233">
            <v>112</v>
          </cell>
        </row>
        <row r="234">
          <cell r="A234" t="str">
            <v>PREP</v>
          </cell>
          <cell r="B234" t="str">
            <v>Days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L234" t="str">
            <v>ALPHA</v>
          </cell>
          <cell r="N234" t="str">
            <v>BETA</v>
          </cell>
          <cell r="P234" t="str">
            <v>RTM</v>
          </cell>
          <cell r="Y234">
            <v>16</v>
          </cell>
          <cell r="Z234">
            <v>112</v>
          </cell>
        </row>
        <row r="235">
          <cell r="A235" t="str">
            <v>Wks</v>
          </cell>
          <cell r="B235" t="str">
            <v>Days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M235">
            <v>29</v>
          </cell>
          <cell r="O235">
            <v>29</v>
          </cell>
          <cell r="Q235">
            <v>29</v>
          </cell>
          <cell r="Y235">
            <v>19</v>
          </cell>
          <cell r="Z235">
            <v>128</v>
          </cell>
        </row>
        <row r="236">
          <cell r="A236">
            <v>14</v>
          </cell>
          <cell r="B236">
            <v>112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M236">
            <v>29</v>
          </cell>
          <cell r="O236">
            <v>29</v>
          </cell>
          <cell r="Q236">
            <v>29</v>
          </cell>
          <cell r="Y236">
            <v>16</v>
          </cell>
          <cell r="Z236">
            <v>112</v>
          </cell>
        </row>
        <row r="248">
          <cell r="Y248">
            <v>175</v>
          </cell>
          <cell r="Z248">
            <v>98</v>
          </cell>
        </row>
        <row r="249">
          <cell r="Y249">
            <v>175</v>
          </cell>
          <cell r="Z249">
            <v>98</v>
          </cell>
        </row>
        <row r="252">
          <cell r="N252" t="str">
            <v>ENGINEERING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Y253" t="str">
            <v>WK Count</v>
          </cell>
          <cell r="Z253" t="str">
            <v>Total Days</v>
          </cell>
        </row>
        <row r="254">
          <cell r="A254" t="str">
            <v>PREP</v>
          </cell>
          <cell r="F254" t="str">
            <v>ANIMATION</v>
          </cell>
          <cell r="I254" t="str">
            <v>INK &amp; PAINT</v>
          </cell>
          <cell r="L254" t="str">
            <v>ALPHA</v>
          </cell>
          <cell r="N254" t="str">
            <v>BETA</v>
          </cell>
          <cell r="P254" t="str">
            <v>RTM</v>
          </cell>
          <cell r="Y254">
            <v>12</v>
          </cell>
          <cell r="Z254">
            <v>77.068739999999991</v>
          </cell>
        </row>
        <row r="255">
          <cell r="A255" t="str">
            <v>PREP</v>
          </cell>
          <cell r="B255" t="str">
            <v>Days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L255" t="str">
            <v>ALPHA</v>
          </cell>
          <cell r="N255" t="str">
            <v>BETA</v>
          </cell>
          <cell r="P255" t="str">
            <v>RTM</v>
          </cell>
          <cell r="Y255">
            <v>12</v>
          </cell>
          <cell r="Z255">
            <v>77.068739999999991</v>
          </cell>
        </row>
        <row r="256">
          <cell r="A256" t="str">
            <v>Wks</v>
          </cell>
          <cell r="B256" t="str">
            <v>Days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M256">
            <v>29</v>
          </cell>
          <cell r="O256">
            <v>29</v>
          </cell>
          <cell r="Q256">
            <v>29</v>
          </cell>
          <cell r="Y256">
            <v>14</v>
          </cell>
          <cell r="Z256">
            <v>93.068739999999991</v>
          </cell>
        </row>
        <row r="257">
          <cell r="A257">
            <v>9.0098199999999995</v>
          </cell>
          <cell r="B257">
            <v>77.068739999999991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M257">
            <v>29</v>
          </cell>
          <cell r="O257">
            <v>29</v>
          </cell>
          <cell r="Q257">
            <v>29</v>
          </cell>
          <cell r="Y257">
            <v>11</v>
          </cell>
          <cell r="Z257">
            <v>77.068739999999991</v>
          </cell>
        </row>
        <row r="269">
          <cell r="Y269">
            <v>140</v>
          </cell>
          <cell r="Z269">
            <v>63.068739999999991</v>
          </cell>
        </row>
        <row r="270">
          <cell r="Y270">
            <v>140</v>
          </cell>
          <cell r="Z270">
            <v>63.068739999999991</v>
          </cell>
        </row>
        <row r="273">
          <cell r="N273" t="str">
            <v>ENGINEERING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F275" t="str">
            <v>ANIMATION</v>
          </cell>
          <cell r="I275" t="str">
            <v>INK &amp; PAINT</v>
          </cell>
          <cell r="L275" t="str">
            <v>ALPHA</v>
          </cell>
          <cell r="N275" t="str">
            <v>BETA</v>
          </cell>
          <cell r="P275" t="str">
            <v>RTM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L276" t="str">
            <v>ALPHA</v>
          </cell>
          <cell r="N276" t="str">
            <v>BETA</v>
          </cell>
          <cell r="P276" t="str">
            <v>RTM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M277">
            <v>29</v>
          </cell>
          <cell r="O277">
            <v>29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M278">
            <v>29</v>
          </cell>
          <cell r="O278">
            <v>29</v>
          </cell>
          <cell r="Q278">
            <v>29</v>
          </cell>
          <cell r="Y278">
            <v>9</v>
          </cell>
          <cell r="Z278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4">
          <cell r="N294" t="str">
            <v>ENGINEERING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F296" t="str">
            <v>ANIMATION</v>
          </cell>
          <cell r="I296" t="str">
            <v>INK &amp; PAINT</v>
          </cell>
          <cell r="L296" t="str">
            <v>ALPHA</v>
          </cell>
          <cell r="N296" t="str">
            <v>BETA</v>
          </cell>
          <cell r="P296" t="str">
            <v>RTM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L297" t="str">
            <v>ALPHA</v>
          </cell>
          <cell r="N297" t="str">
            <v>BETA</v>
          </cell>
          <cell r="P297" t="str">
            <v>RTM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M298">
            <v>29</v>
          </cell>
          <cell r="O298">
            <v>29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M299">
            <v>29</v>
          </cell>
          <cell r="O299">
            <v>29</v>
          </cell>
          <cell r="Q299">
            <v>29</v>
          </cell>
          <cell r="Y299">
            <v>6</v>
          </cell>
          <cell r="Z299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2">
          <cell r="N322" t="str">
            <v>ENGINEERING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F324" t="str">
            <v>ANIMATION</v>
          </cell>
          <cell r="I324" t="str">
            <v>INK &amp; PAINT</v>
          </cell>
          <cell r="L324" t="str">
            <v>ALPHA</v>
          </cell>
          <cell r="N324" t="str">
            <v>BETA</v>
          </cell>
          <cell r="P324" t="str">
            <v>RTM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L325" t="str">
            <v>ALPHA</v>
          </cell>
          <cell r="N325" t="str">
            <v>BETA</v>
          </cell>
          <cell r="P325" t="str">
            <v>RTM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M326">
            <v>29</v>
          </cell>
          <cell r="O326">
            <v>29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M327">
            <v>29</v>
          </cell>
          <cell r="O327">
            <v>29</v>
          </cell>
          <cell r="Q327">
            <v>29</v>
          </cell>
          <cell r="Y327">
            <v>3</v>
          </cell>
          <cell r="Z32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3">
          <cell r="N343" t="str">
            <v>ENGINEERING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F345" t="str">
            <v>ANIMATION</v>
          </cell>
          <cell r="I345" t="str">
            <v>INK &amp; PAINT</v>
          </cell>
          <cell r="L345" t="str">
            <v>ALPHA</v>
          </cell>
          <cell r="N345" t="str">
            <v>BETA</v>
          </cell>
          <cell r="P345" t="str">
            <v>RTM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L346" t="str">
            <v>ALPHA</v>
          </cell>
          <cell r="N346" t="str">
            <v>BETA</v>
          </cell>
          <cell r="P346" t="str">
            <v>RTM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M347">
            <v>29</v>
          </cell>
          <cell r="O347">
            <v>29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M348">
            <v>29</v>
          </cell>
          <cell r="O348">
            <v>29</v>
          </cell>
          <cell r="Q348">
            <v>29</v>
          </cell>
          <cell r="Y348">
            <v>7</v>
          </cell>
          <cell r="Z34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3">
          <cell r="N363" t="str">
            <v>ENGINEERING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F365" t="str">
            <v>ANIMATION</v>
          </cell>
          <cell r="I365" t="str">
            <v>INK &amp; PAINT</v>
          </cell>
          <cell r="L365" t="str">
            <v>ALPHA</v>
          </cell>
          <cell r="N365" t="str">
            <v>BETA</v>
          </cell>
          <cell r="P365" t="str">
            <v>RTM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L366" t="str">
            <v>ALPHA</v>
          </cell>
          <cell r="N366" t="str">
            <v>BETA</v>
          </cell>
          <cell r="P366" t="str">
            <v>RTM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M367">
            <v>29</v>
          </cell>
          <cell r="O367">
            <v>29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M368">
            <v>29</v>
          </cell>
          <cell r="O368">
            <v>29</v>
          </cell>
          <cell r="Q368">
            <v>29</v>
          </cell>
          <cell r="Y368">
            <v>7</v>
          </cell>
          <cell r="Z36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3">
          <cell r="N383" t="str">
            <v>ENGINEERING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F385" t="str">
            <v>ANIMATION</v>
          </cell>
          <cell r="I385" t="str">
            <v>INK &amp; PAINT</v>
          </cell>
          <cell r="L385" t="str">
            <v>ALPHA</v>
          </cell>
          <cell r="N385" t="str">
            <v>BETA</v>
          </cell>
          <cell r="P385" t="str">
            <v>RTM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L386" t="str">
            <v>ALPHA</v>
          </cell>
          <cell r="N386" t="str">
            <v>BETA</v>
          </cell>
          <cell r="P386" t="str">
            <v>RTM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M387">
            <v>29</v>
          </cell>
          <cell r="O387">
            <v>29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M388">
            <v>29</v>
          </cell>
          <cell r="O388">
            <v>29</v>
          </cell>
          <cell r="Q388">
            <v>29</v>
          </cell>
          <cell r="Y388">
            <v>4</v>
          </cell>
          <cell r="Z38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3">
          <cell r="N403" t="str">
            <v>ENGINEERING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F405" t="str">
            <v>ANIMATION</v>
          </cell>
          <cell r="I405" t="str">
            <v>INK &amp; PAINT</v>
          </cell>
          <cell r="L405" t="str">
            <v>ALPHA</v>
          </cell>
          <cell r="N405" t="str">
            <v>BETA</v>
          </cell>
          <cell r="P405" t="str">
            <v>RTM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L406" t="str">
            <v>ALPHA</v>
          </cell>
          <cell r="N406" t="str">
            <v>BETA</v>
          </cell>
          <cell r="P406" t="str">
            <v>RTM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M407">
            <v>29</v>
          </cell>
          <cell r="O407">
            <v>29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M408">
            <v>29</v>
          </cell>
          <cell r="O408">
            <v>29</v>
          </cell>
          <cell r="Q408">
            <v>29</v>
          </cell>
          <cell r="Y408">
            <v>7</v>
          </cell>
          <cell r="Z40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3">
          <cell r="N423" t="str">
            <v>ENGINEERING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F425" t="str">
            <v>ANIMATION</v>
          </cell>
          <cell r="I425" t="str">
            <v>INK &amp; PAINT</v>
          </cell>
          <cell r="L425" t="str">
            <v>ALPHA</v>
          </cell>
          <cell r="N425" t="str">
            <v>BETA</v>
          </cell>
          <cell r="P425" t="str">
            <v>RTM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L426" t="str">
            <v>ALPHA</v>
          </cell>
          <cell r="N426" t="str">
            <v>BETA</v>
          </cell>
          <cell r="P426" t="str">
            <v>RTM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M427">
            <v>29</v>
          </cell>
          <cell r="O427">
            <v>29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M428">
            <v>29</v>
          </cell>
          <cell r="O428">
            <v>29</v>
          </cell>
          <cell r="Q428">
            <v>29</v>
          </cell>
          <cell r="Y428">
            <v>4</v>
          </cell>
          <cell r="Z42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3">
          <cell r="N443" t="str">
            <v>ENGINEERING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F445" t="str">
            <v>ANIMATION</v>
          </cell>
          <cell r="I445" t="str">
            <v>INK &amp; PAINT</v>
          </cell>
          <cell r="L445" t="str">
            <v>ALPHA</v>
          </cell>
          <cell r="N445" t="str">
            <v>BETA</v>
          </cell>
          <cell r="P445" t="str">
            <v>RTM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L446" t="str">
            <v>ALPHA</v>
          </cell>
          <cell r="N446" t="str">
            <v>BETA</v>
          </cell>
          <cell r="P446" t="str">
            <v>RTM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M447">
            <v>29</v>
          </cell>
          <cell r="O447">
            <v>29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M448">
            <v>29</v>
          </cell>
          <cell r="O448">
            <v>29</v>
          </cell>
          <cell r="Q448">
            <v>29</v>
          </cell>
          <cell r="Y448">
            <v>4</v>
          </cell>
          <cell r="Z44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3">
          <cell r="N463" t="str">
            <v>ENGINEERING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F465" t="str">
            <v>ANIMATION</v>
          </cell>
          <cell r="I465" t="str">
            <v>INK &amp; PAINT</v>
          </cell>
          <cell r="L465" t="str">
            <v>ALPHA</v>
          </cell>
          <cell r="N465" t="str">
            <v>BETA</v>
          </cell>
          <cell r="P465" t="str">
            <v>RTM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L466" t="str">
            <v>ALPHA</v>
          </cell>
          <cell r="N466" t="str">
            <v>BETA</v>
          </cell>
          <cell r="P466" t="str">
            <v>RTM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M467">
            <v>29</v>
          </cell>
          <cell r="O467">
            <v>29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M468">
            <v>29</v>
          </cell>
          <cell r="O468">
            <v>29</v>
          </cell>
          <cell r="Q468">
            <v>29</v>
          </cell>
          <cell r="Y468">
            <v>3</v>
          </cell>
          <cell r="Z46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3">
          <cell r="N483" t="str">
            <v>ENGINEERING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F485" t="str">
            <v>ANIMATION</v>
          </cell>
          <cell r="I485" t="str">
            <v>INK &amp; PAINT</v>
          </cell>
          <cell r="L485" t="str">
            <v>ALPHA</v>
          </cell>
          <cell r="N485" t="str">
            <v>BETA</v>
          </cell>
          <cell r="P485" t="str">
            <v>RTM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L486" t="str">
            <v>ALPHA</v>
          </cell>
          <cell r="N486" t="str">
            <v>BETA</v>
          </cell>
          <cell r="P486" t="str">
            <v>RTM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M487">
            <v>29</v>
          </cell>
          <cell r="O487">
            <v>29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M488">
            <v>29</v>
          </cell>
          <cell r="O488">
            <v>29</v>
          </cell>
          <cell r="Q488">
            <v>29</v>
          </cell>
          <cell r="Y488">
            <v>6</v>
          </cell>
          <cell r="Z488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4">
          <cell r="N504" t="str">
            <v>ENGINEERING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F506" t="str">
            <v>ANIMATION</v>
          </cell>
          <cell r="I506" t="str">
            <v>INK &amp; PAINT</v>
          </cell>
          <cell r="L506" t="str">
            <v>ALPHA</v>
          </cell>
          <cell r="N506" t="str">
            <v>BETA</v>
          </cell>
          <cell r="P506" t="str">
            <v>RTM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L507" t="str">
            <v>ALPHA</v>
          </cell>
          <cell r="N507" t="str">
            <v>BETA</v>
          </cell>
          <cell r="P507" t="str">
            <v>RTM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M508">
            <v>29</v>
          </cell>
          <cell r="O508">
            <v>29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M509">
            <v>29</v>
          </cell>
          <cell r="O509">
            <v>29</v>
          </cell>
          <cell r="Q509">
            <v>29</v>
          </cell>
          <cell r="Y509">
            <v>25</v>
          </cell>
          <cell r="Z509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5">
          <cell r="N525" t="str">
            <v>ENGINEERING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F527" t="str">
            <v>ANIMATION</v>
          </cell>
          <cell r="I527" t="str">
            <v>INK &amp; PAINT</v>
          </cell>
          <cell r="L527" t="str">
            <v>ALPHA</v>
          </cell>
          <cell r="N527" t="str">
            <v>BETA</v>
          </cell>
          <cell r="P527" t="str">
            <v>RTM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L528" t="str">
            <v>ALPHA</v>
          </cell>
          <cell r="N528" t="str">
            <v>BETA</v>
          </cell>
          <cell r="P528" t="str">
            <v>RTM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M529">
            <v>29</v>
          </cell>
          <cell r="O529">
            <v>29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M530">
            <v>29</v>
          </cell>
          <cell r="O530">
            <v>29</v>
          </cell>
          <cell r="Q530">
            <v>29</v>
          </cell>
          <cell r="Y530">
            <v>14</v>
          </cell>
          <cell r="Z530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6">
          <cell r="N546" t="str">
            <v>ENGINEERING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F548" t="str">
            <v>ANIMATION</v>
          </cell>
          <cell r="I548" t="str">
            <v>INK &amp; PAINT</v>
          </cell>
          <cell r="L548" t="str">
            <v>ALPHA</v>
          </cell>
          <cell r="N548" t="str">
            <v>BETA</v>
          </cell>
          <cell r="P548" t="str">
            <v>RTM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L549" t="str">
            <v>ALPHA</v>
          </cell>
          <cell r="N549" t="str">
            <v>BETA</v>
          </cell>
          <cell r="P549" t="str">
            <v>RTM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M550">
            <v>29</v>
          </cell>
          <cell r="O550">
            <v>29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M551">
            <v>29</v>
          </cell>
          <cell r="O551">
            <v>29</v>
          </cell>
          <cell r="Q551">
            <v>29</v>
          </cell>
          <cell r="Y551">
            <v>5</v>
          </cell>
          <cell r="Z551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7">
          <cell r="N567" t="str">
            <v>ENGINEERING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F569" t="str">
            <v>ANIMATION</v>
          </cell>
          <cell r="I569" t="str">
            <v>INK &amp; PAINT</v>
          </cell>
          <cell r="L569" t="str">
            <v>ALPHA</v>
          </cell>
          <cell r="N569" t="str">
            <v>BETA</v>
          </cell>
          <cell r="P569" t="str">
            <v>RTM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L570" t="str">
            <v>ALPHA</v>
          </cell>
          <cell r="N570" t="str">
            <v>BETA</v>
          </cell>
          <cell r="P570" t="str">
            <v>RTM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M571">
            <v>29</v>
          </cell>
          <cell r="O571">
            <v>29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M572">
            <v>29</v>
          </cell>
          <cell r="O572">
            <v>29</v>
          </cell>
          <cell r="Q572">
            <v>29</v>
          </cell>
          <cell r="Y572">
            <v>25</v>
          </cell>
          <cell r="Z572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FF0000"/>
    <pageSetUpPr fitToPage="1"/>
  </sheetPr>
  <dimension ref="A1:E270"/>
  <sheetViews>
    <sheetView tabSelected="1" zoomScale="50" zoomScaleNormal="50" workbookViewId="0">
      <pane xSplit="3" ySplit="9" topLeftCell="D127" activePane="bottomRight" state="frozen"/>
      <selection pane="topRight"/>
      <selection pane="bottomLeft"/>
      <selection pane="bottomRight" activeCell="A4" sqref="A4:A5"/>
    </sheetView>
  </sheetViews>
  <sheetFormatPr defaultColWidth="9" defaultRowHeight="15"/>
  <cols>
    <col min="1" max="1" width="7.28515625" customWidth="1"/>
    <col min="2" max="2" width="29" style="7" customWidth="1"/>
    <col min="3" max="3" width="46.7109375" customWidth="1"/>
    <col min="4" max="4" width="23.42578125" style="46" customWidth="1"/>
    <col min="5" max="5" width="45.85546875" customWidth="1"/>
  </cols>
  <sheetData>
    <row r="1" spans="1:5" s="7" customFormat="1">
      <c r="A1" s="16"/>
      <c r="B1" s="16">
        <f>ROW()-0</f>
        <v>1</v>
      </c>
      <c r="C1" s="16">
        <f t="shared" ref="C1" si="0">B1+1</f>
        <v>2</v>
      </c>
      <c r="D1" s="42">
        <f>C1+1</f>
        <v>3</v>
      </c>
      <c r="E1" s="16">
        <f t="shared" ref="E1" si="1">D1+1</f>
        <v>4</v>
      </c>
    </row>
    <row r="2" spans="1:5" s="7" customFormat="1" ht="26.25">
      <c r="A2" s="57" t="s">
        <v>0</v>
      </c>
      <c r="B2" s="57"/>
      <c r="C2" s="57"/>
      <c r="D2" s="57"/>
      <c r="E2" s="57"/>
    </row>
    <row r="3" spans="1:5" s="7" customFormat="1" ht="26.25">
      <c r="A3" s="58" t="s">
        <v>1297</v>
      </c>
      <c r="B3" s="58"/>
      <c r="C3" s="58"/>
      <c r="D3" s="58"/>
      <c r="E3" s="58"/>
    </row>
    <row r="4" spans="1:5" ht="31.5" customHeight="1">
      <c r="A4" s="54" t="s">
        <v>1</v>
      </c>
      <c r="B4" s="55" t="s">
        <v>2</v>
      </c>
      <c r="C4" s="55" t="s">
        <v>3</v>
      </c>
      <c r="D4" s="56" t="s">
        <v>4</v>
      </c>
      <c r="E4" s="55" t="s">
        <v>5</v>
      </c>
    </row>
    <row r="5" spans="1:5" ht="15.75" customHeight="1">
      <c r="A5" s="54"/>
      <c r="B5" s="55"/>
      <c r="C5" s="55"/>
      <c r="D5" s="56"/>
      <c r="E5" s="55"/>
    </row>
    <row r="6" spans="1:5" ht="21.75" customHeight="1">
      <c r="A6" s="60" t="s">
        <v>8</v>
      </c>
      <c r="B6" s="61"/>
      <c r="C6" s="62"/>
      <c r="D6" s="43"/>
      <c r="E6" s="17"/>
    </row>
    <row r="7" spans="1:5" ht="24.75" customHeight="1">
      <c r="A7" s="40"/>
      <c r="B7" s="63" t="s">
        <v>9</v>
      </c>
      <c r="C7" s="64"/>
      <c r="D7" s="43"/>
      <c r="E7" s="17"/>
    </row>
    <row r="8" spans="1:5" ht="20.25" customHeight="1">
      <c r="A8" s="41">
        <f t="shared" ref="A8:A83" si="2">ROW()-7</f>
        <v>1</v>
      </c>
      <c r="B8" s="44" t="s">
        <v>1180</v>
      </c>
      <c r="C8" s="48" t="s">
        <v>1181</v>
      </c>
      <c r="D8" s="44" t="s">
        <v>9</v>
      </c>
      <c r="E8" s="44" t="s">
        <v>1182</v>
      </c>
    </row>
    <row r="9" spans="1:5" ht="20.25" customHeight="1">
      <c r="A9" s="41">
        <f t="shared" si="2"/>
        <v>2</v>
      </c>
      <c r="B9" s="44" t="s">
        <v>12</v>
      </c>
      <c r="C9" s="48" t="s">
        <v>1077</v>
      </c>
      <c r="D9" s="44" t="s">
        <v>9</v>
      </c>
      <c r="E9" s="44" t="s">
        <v>13</v>
      </c>
    </row>
    <row r="10" spans="1:5" ht="20.25" customHeight="1">
      <c r="A10" s="41">
        <f t="shared" si="2"/>
        <v>3</v>
      </c>
      <c r="B10" s="44" t="s">
        <v>1185</v>
      </c>
      <c r="C10" s="48" t="s">
        <v>1186</v>
      </c>
      <c r="D10" s="44" t="s">
        <v>9</v>
      </c>
      <c r="E10" s="44" t="s">
        <v>1187</v>
      </c>
    </row>
    <row r="11" spans="1:5" ht="20.25" customHeight="1">
      <c r="A11" s="41">
        <f t="shared" si="2"/>
        <v>4</v>
      </c>
      <c r="B11" s="44" t="s">
        <v>1234</v>
      </c>
      <c r="C11" s="48" t="s">
        <v>1235</v>
      </c>
      <c r="D11" s="44" t="s">
        <v>9</v>
      </c>
      <c r="E11" s="44" t="s">
        <v>1187</v>
      </c>
    </row>
    <row r="12" spans="1:5" ht="20.25" customHeight="1">
      <c r="A12" s="41">
        <f t="shared" si="2"/>
        <v>5</v>
      </c>
      <c r="B12" s="44" t="s">
        <v>1249</v>
      </c>
      <c r="C12" s="47" t="s">
        <v>1250</v>
      </c>
      <c r="D12" s="44" t="s">
        <v>9</v>
      </c>
      <c r="E12" s="44" t="s">
        <v>1187</v>
      </c>
    </row>
    <row r="13" spans="1:5" ht="20.25" customHeight="1">
      <c r="A13" s="41">
        <f t="shared" si="2"/>
        <v>6</v>
      </c>
      <c r="B13" s="44" t="s">
        <v>1005</v>
      </c>
      <c r="C13" s="48" t="s">
        <v>15</v>
      </c>
      <c r="D13" s="44" t="s">
        <v>9</v>
      </c>
      <c r="E13" s="44" t="s">
        <v>16</v>
      </c>
    </row>
    <row r="14" spans="1:5" ht="20.25" customHeight="1">
      <c r="A14" s="41">
        <f t="shared" si="2"/>
        <v>7</v>
      </c>
      <c r="B14" s="44" t="s">
        <v>18</v>
      </c>
      <c r="C14" s="48" t="s">
        <v>19</v>
      </c>
      <c r="D14" s="44" t="s">
        <v>9</v>
      </c>
      <c r="E14" s="44" t="s">
        <v>1004</v>
      </c>
    </row>
    <row r="15" spans="1:5" ht="20.25" customHeight="1">
      <c r="A15" s="41">
        <f t="shared" si="2"/>
        <v>8</v>
      </c>
      <c r="B15" s="44" t="s">
        <v>21</v>
      </c>
      <c r="C15" s="48" t="s">
        <v>22</v>
      </c>
      <c r="D15" s="44" t="s">
        <v>9</v>
      </c>
      <c r="E15" s="44" t="s">
        <v>20</v>
      </c>
    </row>
    <row r="16" spans="1:5" ht="20.25" customHeight="1">
      <c r="A16" s="41">
        <f t="shared" si="2"/>
        <v>9</v>
      </c>
      <c r="B16" s="44" t="s">
        <v>23</v>
      </c>
      <c r="C16" s="48" t="s">
        <v>24</v>
      </c>
      <c r="D16" s="45" t="s">
        <v>9</v>
      </c>
      <c r="E16" s="44" t="s">
        <v>20</v>
      </c>
    </row>
    <row r="17" spans="1:5" ht="20.25" customHeight="1">
      <c r="A17" s="41">
        <f t="shared" si="2"/>
        <v>10</v>
      </c>
      <c r="B17" s="44" t="s">
        <v>25</v>
      </c>
      <c r="C17" s="48" t="s">
        <v>26</v>
      </c>
      <c r="D17" s="45" t="s">
        <v>9</v>
      </c>
      <c r="E17" s="44" t="s">
        <v>20</v>
      </c>
    </row>
    <row r="18" spans="1:5" ht="20.25" customHeight="1">
      <c r="A18" s="41">
        <f t="shared" si="2"/>
        <v>11</v>
      </c>
      <c r="B18" s="44" t="s">
        <v>1210</v>
      </c>
      <c r="C18" s="48" t="s">
        <v>1201</v>
      </c>
      <c r="D18" s="45" t="s">
        <v>9</v>
      </c>
      <c r="E18" s="44" t="s">
        <v>20</v>
      </c>
    </row>
    <row r="19" spans="1:5" ht="20.25" customHeight="1">
      <c r="A19" s="41">
        <f t="shared" si="2"/>
        <v>12</v>
      </c>
      <c r="B19" s="44" t="s">
        <v>1221</v>
      </c>
      <c r="C19" s="48" t="s">
        <v>1222</v>
      </c>
      <c r="D19" s="45" t="s">
        <v>9</v>
      </c>
      <c r="E19" s="44" t="s">
        <v>20</v>
      </c>
    </row>
    <row r="20" spans="1:5" ht="20.25" customHeight="1">
      <c r="A20" s="41">
        <f t="shared" si="2"/>
        <v>13</v>
      </c>
      <c r="B20" s="44" t="s">
        <v>27</v>
      </c>
      <c r="C20" s="48" t="s">
        <v>28</v>
      </c>
      <c r="D20" s="44" t="s">
        <v>9</v>
      </c>
      <c r="E20" s="44" t="s">
        <v>29</v>
      </c>
    </row>
    <row r="21" spans="1:5" ht="20.25" customHeight="1">
      <c r="A21" s="41">
        <f t="shared" si="2"/>
        <v>14</v>
      </c>
      <c r="B21" s="44" t="s">
        <v>30</v>
      </c>
      <c r="C21" s="48" t="s">
        <v>31</v>
      </c>
      <c r="D21" s="44" t="s">
        <v>9</v>
      </c>
      <c r="E21" s="44" t="s">
        <v>32</v>
      </c>
    </row>
    <row r="22" spans="1:5" ht="20.25" customHeight="1">
      <c r="A22" s="41">
        <f t="shared" si="2"/>
        <v>15</v>
      </c>
      <c r="B22" s="44" t="s">
        <v>1183</v>
      </c>
      <c r="C22" s="48" t="s">
        <v>1184</v>
      </c>
      <c r="D22" s="44" t="s">
        <v>9</v>
      </c>
      <c r="E22" s="44" t="s">
        <v>32</v>
      </c>
    </row>
    <row r="23" spans="1:5" ht="20.25" customHeight="1">
      <c r="A23" s="41">
        <f t="shared" si="2"/>
        <v>16</v>
      </c>
      <c r="B23" s="44" t="s">
        <v>33</v>
      </c>
      <c r="C23" s="48" t="s">
        <v>34</v>
      </c>
      <c r="D23" s="44" t="s">
        <v>9</v>
      </c>
      <c r="E23" s="44" t="s">
        <v>35</v>
      </c>
    </row>
    <row r="24" spans="1:5" ht="20.25" customHeight="1">
      <c r="A24" s="41">
        <f t="shared" si="2"/>
        <v>17</v>
      </c>
      <c r="B24" s="44" t="s">
        <v>38</v>
      </c>
      <c r="C24" s="48" t="s">
        <v>39</v>
      </c>
      <c r="D24" s="44" t="s">
        <v>9</v>
      </c>
      <c r="E24" s="44" t="s">
        <v>35</v>
      </c>
    </row>
    <row r="25" spans="1:5" ht="20.25" customHeight="1">
      <c r="A25" s="41">
        <f t="shared" si="2"/>
        <v>18</v>
      </c>
      <c r="B25" s="44" t="s">
        <v>40</v>
      </c>
      <c r="C25" s="48" t="s">
        <v>41</v>
      </c>
      <c r="D25" s="44" t="s">
        <v>9</v>
      </c>
      <c r="E25" s="44" t="s">
        <v>35</v>
      </c>
    </row>
    <row r="26" spans="1:5" ht="20.25" customHeight="1">
      <c r="A26" s="41">
        <f t="shared" si="2"/>
        <v>19</v>
      </c>
      <c r="B26" s="44" t="s">
        <v>42</v>
      </c>
      <c r="C26" s="48" t="s">
        <v>43</v>
      </c>
      <c r="D26" s="44" t="s">
        <v>9</v>
      </c>
      <c r="E26" s="44" t="s">
        <v>35</v>
      </c>
    </row>
    <row r="27" spans="1:5" ht="20.25" customHeight="1">
      <c r="A27" s="41">
        <f t="shared" si="2"/>
        <v>20</v>
      </c>
      <c r="B27" s="44" t="s">
        <v>46</v>
      </c>
      <c r="C27" s="48" t="s">
        <v>47</v>
      </c>
      <c r="D27" s="44" t="s">
        <v>9</v>
      </c>
      <c r="E27" s="44" t="s">
        <v>35</v>
      </c>
    </row>
    <row r="28" spans="1:5" ht="20.25" customHeight="1">
      <c r="A28" s="41">
        <f t="shared" si="2"/>
        <v>21</v>
      </c>
      <c r="B28" s="44" t="s">
        <v>1020</v>
      </c>
      <c r="C28" s="48" t="s">
        <v>1021</v>
      </c>
      <c r="D28" s="44" t="s">
        <v>9</v>
      </c>
      <c r="E28" s="44" t="s">
        <v>35</v>
      </c>
    </row>
    <row r="29" spans="1:5" ht="20.25" customHeight="1">
      <c r="A29" s="41">
        <f t="shared" si="2"/>
        <v>22</v>
      </c>
      <c r="B29" s="44" t="s">
        <v>1064</v>
      </c>
      <c r="C29" s="48" t="s">
        <v>521</v>
      </c>
      <c r="D29" s="44" t="s">
        <v>9</v>
      </c>
      <c r="E29" s="44" t="s">
        <v>35</v>
      </c>
    </row>
    <row r="30" spans="1:5" ht="20.25" customHeight="1">
      <c r="A30" s="41">
        <f t="shared" si="2"/>
        <v>23</v>
      </c>
      <c r="B30" s="44" t="s">
        <v>1065</v>
      </c>
      <c r="C30" s="48" t="s">
        <v>1076</v>
      </c>
      <c r="D30" s="44" t="s">
        <v>9</v>
      </c>
      <c r="E30" s="44" t="s">
        <v>35</v>
      </c>
    </row>
    <row r="31" spans="1:5" ht="20.25" customHeight="1">
      <c r="A31" s="41">
        <f t="shared" si="2"/>
        <v>24</v>
      </c>
      <c r="B31" s="44" t="s">
        <v>1066</v>
      </c>
      <c r="C31" s="48" t="s">
        <v>1067</v>
      </c>
      <c r="D31" s="44" t="s">
        <v>9</v>
      </c>
      <c r="E31" s="44" t="s">
        <v>35</v>
      </c>
    </row>
    <row r="32" spans="1:5" ht="20.25" customHeight="1">
      <c r="A32" s="41">
        <f t="shared" si="2"/>
        <v>25</v>
      </c>
      <c r="B32" s="44" t="s">
        <v>1078</v>
      </c>
      <c r="C32" s="48" t="s">
        <v>1079</v>
      </c>
      <c r="D32" s="44" t="s">
        <v>9</v>
      </c>
      <c r="E32" s="44" t="s">
        <v>35</v>
      </c>
    </row>
    <row r="33" spans="1:5" ht="20.25" customHeight="1">
      <c r="A33" s="41">
        <f t="shared" si="2"/>
        <v>26</v>
      </c>
      <c r="B33" s="44" t="s">
        <v>1102</v>
      </c>
      <c r="C33" s="48" t="s">
        <v>1103</v>
      </c>
      <c r="D33" s="44" t="s">
        <v>9</v>
      </c>
      <c r="E33" s="44" t="s">
        <v>35</v>
      </c>
    </row>
    <row r="34" spans="1:5" ht="20.25" customHeight="1">
      <c r="A34" s="41">
        <f t="shared" si="2"/>
        <v>27</v>
      </c>
      <c r="B34" s="44" t="s">
        <v>1111</v>
      </c>
      <c r="C34" s="48" t="s">
        <v>1112</v>
      </c>
      <c r="D34" s="44" t="s">
        <v>9</v>
      </c>
      <c r="E34" s="44" t="s">
        <v>35</v>
      </c>
    </row>
    <row r="35" spans="1:5" ht="20.25" customHeight="1">
      <c r="A35" s="41">
        <f t="shared" si="2"/>
        <v>28</v>
      </c>
      <c r="B35" s="44" t="s">
        <v>1113</v>
      </c>
      <c r="C35" s="48" t="s">
        <v>1114</v>
      </c>
      <c r="D35" s="44" t="s">
        <v>9</v>
      </c>
      <c r="E35" s="44" t="s">
        <v>35</v>
      </c>
    </row>
    <row r="36" spans="1:5" ht="20.25" customHeight="1">
      <c r="A36" s="41">
        <f t="shared" si="2"/>
        <v>29</v>
      </c>
      <c r="B36" s="44" t="s">
        <v>1132</v>
      </c>
      <c r="C36" s="48" t="s">
        <v>1133</v>
      </c>
      <c r="D36" s="44" t="s">
        <v>9</v>
      </c>
      <c r="E36" s="44" t="s">
        <v>35</v>
      </c>
    </row>
    <row r="37" spans="1:5" ht="20.25" customHeight="1">
      <c r="A37" s="41">
        <f t="shared" si="2"/>
        <v>30</v>
      </c>
      <c r="B37" s="44" t="s">
        <v>1148</v>
      </c>
      <c r="C37" s="48" t="s">
        <v>1149</v>
      </c>
      <c r="D37" s="44" t="s">
        <v>9</v>
      </c>
      <c r="E37" s="44" t="s">
        <v>35</v>
      </c>
    </row>
    <row r="38" spans="1:5" ht="20.25" customHeight="1">
      <c r="A38" s="41">
        <f t="shared" si="2"/>
        <v>31</v>
      </c>
      <c r="B38" s="44" t="s">
        <v>1219</v>
      </c>
      <c r="C38" s="48" t="s">
        <v>1220</v>
      </c>
      <c r="D38" s="44" t="s">
        <v>9</v>
      </c>
      <c r="E38" s="44" t="s">
        <v>35</v>
      </c>
    </row>
    <row r="39" spans="1:5" ht="20.25" customHeight="1">
      <c r="A39" s="41">
        <f t="shared" si="2"/>
        <v>32</v>
      </c>
      <c r="B39" s="44" t="s">
        <v>1251</v>
      </c>
      <c r="C39" s="47" t="s">
        <v>1252</v>
      </c>
      <c r="D39" s="44" t="s">
        <v>9</v>
      </c>
      <c r="E39" s="44" t="s">
        <v>35</v>
      </c>
    </row>
    <row r="40" spans="1:5" ht="20.25" customHeight="1">
      <c r="A40" s="41">
        <f t="shared" si="2"/>
        <v>33</v>
      </c>
      <c r="B40" s="44" t="s">
        <v>1253</v>
      </c>
      <c r="C40" s="47" t="s">
        <v>1254</v>
      </c>
      <c r="D40" s="44" t="s">
        <v>9</v>
      </c>
      <c r="E40" s="44" t="s">
        <v>35</v>
      </c>
    </row>
    <row r="41" spans="1:5" ht="20.25" customHeight="1">
      <c r="A41" s="41">
        <f t="shared" si="2"/>
        <v>34</v>
      </c>
      <c r="B41" s="44" t="s">
        <v>1255</v>
      </c>
      <c r="C41" s="47" t="s">
        <v>1256</v>
      </c>
      <c r="D41" s="44" t="s">
        <v>9</v>
      </c>
      <c r="E41" s="44" t="s">
        <v>35</v>
      </c>
    </row>
    <row r="42" spans="1:5" ht="20.25" customHeight="1">
      <c r="A42" s="41">
        <f t="shared" si="2"/>
        <v>35</v>
      </c>
      <c r="B42" s="44" t="s">
        <v>1115</v>
      </c>
      <c r="C42" s="48" t="s">
        <v>1116</v>
      </c>
      <c r="D42" s="44" t="s">
        <v>9</v>
      </c>
      <c r="E42" s="44" t="s">
        <v>1056</v>
      </c>
    </row>
    <row r="43" spans="1:5" ht="20.25" customHeight="1">
      <c r="A43" s="41">
        <f t="shared" si="2"/>
        <v>36</v>
      </c>
      <c r="B43" s="44" t="s">
        <v>48</v>
      </c>
      <c r="C43" s="48" t="s">
        <v>49</v>
      </c>
      <c r="D43" s="44" t="s">
        <v>9</v>
      </c>
      <c r="E43" s="44" t="s">
        <v>50</v>
      </c>
    </row>
    <row r="44" spans="1:5" ht="20.25" customHeight="1">
      <c r="A44" s="41">
        <f t="shared" si="2"/>
        <v>37</v>
      </c>
      <c r="B44" s="44" t="s">
        <v>51</v>
      </c>
      <c r="C44" s="48" t="s">
        <v>52</v>
      </c>
      <c r="D44" s="44" t="s">
        <v>9</v>
      </c>
      <c r="E44" s="44" t="s">
        <v>50</v>
      </c>
    </row>
    <row r="45" spans="1:5" ht="20.25" customHeight="1">
      <c r="A45" s="41">
        <f t="shared" si="2"/>
        <v>38</v>
      </c>
      <c r="B45" s="44" t="s">
        <v>53</v>
      </c>
      <c r="C45" s="48" t="s">
        <v>54</v>
      </c>
      <c r="D45" s="44" t="s">
        <v>9</v>
      </c>
      <c r="E45" s="44" t="s">
        <v>50</v>
      </c>
    </row>
    <row r="46" spans="1:5" ht="20.25" customHeight="1">
      <c r="A46" s="41">
        <f t="shared" si="2"/>
        <v>39</v>
      </c>
      <c r="B46" s="44" t="s">
        <v>55</v>
      </c>
      <c r="C46" s="48" t="s">
        <v>56</v>
      </c>
      <c r="D46" s="44" t="s">
        <v>9</v>
      </c>
      <c r="E46" s="44" t="s">
        <v>50</v>
      </c>
    </row>
    <row r="47" spans="1:5" ht="21" customHeight="1">
      <c r="A47" s="41">
        <f t="shared" si="2"/>
        <v>40</v>
      </c>
      <c r="B47" s="44" t="s">
        <v>57</v>
      </c>
      <c r="C47" s="48" t="s">
        <v>58</v>
      </c>
      <c r="D47" s="44" t="s">
        <v>9</v>
      </c>
      <c r="E47" s="44" t="s">
        <v>50</v>
      </c>
    </row>
    <row r="48" spans="1:5" ht="21" customHeight="1">
      <c r="A48" s="41">
        <f t="shared" si="2"/>
        <v>41</v>
      </c>
      <c r="B48" s="44" t="s">
        <v>1068</v>
      </c>
      <c r="C48" s="48" t="s">
        <v>1069</v>
      </c>
      <c r="D48" s="44" t="s">
        <v>9</v>
      </c>
      <c r="E48" s="44" t="s">
        <v>50</v>
      </c>
    </row>
    <row r="49" spans="1:5" ht="20.25" customHeight="1">
      <c r="A49" s="41">
        <f t="shared" si="2"/>
        <v>42</v>
      </c>
      <c r="B49" s="44" t="s">
        <v>1072</v>
      </c>
      <c r="C49" s="48" t="s">
        <v>1073</v>
      </c>
      <c r="D49" s="44" t="s">
        <v>9</v>
      </c>
      <c r="E49" s="44" t="s">
        <v>61</v>
      </c>
    </row>
    <row r="50" spans="1:5" ht="20.25" customHeight="1">
      <c r="A50" s="41">
        <f t="shared" si="2"/>
        <v>43</v>
      </c>
      <c r="B50" s="44" t="s">
        <v>1240</v>
      </c>
      <c r="C50" s="48" t="s">
        <v>294</v>
      </c>
      <c r="D50" s="44" t="s">
        <v>9</v>
      </c>
      <c r="E50" s="44" t="s">
        <v>64</v>
      </c>
    </row>
    <row r="51" spans="1:5" ht="20.25" customHeight="1">
      <c r="A51" s="41">
        <f t="shared" si="2"/>
        <v>44</v>
      </c>
      <c r="B51" s="44" t="s">
        <v>65</v>
      </c>
      <c r="C51" s="48" t="s">
        <v>66</v>
      </c>
      <c r="D51" s="44" t="s">
        <v>9</v>
      </c>
      <c r="E51" s="44" t="s">
        <v>67</v>
      </c>
    </row>
    <row r="52" spans="1:5" ht="20.25" customHeight="1">
      <c r="A52" s="41">
        <f t="shared" si="2"/>
        <v>45</v>
      </c>
      <c r="B52" s="44" t="s">
        <v>70</v>
      </c>
      <c r="C52" s="48" t="s">
        <v>71</v>
      </c>
      <c r="D52" s="44" t="s">
        <v>9</v>
      </c>
      <c r="E52" s="44" t="s">
        <v>67</v>
      </c>
    </row>
    <row r="53" spans="1:5" ht="20.25" customHeight="1">
      <c r="A53" s="41">
        <f t="shared" si="2"/>
        <v>46</v>
      </c>
      <c r="B53" s="44" t="s">
        <v>72</v>
      </c>
      <c r="C53" s="48" t="s">
        <v>73</v>
      </c>
      <c r="D53" s="44" t="s">
        <v>9</v>
      </c>
      <c r="E53" s="44" t="s">
        <v>67</v>
      </c>
    </row>
    <row r="54" spans="1:5" ht="20.25" customHeight="1">
      <c r="A54" s="41">
        <f t="shared" si="2"/>
        <v>47</v>
      </c>
      <c r="B54" s="44" t="s">
        <v>74</v>
      </c>
      <c r="C54" s="48" t="s">
        <v>75</v>
      </c>
      <c r="D54" s="44" t="s">
        <v>9</v>
      </c>
      <c r="E54" s="44" t="s">
        <v>67</v>
      </c>
    </row>
    <row r="55" spans="1:5" ht="20.25" customHeight="1">
      <c r="A55" s="41">
        <f t="shared" si="2"/>
        <v>48</v>
      </c>
      <c r="B55" s="44" t="s">
        <v>78</v>
      </c>
      <c r="C55" s="48" t="s">
        <v>79</v>
      </c>
      <c r="D55" s="44" t="s">
        <v>9</v>
      </c>
      <c r="E55" s="44" t="s">
        <v>67</v>
      </c>
    </row>
    <row r="56" spans="1:5" ht="20.25" customHeight="1">
      <c r="A56" s="41">
        <f t="shared" si="2"/>
        <v>49</v>
      </c>
      <c r="B56" s="44" t="s">
        <v>80</v>
      </c>
      <c r="C56" s="48" t="s">
        <v>81</v>
      </c>
      <c r="D56" s="44" t="s">
        <v>9</v>
      </c>
      <c r="E56" s="44" t="s">
        <v>67</v>
      </c>
    </row>
    <row r="57" spans="1:5" ht="20.25" customHeight="1">
      <c r="A57" s="41">
        <f t="shared" si="2"/>
        <v>50</v>
      </c>
      <c r="B57" s="44" t="s">
        <v>84</v>
      </c>
      <c r="C57" s="48" t="s">
        <v>85</v>
      </c>
      <c r="D57" s="44" t="s">
        <v>9</v>
      </c>
      <c r="E57" s="44" t="s">
        <v>67</v>
      </c>
    </row>
    <row r="58" spans="1:5" ht="20.25" customHeight="1">
      <c r="A58" s="41">
        <f t="shared" si="2"/>
        <v>51</v>
      </c>
      <c r="B58" s="44" t="s">
        <v>86</v>
      </c>
      <c r="C58" s="48" t="s">
        <v>87</v>
      </c>
      <c r="D58" s="44" t="s">
        <v>9</v>
      </c>
      <c r="E58" s="44" t="s">
        <v>67</v>
      </c>
    </row>
    <row r="59" spans="1:5" ht="20.25" customHeight="1">
      <c r="A59" s="41">
        <f t="shared" si="2"/>
        <v>52</v>
      </c>
      <c r="B59" s="44" t="s">
        <v>88</v>
      </c>
      <c r="C59" s="48" t="s">
        <v>89</v>
      </c>
      <c r="D59" s="45" t="s">
        <v>9</v>
      </c>
      <c r="E59" s="44" t="s">
        <v>67</v>
      </c>
    </row>
    <row r="60" spans="1:5" ht="20.25" customHeight="1">
      <c r="A60" s="41">
        <f t="shared" si="2"/>
        <v>53</v>
      </c>
      <c r="B60" s="44" t="s">
        <v>90</v>
      </c>
      <c r="C60" s="48" t="s">
        <v>91</v>
      </c>
      <c r="D60" s="45" t="s">
        <v>9</v>
      </c>
      <c r="E60" s="44" t="s">
        <v>67</v>
      </c>
    </row>
    <row r="61" spans="1:5" ht="20.25" customHeight="1">
      <c r="A61" s="41">
        <f t="shared" si="2"/>
        <v>54</v>
      </c>
      <c r="B61" s="44" t="s">
        <v>92</v>
      </c>
      <c r="C61" s="48" t="s">
        <v>93</v>
      </c>
      <c r="D61" s="44" t="s">
        <v>9</v>
      </c>
      <c r="E61" s="44" t="s">
        <v>67</v>
      </c>
    </row>
    <row r="62" spans="1:5" ht="20.25" customHeight="1">
      <c r="A62" s="41">
        <f t="shared" si="2"/>
        <v>55</v>
      </c>
      <c r="B62" s="44" t="s">
        <v>94</v>
      </c>
      <c r="C62" s="48" t="s">
        <v>95</v>
      </c>
      <c r="D62" s="44" t="s">
        <v>9</v>
      </c>
      <c r="E62" s="44" t="s">
        <v>67</v>
      </c>
    </row>
    <row r="63" spans="1:5" ht="20.25" customHeight="1">
      <c r="A63" s="41">
        <f t="shared" si="2"/>
        <v>56</v>
      </c>
      <c r="B63" s="44" t="s">
        <v>96</v>
      </c>
      <c r="C63" s="48" t="s">
        <v>97</v>
      </c>
      <c r="D63" s="44" t="s">
        <v>9</v>
      </c>
      <c r="E63" s="44" t="s">
        <v>67</v>
      </c>
    </row>
    <row r="64" spans="1:5" ht="20.25" customHeight="1">
      <c r="A64" s="41">
        <f t="shared" si="2"/>
        <v>57</v>
      </c>
      <c r="B64" s="44" t="s">
        <v>1012</v>
      </c>
      <c r="C64" s="48" t="s">
        <v>1013</v>
      </c>
      <c r="D64" s="44" t="s">
        <v>9</v>
      </c>
      <c r="E64" s="44" t="s">
        <v>67</v>
      </c>
    </row>
    <row r="65" spans="1:5" ht="20.25" customHeight="1">
      <c r="A65" s="41">
        <f t="shared" si="2"/>
        <v>58</v>
      </c>
      <c r="B65" s="44" t="s">
        <v>1024</v>
      </c>
      <c r="C65" s="48" t="s">
        <v>1025</v>
      </c>
      <c r="D65" s="44" t="s">
        <v>9</v>
      </c>
      <c r="E65" s="44" t="s">
        <v>67</v>
      </c>
    </row>
    <row r="66" spans="1:5" ht="20.25" customHeight="1">
      <c r="A66" s="41">
        <f t="shared" si="2"/>
        <v>59</v>
      </c>
      <c r="B66" s="44" t="s">
        <v>1057</v>
      </c>
      <c r="C66" s="48" t="s">
        <v>1041</v>
      </c>
      <c r="D66" s="44" t="s">
        <v>9</v>
      </c>
      <c r="E66" s="44" t="s">
        <v>67</v>
      </c>
    </row>
    <row r="67" spans="1:5" ht="20.25" customHeight="1">
      <c r="A67" s="41">
        <f t="shared" si="2"/>
        <v>60</v>
      </c>
      <c r="B67" s="44" t="s">
        <v>1127</v>
      </c>
      <c r="C67" s="48" t="s">
        <v>1128</v>
      </c>
      <c r="D67" s="44" t="s">
        <v>9</v>
      </c>
      <c r="E67" s="44" t="s">
        <v>67</v>
      </c>
    </row>
    <row r="68" spans="1:5" ht="20.25" customHeight="1">
      <c r="A68" s="41">
        <f t="shared" si="2"/>
        <v>61</v>
      </c>
      <c r="B68" s="44" t="s">
        <v>1198</v>
      </c>
      <c r="C68" s="48" t="s">
        <v>1211</v>
      </c>
      <c r="D68" s="44" t="s">
        <v>9</v>
      </c>
      <c r="E68" s="44" t="s">
        <v>67</v>
      </c>
    </row>
    <row r="69" spans="1:5" ht="20.25" customHeight="1">
      <c r="A69" s="41">
        <f t="shared" si="2"/>
        <v>62</v>
      </c>
      <c r="B69" s="44" t="s">
        <v>76</v>
      </c>
      <c r="C69" s="48" t="s">
        <v>77</v>
      </c>
      <c r="D69" s="44" t="s">
        <v>9</v>
      </c>
      <c r="E69" s="44" t="s">
        <v>1018</v>
      </c>
    </row>
    <row r="70" spans="1:5" ht="20.25" customHeight="1">
      <c r="A70" s="41">
        <f t="shared" si="2"/>
        <v>63</v>
      </c>
      <c r="B70" s="44" t="s">
        <v>68</v>
      </c>
      <c r="C70" s="48" t="s">
        <v>69</v>
      </c>
      <c r="D70" s="44" t="s">
        <v>9</v>
      </c>
      <c r="E70" s="44" t="s">
        <v>1018</v>
      </c>
    </row>
    <row r="71" spans="1:5" ht="20.25" customHeight="1">
      <c r="A71" s="41">
        <f t="shared" si="2"/>
        <v>64</v>
      </c>
      <c r="B71" s="44" t="s">
        <v>98</v>
      </c>
      <c r="C71" s="48" t="s">
        <v>99</v>
      </c>
      <c r="D71" s="44" t="s">
        <v>9</v>
      </c>
      <c r="E71" s="44" t="s">
        <v>1018</v>
      </c>
    </row>
    <row r="72" spans="1:5" ht="20.25" customHeight="1">
      <c r="A72" s="41">
        <f t="shared" si="2"/>
        <v>65</v>
      </c>
      <c r="B72" s="44" t="s">
        <v>82</v>
      </c>
      <c r="C72" s="48" t="s">
        <v>83</v>
      </c>
      <c r="D72" s="44" t="s">
        <v>9</v>
      </c>
      <c r="E72" s="44" t="s">
        <v>1018</v>
      </c>
    </row>
    <row r="73" spans="1:5" ht="20.25" customHeight="1">
      <c r="A73" s="41">
        <f t="shared" si="2"/>
        <v>66</v>
      </c>
      <c r="B73" s="44" t="s">
        <v>1016</v>
      </c>
      <c r="C73" s="48" t="s">
        <v>1017</v>
      </c>
      <c r="D73" s="44" t="s">
        <v>9</v>
      </c>
      <c r="E73" s="44" t="s">
        <v>1018</v>
      </c>
    </row>
    <row r="74" spans="1:5" ht="20.25" customHeight="1">
      <c r="A74" s="41">
        <f t="shared" si="2"/>
        <v>67</v>
      </c>
      <c r="B74" s="44" t="s">
        <v>101</v>
      </c>
      <c r="C74" s="48" t="s">
        <v>102</v>
      </c>
      <c r="D74" s="44" t="s">
        <v>9</v>
      </c>
      <c r="E74" s="44" t="s">
        <v>100</v>
      </c>
    </row>
    <row r="75" spans="1:5" ht="20.25" customHeight="1">
      <c r="A75" s="41">
        <f t="shared" si="2"/>
        <v>68</v>
      </c>
      <c r="B75" s="44" t="s">
        <v>103</v>
      </c>
      <c r="C75" s="48" t="s">
        <v>104</v>
      </c>
      <c r="D75" s="44" t="s">
        <v>9</v>
      </c>
      <c r="E75" s="44" t="s">
        <v>100</v>
      </c>
    </row>
    <row r="76" spans="1:5" ht="20.25" customHeight="1">
      <c r="A76" s="41">
        <f t="shared" si="2"/>
        <v>69</v>
      </c>
      <c r="B76" s="44" t="s">
        <v>105</v>
      </c>
      <c r="C76" s="48" t="s">
        <v>106</v>
      </c>
      <c r="D76" s="44" t="s">
        <v>9</v>
      </c>
      <c r="E76" s="44" t="s">
        <v>100</v>
      </c>
    </row>
    <row r="77" spans="1:5" ht="20.25" customHeight="1">
      <c r="A77" s="41">
        <f t="shared" si="2"/>
        <v>70</v>
      </c>
      <c r="B77" s="44" t="s">
        <v>107</v>
      </c>
      <c r="C77" s="48" t="s">
        <v>108</v>
      </c>
      <c r="D77" s="44" t="s">
        <v>9</v>
      </c>
      <c r="E77" s="44" t="s">
        <v>100</v>
      </c>
    </row>
    <row r="78" spans="1:5" ht="20.25" customHeight="1">
      <c r="A78" s="41">
        <f t="shared" si="2"/>
        <v>71</v>
      </c>
      <c r="B78" s="44" t="s">
        <v>1134</v>
      </c>
      <c r="C78" s="48" t="s">
        <v>1146</v>
      </c>
      <c r="D78" s="44" t="s">
        <v>9</v>
      </c>
      <c r="E78" s="44" t="s">
        <v>100</v>
      </c>
    </row>
    <row r="79" spans="1:5" ht="20.25" customHeight="1">
      <c r="A79" s="41">
        <f t="shared" si="2"/>
        <v>72</v>
      </c>
      <c r="B79" s="44" t="s">
        <v>109</v>
      </c>
      <c r="C79" s="48" t="s">
        <v>110</v>
      </c>
      <c r="D79" s="44" t="s">
        <v>9</v>
      </c>
      <c r="E79" s="44" t="s">
        <v>111</v>
      </c>
    </row>
    <row r="80" spans="1:5" ht="20.25" customHeight="1">
      <c r="A80" s="41">
        <f t="shared" si="2"/>
        <v>73</v>
      </c>
      <c r="B80" s="44" t="s">
        <v>112</v>
      </c>
      <c r="C80" s="48" t="s">
        <v>113</v>
      </c>
      <c r="D80" s="44" t="s">
        <v>9</v>
      </c>
      <c r="E80" s="44" t="s">
        <v>111</v>
      </c>
    </row>
    <row r="81" spans="1:5" ht="20.25" customHeight="1">
      <c r="A81" s="41">
        <f t="shared" si="2"/>
        <v>74</v>
      </c>
      <c r="B81" s="44" t="s">
        <v>114</v>
      </c>
      <c r="C81" s="48" t="s">
        <v>115</v>
      </c>
      <c r="D81" s="44" t="s">
        <v>9</v>
      </c>
      <c r="E81" s="44" t="s">
        <v>111</v>
      </c>
    </row>
    <row r="82" spans="1:5" ht="20.25" customHeight="1">
      <c r="A82" s="41">
        <f t="shared" si="2"/>
        <v>75</v>
      </c>
      <c r="B82" s="44" t="s">
        <v>116</v>
      </c>
      <c r="C82" s="48" t="s">
        <v>117</v>
      </c>
      <c r="D82" s="44" t="s">
        <v>9</v>
      </c>
      <c r="E82" s="44" t="s">
        <v>111</v>
      </c>
    </row>
    <row r="83" spans="1:5" ht="20.25" customHeight="1">
      <c r="A83" s="41">
        <f t="shared" si="2"/>
        <v>76</v>
      </c>
      <c r="B83" s="44" t="s">
        <v>1039</v>
      </c>
      <c r="C83" s="48" t="s">
        <v>1040</v>
      </c>
      <c r="D83" s="44" t="s">
        <v>9</v>
      </c>
      <c r="E83" s="44" t="s">
        <v>111</v>
      </c>
    </row>
    <row r="84" spans="1:5" ht="20.25" customHeight="1">
      <c r="A84" s="41">
        <f t="shared" ref="A84:A144" si="3">ROW()-7</f>
        <v>77</v>
      </c>
      <c r="B84" s="44" t="s">
        <v>119</v>
      </c>
      <c r="C84" s="48" t="s">
        <v>120</v>
      </c>
      <c r="D84" s="44" t="s">
        <v>9</v>
      </c>
      <c r="E84" s="44" t="s">
        <v>111</v>
      </c>
    </row>
    <row r="85" spans="1:5" ht="20.25" customHeight="1">
      <c r="A85" s="41">
        <f t="shared" si="3"/>
        <v>78</v>
      </c>
      <c r="B85" s="44" t="s">
        <v>1277</v>
      </c>
      <c r="C85" s="47" t="s">
        <v>1278</v>
      </c>
      <c r="D85" s="44" t="s">
        <v>9</v>
      </c>
      <c r="E85" s="44" t="s">
        <v>111</v>
      </c>
    </row>
    <row r="86" spans="1:5" ht="20.25" customHeight="1">
      <c r="A86" s="41">
        <f t="shared" si="3"/>
        <v>79</v>
      </c>
      <c r="B86" s="44" t="s">
        <v>1062</v>
      </c>
      <c r="C86" s="48" t="s">
        <v>1063</v>
      </c>
      <c r="D86" s="44" t="s">
        <v>9</v>
      </c>
      <c r="E86" s="44" t="s">
        <v>118</v>
      </c>
    </row>
    <row r="87" spans="1:5" ht="20.25" customHeight="1">
      <c r="A87" s="41">
        <f t="shared" si="3"/>
        <v>80</v>
      </c>
      <c r="B87" s="44" t="s">
        <v>1188</v>
      </c>
      <c r="C87" s="48" t="s">
        <v>1189</v>
      </c>
      <c r="D87" s="44" t="s">
        <v>9</v>
      </c>
      <c r="E87" s="44" t="s">
        <v>118</v>
      </c>
    </row>
    <row r="88" spans="1:5" ht="20.25" customHeight="1">
      <c r="A88" s="41">
        <f t="shared" si="3"/>
        <v>81</v>
      </c>
      <c r="B88" s="44" t="s">
        <v>1190</v>
      </c>
      <c r="C88" s="48" t="s">
        <v>1191</v>
      </c>
      <c r="D88" s="44" t="s">
        <v>9</v>
      </c>
      <c r="E88" s="44" t="s">
        <v>118</v>
      </c>
    </row>
    <row r="89" spans="1:5" ht="20.25" customHeight="1">
      <c r="A89" s="41">
        <f t="shared" si="3"/>
        <v>82</v>
      </c>
      <c r="B89" s="44" t="s">
        <v>1199</v>
      </c>
      <c r="C89" s="48" t="s">
        <v>1200</v>
      </c>
      <c r="D89" s="44" t="s">
        <v>9</v>
      </c>
      <c r="E89" s="44" t="s">
        <v>118</v>
      </c>
    </row>
    <row r="90" spans="1:5" ht="20.25" customHeight="1">
      <c r="A90" s="41">
        <f t="shared" si="3"/>
        <v>83</v>
      </c>
      <c r="B90" s="44" t="s">
        <v>1257</v>
      </c>
      <c r="C90" s="47" t="s">
        <v>1265</v>
      </c>
      <c r="D90" s="44" t="s">
        <v>9</v>
      </c>
      <c r="E90" s="44" t="s">
        <v>118</v>
      </c>
    </row>
    <row r="91" spans="1:5" ht="20.25" customHeight="1">
      <c r="A91" s="41">
        <f t="shared" si="3"/>
        <v>84</v>
      </c>
      <c r="B91" s="44" t="s">
        <v>1279</v>
      </c>
      <c r="C91" s="47" t="s">
        <v>1280</v>
      </c>
      <c r="D91" s="44" t="s">
        <v>9</v>
      </c>
      <c r="E91" s="44" t="s">
        <v>118</v>
      </c>
    </row>
    <row r="92" spans="1:5" ht="20.25" customHeight="1">
      <c r="A92" s="41">
        <f t="shared" si="3"/>
        <v>85</v>
      </c>
      <c r="B92" s="44" t="s">
        <v>1281</v>
      </c>
      <c r="C92" s="47" t="s">
        <v>1282</v>
      </c>
      <c r="D92" s="44" t="s">
        <v>9</v>
      </c>
      <c r="E92" s="44" t="s">
        <v>118</v>
      </c>
    </row>
    <row r="93" spans="1:5" ht="20.25" customHeight="1">
      <c r="A93" s="41">
        <f t="shared" si="3"/>
        <v>86</v>
      </c>
      <c r="B93" s="44" t="s">
        <v>126</v>
      </c>
      <c r="C93" s="48" t="s">
        <v>127</v>
      </c>
      <c r="D93" s="44" t="s">
        <v>9</v>
      </c>
      <c r="E93" s="44" t="s">
        <v>128</v>
      </c>
    </row>
    <row r="94" spans="1:5" ht="20.25" customHeight="1">
      <c r="A94" s="41">
        <f t="shared" si="3"/>
        <v>87</v>
      </c>
      <c r="B94" s="44" t="s">
        <v>131</v>
      </c>
      <c r="C94" s="48" t="s">
        <v>132</v>
      </c>
      <c r="D94" s="44" t="s">
        <v>9</v>
      </c>
      <c r="E94" s="44" t="s">
        <v>128</v>
      </c>
    </row>
    <row r="95" spans="1:5" ht="20.25" customHeight="1">
      <c r="A95" s="41">
        <f t="shared" si="3"/>
        <v>88</v>
      </c>
      <c r="B95" s="44" t="s">
        <v>133</v>
      </c>
      <c r="C95" s="48" t="s">
        <v>134</v>
      </c>
      <c r="D95" s="44" t="s">
        <v>9</v>
      </c>
      <c r="E95" s="44" t="s">
        <v>128</v>
      </c>
    </row>
    <row r="96" spans="1:5" ht="20.25" customHeight="1">
      <c r="A96" s="41">
        <f t="shared" si="3"/>
        <v>89</v>
      </c>
      <c r="B96" s="44" t="s">
        <v>135</v>
      </c>
      <c r="C96" s="48" t="s">
        <v>136</v>
      </c>
      <c r="D96" s="44" t="s">
        <v>9</v>
      </c>
      <c r="E96" s="44" t="s">
        <v>128</v>
      </c>
    </row>
    <row r="97" spans="1:5" ht="20.25" customHeight="1">
      <c r="A97" s="41">
        <f t="shared" si="3"/>
        <v>90</v>
      </c>
      <c r="B97" s="44" t="s">
        <v>137</v>
      </c>
      <c r="C97" s="48" t="s">
        <v>138</v>
      </c>
      <c r="D97" s="44" t="s">
        <v>9</v>
      </c>
      <c r="E97" s="44" t="s">
        <v>128</v>
      </c>
    </row>
    <row r="98" spans="1:5" ht="20.25" customHeight="1">
      <c r="A98" s="41">
        <f t="shared" si="3"/>
        <v>91</v>
      </c>
      <c r="B98" s="44" t="s">
        <v>139</v>
      </c>
      <c r="C98" s="48" t="s">
        <v>140</v>
      </c>
      <c r="D98" s="44" t="s">
        <v>9</v>
      </c>
      <c r="E98" s="44" t="s">
        <v>128</v>
      </c>
    </row>
    <row r="99" spans="1:5" ht="20.25" customHeight="1">
      <c r="A99" s="41">
        <f t="shared" si="3"/>
        <v>92</v>
      </c>
      <c r="B99" s="44" t="s">
        <v>141</v>
      </c>
      <c r="C99" s="48" t="s">
        <v>142</v>
      </c>
      <c r="D99" s="44" t="s">
        <v>9</v>
      </c>
      <c r="E99" s="44" t="s">
        <v>128</v>
      </c>
    </row>
    <row r="100" spans="1:5" ht="20.25" customHeight="1">
      <c r="A100" s="41">
        <f t="shared" si="3"/>
        <v>93</v>
      </c>
      <c r="B100" s="44" t="s">
        <v>143</v>
      </c>
      <c r="C100" s="48" t="s">
        <v>144</v>
      </c>
      <c r="D100" s="44" t="s">
        <v>9</v>
      </c>
      <c r="E100" s="44" t="s">
        <v>128</v>
      </c>
    </row>
    <row r="101" spans="1:5" ht="20.25" customHeight="1">
      <c r="A101" s="41">
        <f t="shared" si="3"/>
        <v>94</v>
      </c>
      <c r="B101" s="44" t="s">
        <v>145</v>
      </c>
      <c r="C101" s="48" t="s">
        <v>146</v>
      </c>
      <c r="D101" s="44" t="s">
        <v>9</v>
      </c>
      <c r="E101" s="44" t="s">
        <v>128</v>
      </c>
    </row>
    <row r="102" spans="1:5" ht="20.25" customHeight="1">
      <c r="A102" s="41">
        <f t="shared" si="3"/>
        <v>95</v>
      </c>
      <c r="B102" s="44" t="s">
        <v>147</v>
      </c>
      <c r="C102" s="48" t="s">
        <v>148</v>
      </c>
      <c r="D102" s="44" t="s">
        <v>9</v>
      </c>
      <c r="E102" s="44" t="s">
        <v>128</v>
      </c>
    </row>
    <row r="103" spans="1:5" ht="20.25" customHeight="1">
      <c r="A103" s="41">
        <f t="shared" si="3"/>
        <v>96</v>
      </c>
      <c r="B103" s="44" t="s">
        <v>149</v>
      </c>
      <c r="C103" s="48" t="s">
        <v>150</v>
      </c>
      <c r="D103" s="44" t="s">
        <v>9</v>
      </c>
      <c r="E103" s="44" t="s">
        <v>128</v>
      </c>
    </row>
    <row r="104" spans="1:5" ht="20.25" customHeight="1">
      <c r="A104" s="41">
        <f t="shared" si="3"/>
        <v>97</v>
      </c>
      <c r="B104" s="44" t="s">
        <v>153</v>
      </c>
      <c r="C104" s="48" t="s">
        <v>154</v>
      </c>
      <c r="D104" s="44" t="s">
        <v>9</v>
      </c>
      <c r="E104" s="44" t="s">
        <v>128</v>
      </c>
    </row>
    <row r="105" spans="1:5" ht="20.25" customHeight="1">
      <c r="A105" s="41">
        <f t="shared" si="3"/>
        <v>98</v>
      </c>
      <c r="B105" s="44" t="s">
        <v>1006</v>
      </c>
      <c r="C105" s="48" t="s">
        <v>1007</v>
      </c>
      <c r="D105" s="45" t="s">
        <v>9</v>
      </c>
      <c r="E105" s="44" t="s">
        <v>128</v>
      </c>
    </row>
    <row r="106" spans="1:5" ht="20.25" customHeight="1">
      <c r="A106" s="41">
        <f t="shared" si="3"/>
        <v>99</v>
      </c>
      <c r="B106" s="44" t="s">
        <v>1008</v>
      </c>
      <c r="C106" s="48" t="s">
        <v>1009</v>
      </c>
      <c r="D106" s="45" t="s">
        <v>9</v>
      </c>
      <c r="E106" s="44" t="s">
        <v>128</v>
      </c>
    </row>
    <row r="107" spans="1:5" ht="20.25" customHeight="1">
      <c r="A107" s="41">
        <f t="shared" si="3"/>
        <v>100</v>
      </c>
      <c r="B107" s="44" t="s">
        <v>1014</v>
      </c>
      <c r="C107" s="48" t="s">
        <v>1028</v>
      </c>
      <c r="D107" s="45" t="s">
        <v>9</v>
      </c>
      <c r="E107" s="44" t="s">
        <v>128</v>
      </c>
    </row>
    <row r="108" spans="1:5" ht="20.25" customHeight="1">
      <c r="A108" s="41">
        <f t="shared" si="3"/>
        <v>101</v>
      </c>
      <c r="B108" s="44" t="s">
        <v>171</v>
      </c>
      <c r="C108" s="48" t="s">
        <v>172</v>
      </c>
      <c r="D108" s="44" t="s">
        <v>9</v>
      </c>
      <c r="E108" s="44" t="s">
        <v>128</v>
      </c>
    </row>
    <row r="109" spans="1:5" ht="20.25" customHeight="1">
      <c r="A109" s="41">
        <f t="shared" si="3"/>
        <v>102</v>
      </c>
      <c r="B109" s="44" t="s">
        <v>173</v>
      </c>
      <c r="C109" s="48" t="s">
        <v>174</v>
      </c>
      <c r="D109" s="44" t="s">
        <v>9</v>
      </c>
      <c r="E109" s="44" t="s">
        <v>128</v>
      </c>
    </row>
    <row r="110" spans="1:5" ht="20.25" customHeight="1">
      <c r="A110" s="41">
        <f t="shared" si="3"/>
        <v>103</v>
      </c>
      <c r="B110" s="44" t="s">
        <v>175</v>
      </c>
      <c r="C110" s="48" t="s">
        <v>176</v>
      </c>
      <c r="D110" s="44" t="s">
        <v>9</v>
      </c>
      <c r="E110" s="44" t="s">
        <v>128</v>
      </c>
    </row>
    <row r="111" spans="1:5" ht="20.25" customHeight="1">
      <c r="A111" s="41">
        <f t="shared" si="3"/>
        <v>104</v>
      </c>
      <c r="B111" s="44" t="s">
        <v>181</v>
      </c>
      <c r="C111" s="48" t="s">
        <v>182</v>
      </c>
      <c r="D111" s="44" t="s">
        <v>9</v>
      </c>
      <c r="E111" s="44" t="s">
        <v>128</v>
      </c>
    </row>
    <row r="112" spans="1:5" ht="20.25" customHeight="1">
      <c r="A112" s="41">
        <f t="shared" si="3"/>
        <v>105</v>
      </c>
      <c r="B112" s="44" t="s">
        <v>187</v>
      </c>
      <c r="C112" s="48" t="s">
        <v>188</v>
      </c>
      <c r="D112" s="44" t="s">
        <v>9</v>
      </c>
      <c r="E112" s="44" t="s">
        <v>128</v>
      </c>
    </row>
    <row r="113" spans="1:5" ht="20.25" customHeight="1">
      <c r="A113" s="41">
        <f t="shared" si="3"/>
        <v>106</v>
      </c>
      <c r="B113" s="44" t="s">
        <v>203</v>
      </c>
      <c r="C113" s="48" t="s">
        <v>204</v>
      </c>
      <c r="D113" s="44" t="s">
        <v>9</v>
      </c>
      <c r="E113" s="44" t="s">
        <v>128</v>
      </c>
    </row>
    <row r="114" spans="1:5" ht="20.25" customHeight="1">
      <c r="A114" s="41">
        <f t="shared" si="3"/>
        <v>107</v>
      </c>
      <c r="B114" s="44" t="s">
        <v>207</v>
      </c>
      <c r="C114" s="48" t="s">
        <v>208</v>
      </c>
      <c r="D114" s="44" t="s">
        <v>9</v>
      </c>
      <c r="E114" s="44" t="s">
        <v>128</v>
      </c>
    </row>
    <row r="115" spans="1:5" ht="20.25" customHeight="1">
      <c r="A115" s="41">
        <f t="shared" si="3"/>
        <v>108</v>
      </c>
      <c r="B115" s="44" t="s">
        <v>211</v>
      </c>
      <c r="C115" s="48" t="s">
        <v>212</v>
      </c>
      <c r="D115" s="44" t="s">
        <v>9</v>
      </c>
      <c r="E115" s="44" t="s">
        <v>128</v>
      </c>
    </row>
    <row r="116" spans="1:5" ht="20.25" customHeight="1">
      <c r="A116" s="41">
        <f t="shared" si="3"/>
        <v>109</v>
      </c>
      <c r="B116" s="44" t="s">
        <v>217</v>
      </c>
      <c r="C116" s="48" t="s">
        <v>218</v>
      </c>
      <c r="D116" s="44" t="s">
        <v>9</v>
      </c>
      <c r="E116" s="44" t="s">
        <v>128</v>
      </c>
    </row>
    <row r="117" spans="1:5" ht="20.25" customHeight="1">
      <c r="A117" s="41">
        <f t="shared" si="3"/>
        <v>110</v>
      </c>
      <c r="B117" s="44" t="s">
        <v>222</v>
      </c>
      <c r="C117" s="48" t="s">
        <v>223</v>
      </c>
      <c r="D117" s="44" t="s">
        <v>9</v>
      </c>
      <c r="E117" s="44" t="s">
        <v>128</v>
      </c>
    </row>
    <row r="118" spans="1:5" ht="20.25" customHeight="1">
      <c r="A118" s="41">
        <f t="shared" si="3"/>
        <v>111</v>
      </c>
      <c r="B118" s="44" t="s">
        <v>1029</v>
      </c>
      <c r="C118" s="48" t="s">
        <v>1030</v>
      </c>
      <c r="D118" s="44" t="s">
        <v>9</v>
      </c>
      <c r="E118" s="44" t="s">
        <v>128</v>
      </c>
    </row>
    <row r="119" spans="1:5" ht="20.25" customHeight="1">
      <c r="A119" s="41">
        <f t="shared" si="3"/>
        <v>112</v>
      </c>
      <c r="B119" s="44" t="s">
        <v>1033</v>
      </c>
      <c r="C119" s="48" t="s">
        <v>1034</v>
      </c>
      <c r="D119" s="44" t="s">
        <v>9</v>
      </c>
      <c r="E119" s="44" t="s">
        <v>128</v>
      </c>
    </row>
    <row r="120" spans="1:5" ht="20.25" customHeight="1">
      <c r="A120" s="41">
        <f t="shared" si="3"/>
        <v>113</v>
      </c>
      <c r="B120" s="44" t="s">
        <v>1070</v>
      </c>
      <c r="C120" s="48" t="s">
        <v>1071</v>
      </c>
      <c r="D120" s="44" t="s">
        <v>9</v>
      </c>
      <c r="E120" s="44" t="s">
        <v>128</v>
      </c>
    </row>
    <row r="121" spans="1:5" ht="20.25" customHeight="1">
      <c r="A121" s="41">
        <f t="shared" si="3"/>
        <v>114</v>
      </c>
      <c r="B121" s="44" t="s">
        <v>1119</v>
      </c>
      <c r="C121" s="48" t="s">
        <v>1120</v>
      </c>
      <c r="D121" s="44" t="s">
        <v>9</v>
      </c>
      <c r="E121" s="44" t="s">
        <v>128</v>
      </c>
    </row>
    <row r="122" spans="1:5" ht="20.25" customHeight="1">
      <c r="A122" s="41">
        <f t="shared" si="3"/>
        <v>115</v>
      </c>
      <c r="B122" s="44" t="s">
        <v>1135</v>
      </c>
      <c r="C122" s="48" t="s">
        <v>1136</v>
      </c>
      <c r="D122" s="44" t="s">
        <v>9</v>
      </c>
      <c r="E122" s="44" t="s">
        <v>128</v>
      </c>
    </row>
    <row r="123" spans="1:5" ht="20.25" customHeight="1">
      <c r="A123" s="41">
        <f t="shared" si="3"/>
        <v>116</v>
      </c>
      <c r="B123" s="44" t="s">
        <v>1137</v>
      </c>
      <c r="C123" s="48" t="s">
        <v>1138</v>
      </c>
      <c r="D123" s="44" t="s">
        <v>9</v>
      </c>
      <c r="E123" s="44" t="s">
        <v>1108</v>
      </c>
    </row>
    <row r="124" spans="1:5" ht="20.25" customHeight="1">
      <c r="A124" s="41">
        <f t="shared" si="3"/>
        <v>117</v>
      </c>
      <c r="B124" s="44" t="s">
        <v>121</v>
      </c>
      <c r="C124" s="48" t="s">
        <v>122</v>
      </c>
      <c r="D124" s="44" t="s">
        <v>9</v>
      </c>
      <c r="E124" s="44" t="s">
        <v>123</v>
      </c>
    </row>
    <row r="125" spans="1:5" ht="20.25" customHeight="1">
      <c r="A125" s="41">
        <f t="shared" si="3"/>
        <v>118</v>
      </c>
      <c r="B125" s="44" t="s">
        <v>124</v>
      </c>
      <c r="C125" s="48" t="s">
        <v>125</v>
      </c>
      <c r="D125" s="44" t="s">
        <v>9</v>
      </c>
      <c r="E125" s="44" t="s">
        <v>123</v>
      </c>
    </row>
    <row r="126" spans="1:5" ht="20.25" customHeight="1">
      <c r="A126" s="41">
        <f t="shared" si="3"/>
        <v>119</v>
      </c>
      <c r="B126" s="44" t="s">
        <v>155</v>
      </c>
      <c r="C126" s="48" t="s">
        <v>156</v>
      </c>
      <c r="D126" s="44" t="s">
        <v>9</v>
      </c>
      <c r="E126" s="44" t="s">
        <v>123</v>
      </c>
    </row>
    <row r="127" spans="1:5" ht="20.25" customHeight="1">
      <c r="A127" s="41">
        <f t="shared" si="3"/>
        <v>120</v>
      </c>
      <c r="B127" s="44" t="s">
        <v>157</v>
      </c>
      <c r="C127" s="48" t="s">
        <v>158</v>
      </c>
      <c r="D127" s="44" t="s">
        <v>9</v>
      </c>
      <c r="E127" s="44" t="s">
        <v>123</v>
      </c>
    </row>
    <row r="128" spans="1:5" ht="20.25" customHeight="1">
      <c r="A128" s="41">
        <f t="shared" si="3"/>
        <v>121</v>
      </c>
      <c r="B128" s="44" t="s">
        <v>159</v>
      </c>
      <c r="C128" s="48" t="s">
        <v>160</v>
      </c>
      <c r="D128" s="44" t="s">
        <v>9</v>
      </c>
      <c r="E128" s="44" t="s">
        <v>123</v>
      </c>
    </row>
    <row r="129" spans="1:5" ht="20.25" customHeight="1">
      <c r="A129" s="41">
        <f t="shared" si="3"/>
        <v>122</v>
      </c>
      <c r="B129" s="44" t="s">
        <v>161</v>
      </c>
      <c r="C129" s="48" t="s">
        <v>162</v>
      </c>
      <c r="D129" s="44" t="s">
        <v>9</v>
      </c>
      <c r="E129" s="44" t="s">
        <v>123</v>
      </c>
    </row>
    <row r="130" spans="1:5" ht="20.25" customHeight="1">
      <c r="A130" s="41">
        <f t="shared" si="3"/>
        <v>123</v>
      </c>
      <c r="B130" s="44" t="s">
        <v>163</v>
      </c>
      <c r="C130" s="48" t="s">
        <v>164</v>
      </c>
      <c r="D130" s="44" t="s">
        <v>9</v>
      </c>
      <c r="E130" s="44" t="s">
        <v>123</v>
      </c>
    </row>
    <row r="131" spans="1:5" ht="20.25" customHeight="1">
      <c r="A131" s="41">
        <f t="shared" si="3"/>
        <v>124</v>
      </c>
      <c r="B131" s="44" t="s">
        <v>167</v>
      </c>
      <c r="C131" s="48" t="s">
        <v>168</v>
      </c>
      <c r="D131" s="44" t="s">
        <v>9</v>
      </c>
      <c r="E131" s="44" t="s">
        <v>123</v>
      </c>
    </row>
    <row r="132" spans="1:5" ht="20.25" customHeight="1">
      <c r="A132" s="41">
        <f t="shared" si="3"/>
        <v>125</v>
      </c>
      <c r="B132" s="44" t="s">
        <v>169</v>
      </c>
      <c r="C132" s="48" t="s">
        <v>170</v>
      </c>
      <c r="D132" s="44" t="s">
        <v>9</v>
      </c>
      <c r="E132" s="44" t="s">
        <v>123</v>
      </c>
    </row>
    <row r="133" spans="1:5" ht="20.25" customHeight="1">
      <c r="A133" s="41">
        <f t="shared" si="3"/>
        <v>126</v>
      </c>
      <c r="B133" s="44" t="s">
        <v>177</v>
      </c>
      <c r="C133" s="48" t="s">
        <v>178</v>
      </c>
      <c r="D133" s="44" t="s">
        <v>9</v>
      </c>
      <c r="E133" s="44" t="s">
        <v>123</v>
      </c>
    </row>
    <row r="134" spans="1:5" ht="20.25" customHeight="1">
      <c r="A134" s="41">
        <f t="shared" si="3"/>
        <v>127</v>
      </c>
      <c r="B134" s="44" t="s">
        <v>183</v>
      </c>
      <c r="C134" s="48" t="s">
        <v>184</v>
      </c>
      <c r="D134" s="45" t="s">
        <v>9</v>
      </c>
      <c r="E134" s="44" t="s">
        <v>123</v>
      </c>
    </row>
    <row r="135" spans="1:5" ht="20.25" customHeight="1">
      <c r="A135" s="41">
        <f t="shared" si="3"/>
        <v>128</v>
      </c>
      <c r="B135" s="44" t="s">
        <v>189</v>
      </c>
      <c r="C135" s="48" t="s">
        <v>190</v>
      </c>
      <c r="D135" s="45" t="s">
        <v>9</v>
      </c>
      <c r="E135" s="44" t="s">
        <v>123</v>
      </c>
    </row>
    <row r="136" spans="1:5" ht="20.25" customHeight="1">
      <c r="A136" s="41">
        <f t="shared" si="3"/>
        <v>129</v>
      </c>
      <c r="B136" s="44" t="s">
        <v>191</v>
      </c>
      <c r="C136" s="48" t="s">
        <v>192</v>
      </c>
      <c r="D136" s="45" t="s">
        <v>9</v>
      </c>
      <c r="E136" s="44" t="s">
        <v>123</v>
      </c>
    </row>
    <row r="137" spans="1:5" ht="20.25" customHeight="1">
      <c r="A137" s="41">
        <f t="shared" si="3"/>
        <v>130</v>
      </c>
      <c r="B137" s="44" t="s">
        <v>193</v>
      </c>
      <c r="C137" s="48" t="s">
        <v>194</v>
      </c>
      <c r="D137" s="45" t="s">
        <v>9</v>
      </c>
      <c r="E137" s="44" t="s">
        <v>123</v>
      </c>
    </row>
    <row r="138" spans="1:5" ht="20.25" customHeight="1">
      <c r="A138" s="41">
        <f t="shared" si="3"/>
        <v>131</v>
      </c>
      <c r="B138" s="44" t="s">
        <v>195</v>
      </c>
      <c r="C138" s="48" t="s">
        <v>196</v>
      </c>
      <c r="D138" s="45" t="s">
        <v>9</v>
      </c>
      <c r="E138" s="44" t="s">
        <v>123</v>
      </c>
    </row>
    <row r="139" spans="1:5" ht="20.25" customHeight="1">
      <c r="A139" s="41">
        <f t="shared" si="3"/>
        <v>132</v>
      </c>
      <c r="B139" s="44" t="s">
        <v>199</v>
      </c>
      <c r="C139" s="48" t="s">
        <v>200</v>
      </c>
      <c r="D139" s="45" t="s">
        <v>9</v>
      </c>
      <c r="E139" s="44" t="s">
        <v>123</v>
      </c>
    </row>
    <row r="140" spans="1:5" ht="20.25" customHeight="1">
      <c r="A140" s="41">
        <f t="shared" si="3"/>
        <v>133</v>
      </c>
      <c r="B140" s="44" t="s">
        <v>201</v>
      </c>
      <c r="C140" s="48" t="s">
        <v>202</v>
      </c>
      <c r="D140" s="45" t="s">
        <v>9</v>
      </c>
      <c r="E140" s="44" t="s">
        <v>123</v>
      </c>
    </row>
    <row r="141" spans="1:5" ht="20.25" customHeight="1">
      <c r="A141" s="41">
        <f t="shared" si="3"/>
        <v>134</v>
      </c>
      <c r="B141" s="44" t="s">
        <v>205</v>
      </c>
      <c r="C141" s="48" t="s">
        <v>206</v>
      </c>
      <c r="D141" s="45" t="s">
        <v>9</v>
      </c>
      <c r="E141" s="44" t="s">
        <v>123</v>
      </c>
    </row>
    <row r="142" spans="1:5" ht="20.25" customHeight="1">
      <c r="A142" s="41">
        <f t="shared" si="3"/>
        <v>135</v>
      </c>
      <c r="B142" s="44" t="s">
        <v>209</v>
      </c>
      <c r="C142" s="48" t="s">
        <v>210</v>
      </c>
      <c r="D142" s="45" t="s">
        <v>9</v>
      </c>
      <c r="E142" s="44" t="s">
        <v>123</v>
      </c>
    </row>
    <row r="143" spans="1:5" ht="20.25" customHeight="1">
      <c r="A143" s="41">
        <f t="shared" si="3"/>
        <v>136</v>
      </c>
      <c r="B143" s="44" t="s">
        <v>213</v>
      </c>
      <c r="C143" s="48" t="s">
        <v>214</v>
      </c>
      <c r="D143" s="45" t="s">
        <v>9</v>
      </c>
      <c r="E143" s="44" t="s">
        <v>123</v>
      </c>
    </row>
    <row r="144" spans="1:5" ht="20.25" customHeight="1">
      <c r="A144" s="41">
        <f t="shared" si="3"/>
        <v>137</v>
      </c>
      <c r="B144" s="44" t="s">
        <v>216</v>
      </c>
      <c r="C144" s="48" t="s">
        <v>1019</v>
      </c>
      <c r="D144" s="45" t="s">
        <v>9</v>
      </c>
      <c r="E144" s="44" t="s">
        <v>123</v>
      </c>
    </row>
    <row r="145" spans="1:5" ht="20.25" customHeight="1">
      <c r="A145" s="41">
        <f t="shared" ref="A145:A218" si="4">ROW()-7</f>
        <v>138</v>
      </c>
      <c r="B145" s="44" t="s">
        <v>219</v>
      </c>
      <c r="C145" s="48" t="s">
        <v>220</v>
      </c>
      <c r="D145" s="44" t="s">
        <v>9</v>
      </c>
      <c r="E145" s="44" t="s">
        <v>123</v>
      </c>
    </row>
    <row r="146" spans="1:5" ht="20.25" customHeight="1">
      <c r="A146" s="41">
        <f t="shared" si="4"/>
        <v>139</v>
      </c>
      <c r="B146" s="44" t="s">
        <v>225</v>
      </c>
      <c r="C146" s="48" t="s">
        <v>226</v>
      </c>
      <c r="D146" s="44" t="s">
        <v>9</v>
      </c>
      <c r="E146" s="44" t="s">
        <v>123</v>
      </c>
    </row>
    <row r="147" spans="1:5" ht="20.25" customHeight="1">
      <c r="A147" s="41">
        <f t="shared" si="4"/>
        <v>140</v>
      </c>
      <c r="B147" s="44" t="s">
        <v>227</v>
      </c>
      <c r="C147" s="48" t="s">
        <v>228</v>
      </c>
      <c r="D147" s="44" t="s">
        <v>9</v>
      </c>
      <c r="E147" s="44" t="s">
        <v>123</v>
      </c>
    </row>
    <row r="148" spans="1:5" ht="20.25" customHeight="1">
      <c r="A148" s="41">
        <f t="shared" si="4"/>
        <v>141</v>
      </c>
      <c r="B148" s="44" t="s">
        <v>229</v>
      </c>
      <c r="C148" s="48" t="s">
        <v>230</v>
      </c>
      <c r="D148" s="44" t="s">
        <v>9</v>
      </c>
      <c r="E148" s="44" t="s">
        <v>123</v>
      </c>
    </row>
    <row r="149" spans="1:5" ht="20.25" customHeight="1">
      <c r="A149" s="41">
        <f t="shared" si="4"/>
        <v>142</v>
      </c>
      <c r="B149" s="44" t="s">
        <v>1010</v>
      </c>
      <c r="C149" s="48" t="s">
        <v>1011</v>
      </c>
      <c r="D149" s="44" t="s">
        <v>9</v>
      </c>
      <c r="E149" s="44" t="s">
        <v>123</v>
      </c>
    </row>
    <row r="150" spans="1:5" ht="20.25" customHeight="1">
      <c r="A150" s="41">
        <f t="shared" si="4"/>
        <v>143</v>
      </c>
      <c r="B150" s="44" t="s">
        <v>1015</v>
      </c>
      <c r="C150" s="48" t="s">
        <v>283</v>
      </c>
      <c r="D150" s="44" t="s">
        <v>9</v>
      </c>
      <c r="E150" s="44" t="s">
        <v>123</v>
      </c>
    </row>
    <row r="151" spans="1:5" ht="20.25" customHeight="1">
      <c r="A151" s="41">
        <f t="shared" si="4"/>
        <v>144</v>
      </c>
      <c r="B151" s="44" t="s">
        <v>1052</v>
      </c>
      <c r="C151" s="48" t="s">
        <v>1053</v>
      </c>
      <c r="D151" s="44" t="s">
        <v>9</v>
      </c>
      <c r="E151" s="44" t="s">
        <v>123</v>
      </c>
    </row>
    <row r="152" spans="1:5" ht="20.25" customHeight="1">
      <c r="A152" s="41">
        <f t="shared" si="4"/>
        <v>145</v>
      </c>
      <c r="B152" s="44" t="s">
        <v>1088</v>
      </c>
      <c r="C152" s="48" t="s">
        <v>1089</v>
      </c>
      <c r="D152" s="44" t="s">
        <v>9</v>
      </c>
      <c r="E152" s="44" t="s">
        <v>123</v>
      </c>
    </row>
    <row r="153" spans="1:5" ht="20.25" customHeight="1">
      <c r="A153" s="41">
        <f t="shared" si="4"/>
        <v>146</v>
      </c>
      <c r="B153" s="44" t="s">
        <v>1092</v>
      </c>
      <c r="C153" s="48" t="s">
        <v>1093</v>
      </c>
      <c r="D153" s="44" t="s">
        <v>9</v>
      </c>
      <c r="E153" s="44" t="s">
        <v>123</v>
      </c>
    </row>
    <row r="154" spans="1:5" ht="20.25" customHeight="1">
      <c r="A154" s="41">
        <f t="shared" si="4"/>
        <v>147</v>
      </c>
      <c r="B154" s="44" t="s">
        <v>1094</v>
      </c>
      <c r="C154" s="48" t="s">
        <v>1095</v>
      </c>
      <c r="D154" s="44" t="s">
        <v>9</v>
      </c>
      <c r="E154" s="44" t="s">
        <v>123</v>
      </c>
    </row>
    <row r="155" spans="1:5" ht="20.25" customHeight="1">
      <c r="A155" s="41">
        <f t="shared" si="4"/>
        <v>148</v>
      </c>
      <c r="B155" s="44" t="s">
        <v>1098</v>
      </c>
      <c r="C155" s="48" t="s">
        <v>1272</v>
      </c>
      <c r="D155" s="44" t="s">
        <v>9</v>
      </c>
      <c r="E155" s="44" t="s">
        <v>123</v>
      </c>
    </row>
    <row r="156" spans="1:5" ht="20.25" customHeight="1">
      <c r="A156" s="41">
        <f t="shared" si="4"/>
        <v>149</v>
      </c>
      <c r="B156" s="44" t="s">
        <v>1099</v>
      </c>
      <c r="C156" s="48" t="s">
        <v>1100</v>
      </c>
      <c r="D156" s="44" t="s">
        <v>9</v>
      </c>
      <c r="E156" s="44" t="s">
        <v>123</v>
      </c>
    </row>
    <row r="157" spans="1:5" ht="20.25" customHeight="1">
      <c r="A157" s="41">
        <f t="shared" si="4"/>
        <v>150</v>
      </c>
      <c r="B157" s="44" t="s">
        <v>1130</v>
      </c>
      <c r="C157" s="48" t="s">
        <v>1131</v>
      </c>
      <c r="D157" s="44" t="s">
        <v>9</v>
      </c>
      <c r="E157" s="44" t="s">
        <v>123</v>
      </c>
    </row>
    <row r="158" spans="1:5" ht="20.25" customHeight="1">
      <c r="A158" s="41">
        <f t="shared" si="4"/>
        <v>151</v>
      </c>
      <c r="B158" s="44" t="s">
        <v>1121</v>
      </c>
      <c r="C158" s="48" t="s">
        <v>1122</v>
      </c>
      <c r="D158" s="44" t="s">
        <v>9</v>
      </c>
      <c r="E158" s="44" t="s">
        <v>123</v>
      </c>
    </row>
    <row r="159" spans="1:5" ht="20.25" customHeight="1">
      <c r="A159" s="41">
        <f t="shared" si="4"/>
        <v>152</v>
      </c>
      <c r="B159" s="44" t="s">
        <v>1123</v>
      </c>
      <c r="C159" s="48" t="s">
        <v>1124</v>
      </c>
      <c r="D159" s="44" t="s">
        <v>9</v>
      </c>
      <c r="E159" s="44" t="s">
        <v>123</v>
      </c>
    </row>
    <row r="160" spans="1:5" ht="20.25" customHeight="1">
      <c r="A160" s="41">
        <f t="shared" si="4"/>
        <v>153</v>
      </c>
      <c r="B160" s="44" t="s">
        <v>1125</v>
      </c>
      <c r="C160" s="48" t="s">
        <v>1126</v>
      </c>
      <c r="D160" s="44" t="s">
        <v>9</v>
      </c>
      <c r="E160" s="44" t="s">
        <v>123</v>
      </c>
    </row>
    <row r="161" spans="1:5" ht="20.25" customHeight="1">
      <c r="A161" s="41">
        <f t="shared" si="4"/>
        <v>154</v>
      </c>
      <c r="B161" s="44" t="s">
        <v>1129</v>
      </c>
      <c r="C161" s="48" t="s">
        <v>1147</v>
      </c>
      <c r="D161" s="44" t="s">
        <v>9</v>
      </c>
      <c r="E161" s="44" t="s">
        <v>123</v>
      </c>
    </row>
    <row r="162" spans="1:5" ht="20.25" customHeight="1">
      <c r="A162" s="41">
        <f t="shared" si="4"/>
        <v>155</v>
      </c>
      <c r="B162" s="44" t="s">
        <v>1139</v>
      </c>
      <c r="C162" s="48" t="s">
        <v>1140</v>
      </c>
      <c r="D162" s="44" t="s">
        <v>9</v>
      </c>
      <c r="E162" s="44" t="s">
        <v>123</v>
      </c>
    </row>
    <row r="163" spans="1:5" ht="20.25" customHeight="1">
      <c r="A163" s="41">
        <f t="shared" si="4"/>
        <v>156</v>
      </c>
      <c r="B163" s="44" t="s">
        <v>1144</v>
      </c>
      <c r="C163" s="48" t="s">
        <v>1145</v>
      </c>
      <c r="D163" s="44" t="s">
        <v>9</v>
      </c>
      <c r="E163" s="44" t="s">
        <v>123</v>
      </c>
    </row>
    <row r="164" spans="1:5" ht="21.75" customHeight="1">
      <c r="A164" s="41">
        <f t="shared" si="4"/>
        <v>157</v>
      </c>
      <c r="B164" s="44" t="s">
        <v>1150</v>
      </c>
      <c r="C164" s="48" t="s">
        <v>1151</v>
      </c>
      <c r="D164" s="44" t="s">
        <v>9</v>
      </c>
      <c r="E164" s="44" t="s">
        <v>123</v>
      </c>
    </row>
    <row r="165" spans="1:5" ht="20.25" customHeight="1">
      <c r="A165" s="41">
        <f t="shared" si="4"/>
        <v>158</v>
      </c>
      <c r="B165" s="44" t="s">
        <v>1152</v>
      </c>
      <c r="C165" s="48" t="s">
        <v>1153</v>
      </c>
      <c r="D165" s="44" t="s">
        <v>9</v>
      </c>
      <c r="E165" s="44" t="s">
        <v>123</v>
      </c>
    </row>
    <row r="166" spans="1:5" ht="20.25" customHeight="1">
      <c r="A166" s="41">
        <f t="shared" si="4"/>
        <v>159</v>
      </c>
      <c r="B166" s="44" t="s">
        <v>1173</v>
      </c>
      <c r="C166" s="48" t="s">
        <v>1172</v>
      </c>
      <c r="D166" s="44" t="s">
        <v>9</v>
      </c>
      <c r="E166" s="44" t="s">
        <v>123</v>
      </c>
    </row>
    <row r="167" spans="1:5" ht="20.25" customHeight="1">
      <c r="A167" s="41">
        <f t="shared" si="4"/>
        <v>160</v>
      </c>
      <c r="B167" s="44" t="s">
        <v>1154</v>
      </c>
      <c r="C167" s="48" t="s">
        <v>1155</v>
      </c>
      <c r="D167" s="44" t="s">
        <v>9</v>
      </c>
      <c r="E167" s="44" t="s">
        <v>123</v>
      </c>
    </row>
    <row r="168" spans="1:5" ht="20.25" customHeight="1">
      <c r="A168" s="41">
        <f t="shared" si="4"/>
        <v>161</v>
      </c>
      <c r="B168" s="44" t="s">
        <v>1156</v>
      </c>
      <c r="C168" s="48" t="s">
        <v>1157</v>
      </c>
      <c r="D168" s="44" t="s">
        <v>9</v>
      </c>
      <c r="E168" s="44" t="s">
        <v>123</v>
      </c>
    </row>
    <row r="169" spans="1:5" ht="20.25" customHeight="1">
      <c r="A169" s="41">
        <f t="shared" si="4"/>
        <v>162</v>
      </c>
      <c r="B169" s="44" t="s">
        <v>1158</v>
      </c>
      <c r="C169" s="48" t="s">
        <v>1159</v>
      </c>
      <c r="D169" s="44" t="s">
        <v>9</v>
      </c>
      <c r="E169" s="44" t="s">
        <v>123</v>
      </c>
    </row>
    <row r="170" spans="1:5" ht="18.75" customHeight="1">
      <c r="A170" s="41">
        <f t="shared" si="4"/>
        <v>163</v>
      </c>
      <c r="B170" s="44" t="s">
        <v>1170</v>
      </c>
      <c r="C170" s="48" t="s">
        <v>1171</v>
      </c>
      <c r="D170" s="44" t="s">
        <v>9</v>
      </c>
      <c r="E170" s="44" t="s">
        <v>123</v>
      </c>
    </row>
    <row r="171" spans="1:5" ht="20.25" customHeight="1">
      <c r="A171" s="41">
        <f t="shared" si="4"/>
        <v>164</v>
      </c>
      <c r="B171" s="44" t="s">
        <v>1174</v>
      </c>
      <c r="C171" s="48" t="s">
        <v>1175</v>
      </c>
      <c r="D171" s="44" t="s">
        <v>9</v>
      </c>
      <c r="E171" s="44" t="s">
        <v>123</v>
      </c>
    </row>
    <row r="172" spans="1:5" ht="20.25" customHeight="1">
      <c r="A172" s="41">
        <f t="shared" si="4"/>
        <v>165</v>
      </c>
      <c r="B172" s="44" t="s">
        <v>1176</v>
      </c>
      <c r="C172" s="48" t="s">
        <v>1177</v>
      </c>
      <c r="D172" s="44" t="s">
        <v>9</v>
      </c>
      <c r="E172" s="44" t="s">
        <v>123</v>
      </c>
    </row>
    <row r="173" spans="1:5" ht="20.25" customHeight="1">
      <c r="A173" s="41">
        <f t="shared" si="4"/>
        <v>166</v>
      </c>
      <c r="B173" s="44" t="s">
        <v>1192</v>
      </c>
      <c r="C173" s="48" t="s">
        <v>1193</v>
      </c>
      <c r="D173" s="44" t="s">
        <v>9</v>
      </c>
      <c r="E173" s="44" t="s">
        <v>123</v>
      </c>
    </row>
    <row r="174" spans="1:5" ht="20.25" customHeight="1">
      <c r="A174" s="41">
        <f t="shared" si="4"/>
        <v>167</v>
      </c>
      <c r="B174" s="44" t="s">
        <v>1233</v>
      </c>
      <c r="C174" s="48" t="s">
        <v>198</v>
      </c>
      <c r="D174" s="44" t="s">
        <v>9</v>
      </c>
      <c r="E174" s="44" t="s">
        <v>123</v>
      </c>
    </row>
    <row r="175" spans="1:5" ht="20.25" customHeight="1">
      <c r="A175" s="41">
        <f t="shared" si="4"/>
        <v>168</v>
      </c>
      <c r="B175" s="44" t="s">
        <v>1236</v>
      </c>
      <c r="C175" s="48" t="s">
        <v>1237</v>
      </c>
      <c r="D175" s="44" t="s">
        <v>9</v>
      </c>
      <c r="E175" s="44" t="s">
        <v>123</v>
      </c>
    </row>
    <row r="176" spans="1:5" ht="20.25" customHeight="1">
      <c r="A176" s="41">
        <f t="shared" si="4"/>
        <v>169</v>
      </c>
      <c r="B176" s="44" t="s">
        <v>1238</v>
      </c>
      <c r="C176" s="48" t="s">
        <v>1239</v>
      </c>
      <c r="D176" s="44" t="s">
        <v>9</v>
      </c>
      <c r="E176" s="44" t="s">
        <v>123</v>
      </c>
    </row>
    <row r="177" spans="1:5" ht="20.25" customHeight="1">
      <c r="A177" s="41">
        <f t="shared" si="4"/>
        <v>170</v>
      </c>
      <c r="B177" s="44" t="s">
        <v>1243</v>
      </c>
      <c r="C177" s="48" t="s">
        <v>1244</v>
      </c>
      <c r="D177" s="44" t="s">
        <v>9</v>
      </c>
      <c r="E177" s="44" t="s">
        <v>123</v>
      </c>
    </row>
    <row r="178" spans="1:5" ht="20.25" customHeight="1">
      <c r="A178" s="41">
        <f t="shared" si="4"/>
        <v>171</v>
      </c>
      <c r="B178" s="44" t="s">
        <v>1245</v>
      </c>
      <c r="C178" s="48" t="s">
        <v>1246</v>
      </c>
      <c r="D178" s="44" t="s">
        <v>9</v>
      </c>
      <c r="E178" s="44" t="s">
        <v>123</v>
      </c>
    </row>
    <row r="179" spans="1:5" ht="20.25" customHeight="1">
      <c r="A179" s="41">
        <f t="shared" si="4"/>
        <v>172</v>
      </c>
      <c r="B179" s="44" t="s">
        <v>1283</v>
      </c>
      <c r="C179" s="47" t="s">
        <v>1284</v>
      </c>
      <c r="D179" s="44" t="s">
        <v>9</v>
      </c>
      <c r="E179" s="44" t="s">
        <v>123</v>
      </c>
    </row>
    <row r="180" spans="1:5" ht="20.25" customHeight="1">
      <c r="A180" s="41">
        <f t="shared" si="4"/>
        <v>173</v>
      </c>
      <c r="B180" s="44" t="s">
        <v>1285</v>
      </c>
      <c r="C180" s="47" t="s">
        <v>1286</v>
      </c>
      <c r="D180" s="44" t="s">
        <v>9</v>
      </c>
      <c r="E180" s="44" t="s">
        <v>123</v>
      </c>
    </row>
    <row r="181" spans="1:5" ht="20.25" customHeight="1">
      <c r="A181" s="41">
        <f t="shared" si="4"/>
        <v>174</v>
      </c>
      <c r="B181" s="44" t="s">
        <v>1106</v>
      </c>
      <c r="C181" s="48" t="s">
        <v>1107</v>
      </c>
      <c r="D181" s="44" t="s">
        <v>9</v>
      </c>
      <c r="E181" s="44" t="s">
        <v>1108</v>
      </c>
    </row>
    <row r="182" spans="1:5" ht="20.25" customHeight="1">
      <c r="A182" s="41">
        <f t="shared" si="4"/>
        <v>175</v>
      </c>
      <c r="B182" s="44" t="s">
        <v>1160</v>
      </c>
      <c r="C182" s="48" t="s">
        <v>1161</v>
      </c>
      <c r="D182" s="44" t="s">
        <v>9</v>
      </c>
      <c r="E182" s="44" t="s">
        <v>1108</v>
      </c>
    </row>
    <row r="183" spans="1:5" ht="20.25" customHeight="1">
      <c r="A183" s="41">
        <f t="shared" si="4"/>
        <v>176</v>
      </c>
      <c r="B183" s="44" t="s">
        <v>1162</v>
      </c>
      <c r="C183" s="48" t="s">
        <v>1163</v>
      </c>
      <c r="D183" s="44" t="s">
        <v>9</v>
      </c>
      <c r="E183" s="44" t="s">
        <v>1108</v>
      </c>
    </row>
    <row r="184" spans="1:5" ht="20.25" customHeight="1">
      <c r="A184" s="41">
        <f t="shared" si="4"/>
        <v>177</v>
      </c>
      <c r="B184" s="44" t="s">
        <v>1168</v>
      </c>
      <c r="C184" s="48" t="s">
        <v>1169</v>
      </c>
      <c r="D184" s="44" t="s">
        <v>9</v>
      </c>
      <c r="E184" s="44" t="s">
        <v>1108</v>
      </c>
    </row>
    <row r="185" spans="1:5" ht="20.25" customHeight="1">
      <c r="A185" s="41">
        <f t="shared" si="4"/>
        <v>178</v>
      </c>
      <c r="B185" s="44" t="s">
        <v>1202</v>
      </c>
      <c r="C185" s="48" t="s">
        <v>1203</v>
      </c>
      <c r="D185" s="44" t="s">
        <v>9</v>
      </c>
      <c r="E185" s="44" t="s">
        <v>1108</v>
      </c>
    </row>
    <row r="186" spans="1:5" ht="20.25" customHeight="1">
      <c r="A186" s="41">
        <f t="shared" si="4"/>
        <v>179</v>
      </c>
      <c r="B186" s="44" t="s">
        <v>1204</v>
      </c>
      <c r="C186" s="48" t="s">
        <v>1205</v>
      </c>
      <c r="D186" s="44" t="s">
        <v>9</v>
      </c>
      <c r="E186" s="44" t="s">
        <v>1108</v>
      </c>
    </row>
    <row r="187" spans="1:5" ht="20.25" customHeight="1">
      <c r="A187" s="41">
        <f t="shared" si="4"/>
        <v>180</v>
      </c>
      <c r="B187" s="44" t="s">
        <v>1206</v>
      </c>
      <c r="C187" s="48" t="s">
        <v>1207</v>
      </c>
      <c r="D187" s="44" t="s">
        <v>9</v>
      </c>
      <c r="E187" s="44" t="s">
        <v>1108</v>
      </c>
    </row>
    <row r="188" spans="1:5" ht="20.25" customHeight="1">
      <c r="A188" s="41">
        <f t="shared" si="4"/>
        <v>181</v>
      </c>
      <c r="B188" s="44" t="s">
        <v>1247</v>
      </c>
      <c r="C188" s="48" t="s">
        <v>1248</v>
      </c>
      <c r="D188" s="44" t="s">
        <v>9</v>
      </c>
      <c r="E188" s="44" t="s">
        <v>1108</v>
      </c>
    </row>
    <row r="189" spans="1:5" ht="20.25" customHeight="1">
      <c r="A189" s="41">
        <f t="shared" si="4"/>
        <v>182</v>
      </c>
      <c r="B189" s="44" t="s">
        <v>1258</v>
      </c>
      <c r="C189" s="47" t="s">
        <v>1259</v>
      </c>
      <c r="D189" s="44" t="s">
        <v>9</v>
      </c>
      <c r="E189" s="44" t="s">
        <v>1108</v>
      </c>
    </row>
    <row r="190" spans="1:5" ht="20.25" customHeight="1">
      <c r="A190" s="41">
        <f t="shared" si="4"/>
        <v>183</v>
      </c>
      <c r="B190" s="44" t="s">
        <v>1267</v>
      </c>
      <c r="C190" s="47" t="s">
        <v>1159</v>
      </c>
      <c r="D190" s="44" t="s">
        <v>9</v>
      </c>
      <c r="E190" s="44" t="s">
        <v>1108</v>
      </c>
    </row>
    <row r="191" spans="1:5" ht="20.25" customHeight="1">
      <c r="A191" s="41">
        <f t="shared" si="4"/>
        <v>184</v>
      </c>
      <c r="B191" s="44" t="s">
        <v>1273</v>
      </c>
      <c r="C191" s="47" t="s">
        <v>1274</v>
      </c>
      <c r="D191" s="44" t="s">
        <v>9</v>
      </c>
      <c r="E191" s="44" t="s">
        <v>1108</v>
      </c>
    </row>
    <row r="192" spans="1:5" ht="20.25" customHeight="1">
      <c r="A192" s="41">
        <f t="shared" si="4"/>
        <v>185</v>
      </c>
      <c r="B192" s="44" t="s">
        <v>1287</v>
      </c>
      <c r="C192" s="47" t="s">
        <v>1288</v>
      </c>
      <c r="D192" s="44" t="s">
        <v>9</v>
      </c>
      <c r="E192" s="44" t="s">
        <v>1108</v>
      </c>
    </row>
    <row r="193" spans="1:5" ht="20.25" customHeight="1">
      <c r="A193" s="41">
        <f t="shared" si="4"/>
        <v>186</v>
      </c>
      <c r="B193" s="44" t="s">
        <v>1289</v>
      </c>
      <c r="C193" s="47" t="s">
        <v>1290</v>
      </c>
      <c r="D193" s="44" t="s">
        <v>9</v>
      </c>
      <c r="E193" s="44" t="s">
        <v>1108</v>
      </c>
    </row>
    <row r="194" spans="1:5" ht="20.25" customHeight="1">
      <c r="A194" s="41">
        <f t="shared" si="4"/>
        <v>187</v>
      </c>
      <c r="B194" s="44" t="s">
        <v>233</v>
      </c>
      <c r="C194" s="48" t="s">
        <v>174</v>
      </c>
      <c r="D194" s="44" t="s">
        <v>9</v>
      </c>
      <c r="E194" s="44" t="s">
        <v>232</v>
      </c>
    </row>
    <row r="195" spans="1:5" ht="20.25" customHeight="1">
      <c r="A195" s="41">
        <f t="shared" si="4"/>
        <v>188</v>
      </c>
      <c r="B195" s="44" t="s">
        <v>234</v>
      </c>
      <c r="C195" s="48" t="s">
        <v>235</v>
      </c>
      <c r="D195" s="44" t="s">
        <v>9</v>
      </c>
      <c r="E195" s="44" t="s">
        <v>232</v>
      </c>
    </row>
    <row r="196" spans="1:5" ht="20.25" customHeight="1">
      <c r="A196" s="41">
        <f t="shared" si="4"/>
        <v>189</v>
      </c>
      <c r="B196" s="44" t="s">
        <v>237</v>
      </c>
      <c r="C196" s="48" t="s">
        <v>238</v>
      </c>
      <c r="D196" s="45" t="s">
        <v>9</v>
      </c>
      <c r="E196" s="44" t="s">
        <v>232</v>
      </c>
    </row>
    <row r="197" spans="1:5" ht="20.25" customHeight="1">
      <c r="A197" s="41">
        <f t="shared" si="4"/>
        <v>190</v>
      </c>
      <c r="B197" s="44" t="s">
        <v>239</v>
      </c>
      <c r="C197" s="48" t="s">
        <v>240</v>
      </c>
      <c r="D197" s="45" t="s">
        <v>9</v>
      </c>
      <c r="E197" s="44" t="s">
        <v>232</v>
      </c>
    </row>
    <row r="198" spans="1:5" ht="20.25" customHeight="1">
      <c r="A198" s="41">
        <f t="shared" si="4"/>
        <v>191</v>
      </c>
      <c r="B198" s="44" t="s">
        <v>1022</v>
      </c>
      <c r="C198" s="48" t="s">
        <v>1023</v>
      </c>
      <c r="D198" s="45" t="s">
        <v>9</v>
      </c>
      <c r="E198" s="44" t="s">
        <v>232</v>
      </c>
    </row>
    <row r="199" spans="1:5" ht="20.25" customHeight="1">
      <c r="A199" s="41">
        <f t="shared" si="4"/>
        <v>192</v>
      </c>
      <c r="B199" s="44" t="s">
        <v>1031</v>
      </c>
      <c r="C199" s="48" t="s">
        <v>1032</v>
      </c>
      <c r="D199" s="45" t="s">
        <v>9</v>
      </c>
      <c r="E199" s="44" t="s">
        <v>232</v>
      </c>
    </row>
    <row r="200" spans="1:5" ht="20.25" customHeight="1">
      <c r="A200" s="41">
        <f t="shared" si="4"/>
        <v>193</v>
      </c>
      <c r="B200" s="44" t="s">
        <v>1035</v>
      </c>
      <c r="C200" s="48" t="s">
        <v>1036</v>
      </c>
      <c r="D200" s="45" t="s">
        <v>9</v>
      </c>
      <c r="E200" s="44" t="s">
        <v>232</v>
      </c>
    </row>
    <row r="201" spans="1:5" ht="20.25" customHeight="1">
      <c r="A201" s="41">
        <f t="shared" si="4"/>
        <v>194</v>
      </c>
      <c r="B201" s="44" t="s">
        <v>1044</v>
      </c>
      <c r="C201" s="48" t="s">
        <v>1045</v>
      </c>
      <c r="D201" s="45" t="s">
        <v>9</v>
      </c>
      <c r="E201" s="44" t="s">
        <v>232</v>
      </c>
    </row>
    <row r="202" spans="1:5" ht="20.25" customHeight="1">
      <c r="A202" s="41">
        <f t="shared" si="4"/>
        <v>195</v>
      </c>
      <c r="B202" s="44" t="s">
        <v>1046</v>
      </c>
      <c r="C202" s="50" t="s">
        <v>1047</v>
      </c>
      <c r="D202" s="45" t="s">
        <v>9</v>
      </c>
      <c r="E202" s="44" t="s">
        <v>232</v>
      </c>
    </row>
    <row r="203" spans="1:5" ht="20.25" customHeight="1">
      <c r="A203" s="41">
        <f t="shared" si="4"/>
        <v>196</v>
      </c>
      <c r="B203" s="44" t="s">
        <v>241</v>
      </c>
      <c r="C203" s="50" t="s">
        <v>242</v>
      </c>
      <c r="D203" s="44" t="s">
        <v>9</v>
      </c>
      <c r="E203" s="44" t="s">
        <v>243</v>
      </c>
    </row>
    <row r="204" spans="1:5" ht="20.25" customHeight="1">
      <c r="A204" s="41">
        <f t="shared" si="4"/>
        <v>197</v>
      </c>
      <c r="B204" s="44" t="s">
        <v>244</v>
      </c>
      <c r="C204" s="48" t="s">
        <v>245</v>
      </c>
      <c r="D204" s="44" t="s">
        <v>9</v>
      </c>
      <c r="E204" s="44" t="s">
        <v>243</v>
      </c>
    </row>
    <row r="205" spans="1:5" ht="20.25" customHeight="1">
      <c r="A205" s="41">
        <f t="shared" si="4"/>
        <v>198</v>
      </c>
      <c r="B205" s="44" t="s">
        <v>246</v>
      </c>
      <c r="C205" s="48" t="s">
        <v>247</v>
      </c>
      <c r="D205" s="45" t="s">
        <v>9</v>
      </c>
      <c r="E205" s="44" t="s">
        <v>243</v>
      </c>
    </row>
    <row r="206" spans="1:5" ht="20.25" customHeight="1">
      <c r="A206" s="41">
        <f t="shared" si="4"/>
        <v>199</v>
      </c>
      <c r="B206" s="44" t="s">
        <v>251</v>
      </c>
      <c r="C206" s="48" t="s">
        <v>252</v>
      </c>
      <c r="D206" s="44" t="s">
        <v>9</v>
      </c>
      <c r="E206" s="44" t="s">
        <v>243</v>
      </c>
    </row>
    <row r="207" spans="1:5" ht="20.25" customHeight="1">
      <c r="A207" s="41">
        <f t="shared" si="4"/>
        <v>200</v>
      </c>
      <c r="B207" s="44" t="s">
        <v>1037</v>
      </c>
      <c r="C207" s="48" t="s">
        <v>1038</v>
      </c>
      <c r="D207" s="44" t="s">
        <v>9</v>
      </c>
      <c r="E207" s="44" t="s">
        <v>243</v>
      </c>
    </row>
    <row r="208" spans="1:5" ht="20.25" customHeight="1">
      <c r="A208" s="41">
        <f t="shared" si="4"/>
        <v>201</v>
      </c>
      <c r="B208" s="44" t="s">
        <v>1096</v>
      </c>
      <c r="C208" s="48" t="s">
        <v>1097</v>
      </c>
      <c r="D208" s="44" t="s">
        <v>9</v>
      </c>
      <c r="E208" s="44" t="s">
        <v>243</v>
      </c>
    </row>
    <row r="209" spans="1:5" ht="20.25" customHeight="1">
      <c r="A209" s="41">
        <f t="shared" si="4"/>
        <v>202</v>
      </c>
      <c r="B209" s="44" t="s">
        <v>1164</v>
      </c>
      <c r="C209" s="48" t="s">
        <v>1165</v>
      </c>
      <c r="D209" s="44" t="s">
        <v>9</v>
      </c>
      <c r="E209" s="44" t="s">
        <v>243</v>
      </c>
    </row>
    <row r="210" spans="1:5" ht="20.25" customHeight="1">
      <c r="A210" s="41">
        <f t="shared" si="4"/>
        <v>203</v>
      </c>
      <c r="B210" s="44" t="s">
        <v>1194</v>
      </c>
      <c r="C210" s="48" t="s">
        <v>1195</v>
      </c>
      <c r="D210" s="44" t="s">
        <v>9</v>
      </c>
      <c r="E210" s="44" t="s">
        <v>243</v>
      </c>
    </row>
    <row r="211" spans="1:5" ht="20.25" customHeight="1">
      <c r="A211" s="41">
        <f t="shared" si="4"/>
        <v>204</v>
      </c>
      <c r="B211" s="44" t="s">
        <v>1291</v>
      </c>
      <c r="C211" s="47" t="s">
        <v>1292</v>
      </c>
      <c r="D211" s="44" t="s">
        <v>9</v>
      </c>
      <c r="E211" s="44" t="s">
        <v>243</v>
      </c>
    </row>
    <row r="212" spans="1:5" ht="20.25" customHeight="1">
      <c r="A212" s="41">
        <f t="shared" si="4"/>
        <v>205</v>
      </c>
      <c r="B212" s="44" t="s">
        <v>248</v>
      </c>
      <c r="C212" s="48" t="s">
        <v>249</v>
      </c>
      <c r="D212" s="44" t="s">
        <v>9</v>
      </c>
      <c r="E212" s="44" t="s">
        <v>250</v>
      </c>
    </row>
    <row r="213" spans="1:5" ht="20.25" customHeight="1">
      <c r="A213" s="41">
        <f t="shared" si="4"/>
        <v>206</v>
      </c>
      <c r="B213" s="44" t="s">
        <v>253</v>
      </c>
      <c r="C213" s="48" t="s">
        <v>254</v>
      </c>
      <c r="D213" s="44" t="s">
        <v>9</v>
      </c>
      <c r="E213" s="44" t="s">
        <v>250</v>
      </c>
    </row>
    <row r="214" spans="1:5" ht="20.25" customHeight="1">
      <c r="A214" s="41">
        <f t="shared" si="4"/>
        <v>207</v>
      </c>
      <c r="B214" s="44" t="s">
        <v>255</v>
      </c>
      <c r="C214" s="48" t="s">
        <v>256</v>
      </c>
      <c r="D214" s="44" t="s">
        <v>9</v>
      </c>
      <c r="E214" s="44" t="s">
        <v>250</v>
      </c>
    </row>
    <row r="215" spans="1:5" ht="20.25" customHeight="1">
      <c r="A215" s="41">
        <f t="shared" si="4"/>
        <v>208</v>
      </c>
      <c r="B215" s="44" t="s">
        <v>257</v>
      </c>
      <c r="C215" s="48" t="s">
        <v>258</v>
      </c>
      <c r="D215" s="44" t="s">
        <v>9</v>
      </c>
      <c r="E215" s="44" t="s">
        <v>250</v>
      </c>
    </row>
    <row r="216" spans="1:5" ht="20.25" customHeight="1">
      <c r="A216" s="41">
        <f t="shared" si="4"/>
        <v>209</v>
      </c>
      <c r="B216" s="44" t="s">
        <v>259</v>
      </c>
      <c r="C216" s="48" t="s">
        <v>260</v>
      </c>
      <c r="D216" s="44" t="s">
        <v>9</v>
      </c>
      <c r="E216" s="44" t="s">
        <v>250</v>
      </c>
    </row>
    <row r="217" spans="1:5" ht="20.25" customHeight="1">
      <c r="A217" s="41">
        <f t="shared" si="4"/>
        <v>210</v>
      </c>
      <c r="B217" s="44" t="s">
        <v>1117</v>
      </c>
      <c r="C217" s="48" t="s">
        <v>1118</v>
      </c>
      <c r="D217" s="44" t="s">
        <v>9</v>
      </c>
      <c r="E217" s="44" t="s">
        <v>250</v>
      </c>
    </row>
    <row r="218" spans="1:5" ht="20.25" customHeight="1">
      <c r="A218" s="41">
        <f t="shared" si="4"/>
        <v>211</v>
      </c>
      <c r="B218" s="44" t="s">
        <v>1027</v>
      </c>
      <c r="C218" s="48" t="s">
        <v>1026</v>
      </c>
      <c r="D218" s="44" t="s">
        <v>9</v>
      </c>
      <c r="E218" s="44" t="s">
        <v>261</v>
      </c>
    </row>
    <row r="219" spans="1:5" ht="24.75" customHeight="1">
      <c r="A219" s="41">
        <f t="shared" ref="A219:A270" si="5">ROW()-7</f>
        <v>212</v>
      </c>
      <c r="B219" s="44" t="s">
        <v>1141</v>
      </c>
      <c r="C219" s="48" t="s">
        <v>1142</v>
      </c>
      <c r="D219" s="44" t="s">
        <v>9</v>
      </c>
      <c r="E219" s="44" t="s">
        <v>261</v>
      </c>
    </row>
    <row r="220" spans="1:5" ht="20.25" customHeight="1">
      <c r="A220" s="41">
        <f t="shared" si="5"/>
        <v>213</v>
      </c>
      <c r="B220" s="44" t="s">
        <v>1208</v>
      </c>
      <c r="C220" s="48" t="s">
        <v>1209</v>
      </c>
      <c r="D220" s="44" t="s">
        <v>9</v>
      </c>
      <c r="E220" s="44" t="s">
        <v>261</v>
      </c>
    </row>
    <row r="221" spans="1:5" ht="20.25" customHeight="1">
      <c r="A221" s="41">
        <f t="shared" si="5"/>
        <v>214</v>
      </c>
      <c r="B221" s="41" t="s">
        <v>1216</v>
      </c>
      <c r="C221" s="51" t="s">
        <v>1214</v>
      </c>
      <c r="D221" s="41" t="s">
        <v>9</v>
      </c>
      <c r="E221" s="41" t="s">
        <v>1217</v>
      </c>
    </row>
    <row r="222" spans="1:5" ht="20.25" customHeight="1">
      <c r="A222" s="41">
        <f t="shared" si="5"/>
        <v>215</v>
      </c>
      <c r="B222" s="41" t="s">
        <v>1218</v>
      </c>
      <c r="C222" s="52" t="s">
        <v>1215</v>
      </c>
      <c r="D222" s="41" t="s">
        <v>9</v>
      </c>
      <c r="E222" s="41" t="s">
        <v>262</v>
      </c>
    </row>
    <row r="223" spans="1:5" ht="20.25" customHeight="1">
      <c r="A223" s="41">
        <f t="shared" si="5"/>
        <v>216</v>
      </c>
      <c r="B223" s="44" t="s">
        <v>1143</v>
      </c>
      <c r="C223" s="48" t="s">
        <v>458</v>
      </c>
      <c r="D223" s="44" t="s">
        <v>9</v>
      </c>
      <c r="E223" s="44" t="s">
        <v>262</v>
      </c>
    </row>
    <row r="224" spans="1:5" ht="20.25" customHeight="1">
      <c r="A224" s="41">
        <f t="shared" si="5"/>
        <v>217</v>
      </c>
      <c r="B224" s="44" t="s">
        <v>1166</v>
      </c>
      <c r="C224" s="48" t="s">
        <v>1167</v>
      </c>
      <c r="D224" s="44" t="s">
        <v>9</v>
      </c>
      <c r="E224" s="44" t="s">
        <v>262</v>
      </c>
    </row>
    <row r="225" spans="1:5" ht="20.25" customHeight="1">
      <c r="A225" s="41">
        <f t="shared" si="5"/>
        <v>218</v>
      </c>
      <c r="B225" s="44" t="s">
        <v>1178</v>
      </c>
      <c r="C225" s="48" t="s">
        <v>1179</v>
      </c>
      <c r="D225" s="44" t="s">
        <v>9</v>
      </c>
      <c r="E225" s="44" t="s">
        <v>262</v>
      </c>
    </row>
    <row r="226" spans="1:5" ht="20.25" customHeight="1">
      <c r="A226" s="41">
        <f t="shared" si="5"/>
        <v>219</v>
      </c>
      <c r="B226" s="44" t="s">
        <v>1241</v>
      </c>
      <c r="C226" s="48" t="s">
        <v>987</v>
      </c>
      <c r="D226" s="44" t="s">
        <v>9</v>
      </c>
      <c r="E226" s="44" t="s">
        <v>1242</v>
      </c>
    </row>
    <row r="227" spans="1:5" ht="20.25" customHeight="1">
      <c r="A227" s="41">
        <f t="shared" si="5"/>
        <v>220</v>
      </c>
      <c r="B227" s="44" t="s">
        <v>263</v>
      </c>
      <c r="C227" s="48" t="s">
        <v>264</v>
      </c>
      <c r="D227" s="44" t="s">
        <v>9</v>
      </c>
      <c r="E227" s="44" t="s">
        <v>265</v>
      </c>
    </row>
    <row r="228" spans="1:5" ht="20.25" customHeight="1">
      <c r="A228" s="41">
        <f t="shared" si="5"/>
        <v>221</v>
      </c>
      <c r="B228" s="44" t="s">
        <v>266</v>
      </c>
      <c r="C228" s="48" t="s">
        <v>267</v>
      </c>
      <c r="D228" s="44" t="s">
        <v>9</v>
      </c>
      <c r="E228" s="44" t="s">
        <v>265</v>
      </c>
    </row>
    <row r="229" spans="1:5" ht="20.25" customHeight="1">
      <c r="A229" s="41">
        <f t="shared" si="5"/>
        <v>222</v>
      </c>
      <c r="B229" s="44" t="s">
        <v>268</v>
      </c>
      <c r="C229" s="48" t="s">
        <v>269</v>
      </c>
      <c r="D229" s="44" t="s">
        <v>9</v>
      </c>
      <c r="E229" s="44" t="s">
        <v>265</v>
      </c>
    </row>
    <row r="230" spans="1:5" ht="20.25" customHeight="1">
      <c r="A230" s="41">
        <f t="shared" si="5"/>
        <v>223</v>
      </c>
      <c r="B230" s="44" t="s">
        <v>272</v>
      </c>
      <c r="C230" s="48" t="s">
        <v>273</v>
      </c>
      <c r="D230" s="44" t="s">
        <v>9</v>
      </c>
      <c r="E230" s="44" t="s">
        <v>265</v>
      </c>
    </row>
    <row r="231" spans="1:5" ht="20.25" customHeight="1">
      <c r="A231" s="41">
        <f t="shared" si="5"/>
        <v>224</v>
      </c>
      <c r="B231" s="44" t="s">
        <v>274</v>
      </c>
      <c r="C231" s="48" t="s">
        <v>275</v>
      </c>
      <c r="D231" s="45" t="s">
        <v>9</v>
      </c>
      <c r="E231" s="44" t="s">
        <v>265</v>
      </c>
    </row>
    <row r="232" spans="1:5" ht="20.25" customHeight="1">
      <c r="A232" s="41">
        <f t="shared" si="5"/>
        <v>225</v>
      </c>
      <c r="B232" s="44" t="s">
        <v>276</v>
      </c>
      <c r="C232" s="48" t="s">
        <v>277</v>
      </c>
      <c r="D232" s="45" t="s">
        <v>9</v>
      </c>
      <c r="E232" s="44" t="s">
        <v>265</v>
      </c>
    </row>
    <row r="233" spans="1:5" ht="20.25" customHeight="1">
      <c r="A233" s="41">
        <f t="shared" si="5"/>
        <v>226</v>
      </c>
      <c r="B233" s="49" t="s">
        <v>278</v>
      </c>
      <c r="C233" s="48" t="s">
        <v>279</v>
      </c>
      <c r="D233" s="44" t="s">
        <v>9</v>
      </c>
      <c r="E233" s="44" t="s">
        <v>265</v>
      </c>
    </row>
    <row r="234" spans="1:5" ht="20.25" customHeight="1">
      <c r="A234" s="41">
        <f t="shared" si="5"/>
        <v>227</v>
      </c>
      <c r="B234" s="49" t="s">
        <v>280</v>
      </c>
      <c r="C234" s="48" t="s">
        <v>281</v>
      </c>
      <c r="D234" s="44" t="s">
        <v>9</v>
      </c>
      <c r="E234" s="44" t="s">
        <v>265</v>
      </c>
    </row>
    <row r="235" spans="1:5" ht="20.25" customHeight="1">
      <c r="A235" s="41">
        <f t="shared" si="5"/>
        <v>228</v>
      </c>
      <c r="B235" s="49" t="s">
        <v>282</v>
      </c>
      <c r="C235" s="48" t="s">
        <v>283</v>
      </c>
      <c r="D235" s="44" t="s">
        <v>9</v>
      </c>
      <c r="E235" s="44" t="s">
        <v>265</v>
      </c>
    </row>
    <row r="236" spans="1:5" ht="20.25" customHeight="1">
      <c r="A236" s="41">
        <f t="shared" si="5"/>
        <v>229</v>
      </c>
      <c r="B236" s="49" t="s">
        <v>284</v>
      </c>
      <c r="C236" s="48" t="s">
        <v>285</v>
      </c>
      <c r="D236" s="44" t="s">
        <v>9</v>
      </c>
      <c r="E236" s="44" t="s">
        <v>265</v>
      </c>
    </row>
    <row r="237" spans="1:5" ht="20.25" customHeight="1">
      <c r="A237" s="41">
        <f t="shared" si="5"/>
        <v>230</v>
      </c>
      <c r="B237" s="49" t="s">
        <v>286</v>
      </c>
      <c r="C237" s="48" t="s">
        <v>287</v>
      </c>
      <c r="D237" s="44" t="s">
        <v>9</v>
      </c>
      <c r="E237" s="44" t="s">
        <v>265</v>
      </c>
    </row>
    <row r="238" spans="1:5" ht="20.25" customHeight="1">
      <c r="A238" s="41">
        <f t="shared" si="5"/>
        <v>231</v>
      </c>
      <c r="B238" s="49" t="s">
        <v>288</v>
      </c>
      <c r="C238" s="48" t="s">
        <v>289</v>
      </c>
      <c r="D238" s="44" t="s">
        <v>9</v>
      </c>
      <c r="E238" s="44" t="s">
        <v>265</v>
      </c>
    </row>
    <row r="239" spans="1:5" ht="20.25" customHeight="1">
      <c r="A239" s="41">
        <f t="shared" si="5"/>
        <v>232</v>
      </c>
      <c r="B239" s="49" t="s">
        <v>290</v>
      </c>
      <c r="C239" s="48" t="s">
        <v>291</v>
      </c>
      <c r="D239" s="44" t="s">
        <v>9</v>
      </c>
      <c r="E239" s="44" t="s">
        <v>265</v>
      </c>
    </row>
    <row r="240" spans="1:5" ht="20.25" customHeight="1">
      <c r="A240" s="41">
        <f t="shared" si="5"/>
        <v>233</v>
      </c>
      <c r="B240" s="49" t="s">
        <v>1042</v>
      </c>
      <c r="C240" s="48" t="s">
        <v>1043</v>
      </c>
      <c r="D240" s="44" t="s">
        <v>9</v>
      </c>
      <c r="E240" s="44" t="s">
        <v>265</v>
      </c>
    </row>
    <row r="241" spans="1:5" ht="20.25" customHeight="1">
      <c r="A241" s="41">
        <f t="shared" si="5"/>
        <v>234</v>
      </c>
      <c r="B241" s="49" t="s">
        <v>1048</v>
      </c>
      <c r="C241" s="48" t="s">
        <v>1049</v>
      </c>
      <c r="D241" s="44" t="s">
        <v>9</v>
      </c>
      <c r="E241" s="44" t="s">
        <v>265</v>
      </c>
    </row>
    <row r="242" spans="1:5" ht="20.25" customHeight="1">
      <c r="A242" s="41">
        <f t="shared" si="5"/>
        <v>235</v>
      </c>
      <c r="B242" s="49" t="s">
        <v>1050</v>
      </c>
      <c r="C242" s="48" t="s">
        <v>1051</v>
      </c>
      <c r="D242" s="44" t="s">
        <v>9</v>
      </c>
      <c r="E242" s="44" t="s">
        <v>265</v>
      </c>
    </row>
    <row r="243" spans="1:5" ht="20.25" customHeight="1">
      <c r="A243" s="41">
        <f t="shared" si="5"/>
        <v>236</v>
      </c>
      <c r="B243" s="49" t="s">
        <v>1054</v>
      </c>
      <c r="C243" s="48" t="s">
        <v>1055</v>
      </c>
      <c r="D243" s="44" t="s">
        <v>9</v>
      </c>
      <c r="E243" s="44" t="s">
        <v>265</v>
      </c>
    </row>
    <row r="244" spans="1:5" ht="20.25" customHeight="1">
      <c r="A244" s="41">
        <f t="shared" si="5"/>
        <v>237</v>
      </c>
      <c r="B244" s="49" t="s">
        <v>1058</v>
      </c>
      <c r="C244" s="48" t="s">
        <v>1059</v>
      </c>
      <c r="D244" s="44" t="s">
        <v>9</v>
      </c>
      <c r="E244" s="44" t="s">
        <v>265</v>
      </c>
    </row>
    <row r="245" spans="1:5" ht="20.25" customHeight="1">
      <c r="A245" s="41">
        <f t="shared" si="5"/>
        <v>238</v>
      </c>
      <c r="B245" s="49" t="s">
        <v>1060</v>
      </c>
      <c r="C245" s="48" t="s">
        <v>1061</v>
      </c>
      <c r="D245" s="44" t="s">
        <v>9</v>
      </c>
      <c r="E245" s="44" t="s">
        <v>265</v>
      </c>
    </row>
    <row r="246" spans="1:5" ht="20.25" customHeight="1">
      <c r="A246" s="41">
        <f t="shared" si="5"/>
        <v>239</v>
      </c>
      <c r="B246" s="49" t="s">
        <v>1074</v>
      </c>
      <c r="C246" s="48" t="s">
        <v>1075</v>
      </c>
      <c r="D246" s="44" t="s">
        <v>9</v>
      </c>
      <c r="E246" s="44" t="s">
        <v>265</v>
      </c>
    </row>
    <row r="247" spans="1:5" ht="20.25" customHeight="1">
      <c r="A247" s="41">
        <f t="shared" si="5"/>
        <v>240</v>
      </c>
      <c r="B247" s="49" t="s">
        <v>1080</v>
      </c>
      <c r="C247" s="48" t="s">
        <v>1081</v>
      </c>
      <c r="D247" s="44" t="s">
        <v>9</v>
      </c>
      <c r="E247" s="44" t="s">
        <v>265</v>
      </c>
    </row>
    <row r="248" spans="1:5" ht="20.25" customHeight="1">
      <c r="A248" s="41">
        <f t="shared" si="5"/>
        <v>241</v>
      </c>
      <c r="B248" s="49" t="s">
        <v>1084</v>
      </c>
      <c r="C248" s="48" t="s">
        <v>1085</v>
      </c>
      <c r="D248" s="44" t="s">
        <v>9</v>
      </c>
      <c r="E248" s="44" t="s">
        <v>265</v>
      </c>
    </row>
    <row r="249" spans="1:5" ht="20.25" customHeight="1">
      <c r="A249" s="41">
        <f t="shared" si="5"/>
        <v>242</v>
      </c>
      <c r="B249" s="49" t="s">
        <v>1086</v>
      </c>
      <c r="C249" s="48" t="s">
        <v>1087</v>
      </c>
      <c r="D249" s="44" t="s">
        <v>9</v>
      </c>
      <c r="E249" s="44" t="s">
        <v>265</v>
      </c>
    </row>
    <row r="250" spans="1:5" ht="20.25" customHeight="1">
      <c r="A250" s="41">
        <f t="shared" si="5"/>
        <v>243</v>
      </c>
      <c r="B250" s="49" t="s">
        <v>1101</v>
      </c>
      <c r="C250" s="48" t="s">
        <v>215</v>
      </c>
      <c r="D250" s="44" t="s">
        <v>9</v>
      </c>
      <c r="E250" s="44" t="s">
        <v>265</v>
      </c>
    </row>
    <row r="251" spans="1:5" ht="20.25" customHeight="1">
      <c r="A251" s="41">
        <f t="shared" si="5"/>
        <v>244</v>
      </c>
      <c r="B251" s="49" t="s">
        <v>1212</v>
      </c>
      <c r="C251" s="48" t="s">
        <v>1213</v>
      </c>
      <c r="D251" s="44" t="s">
        <v>9</v>
      </c>
      <c r="E251" s="44" t="s">
        <v>265</v>
      </c>
    </row>
    <row r="252" spans="1:5" ht="20.25" customHeight="1">
      <c r="A252" s="41">
        <f t="shared" si="5"/>
        <v>245</v>
      </c>
      <c r="B252" s="49" t="s">
        <v>1223</v>
      </c>
      <c r="C252" s="48" t="s">
        <v>1224</v>
      </c>
      <c r="D252" s="44" t="s">
        <v>9</v>
      </c>
      <c r="E252" s="44" t="s">
        <v>265</v>
      </c>
    </row>
    <row r="253" spans="1:5" ht="20.25" customHeight="1">
      <c r="A253" s="41">
        <f t="shared" si="5"/>
        <v>246</v>
      </c>
      <c r="B253" s="49" t="s">
        <v>1225</v>
      </c>
      <c r="C253" s="48" t="s">
        <v>1226</v>
      </c>
      <c r="D253" s="44" t="s">
        <v>9</v>
      </c>
      <c r="E253" s="44" t="s">
        <v>265</v>
      </c>
    </row>
    <row r="254" spans="1:5" ht="20.25" customHeight="1">
      <c r="A254" s="41">
        <f t="shared" si="5"/>
        <v>247</v>
      </c>
      <c r="B254" s="49" t="s">
        <v>1227</v>
      </c>
      <c r="C254" s="48" t="s">
        <v>1228</v>
      </c>
      <c r="D254" s="44" t="s">
        <v>9</v>
      </c>
      <c r="E254" s="44" t="s">
        <v>265</v>
      </c>
    </row>
    <row r="255" spans="1:5" ht="20.25" customHeight="1">
      <c r="A255" s="41">
        <f t="shared" si="5"/>
        <v>248</v>
      </c>
      <c r="B255" s="49" t="s">
        <v>1229</v>
      </c>
      <c r="C255" s="48" t="s">
        <v>1230</v>
      </c>
      <c r="D255" s="44" t="s">
        <v>9</v>
      </c>
      <c r="E255" s="44" t="s">
        <v>265</v>
      </c>
    </row>
    <row r="256" spans="1:5" ht="20.25" customHeight="1">
      <c r="A256" s="41">
        <f t="shared" si="5"/>
        <v>249</v>
      </c>
      <c r="B256" s="49" t="s">
        <v>1260</v>
      </c>
      <c r="C256" s="47" t="s">
        <v>1266</v>
      </c>
      <c r="D256" s="44" t="s">
        <v>9</v>
      </c>
      <c r="E256" s="44" t="s">
        <v>265</v>
      </c>
    </row>
    <row r="257" spans="1:5" ht="20.25" customHeight="1">
      <c r="A257" s="41">
        <f t="shared" si="5"/>
        <v>250</v>
      </c>
      <c r="B257" s="49" t="s">
        <v>1261</v>
      </c>
      <c r="C257" s="47" t="s">
        <v>1262</v>
      </c>
      <c r="D257" s="44" t="s">
        <v>9</v>
      </c>
      <c r="E257" s="44" t="s">
        <v>265</v>
      </c>
    </row>
    <row r="258" spans="1:5" ht="20.25" customHeight="1">
      <c r="A258" s="41">
        <f t="shared" si="5"/>
        <v>251</v>
      </c>
      <c r="B258" s="49" t="s">
        <v>1263</v>
      </c>
      <c r="C258" s="47" t="s">
        <v>1264</v>
      </c>
      <c r="D258" s="44" t="s">
        <v>9</v>
      </c>
      <c r="E258" s="44" t="s">
        <v>265</v>
      </c>
    </row>
    <row r="259" spans="1:5" ht="20.25" customHeight="1">
      <c r="A259" s="41">
        <f t="shared" si="5"/>
        <v>252</v>
      </c>
      <c r="B259" s="49" t="s">
        <v>1268</v>
      </c>
      <c r="C259" s="47" t="s">
        <v>1270</v>
      </c>
      <c r="D259" s="44" t="s">
        <v>9</v>
      </c>
      <c r="E259" s="44" t="s">
        <v>265</v>
      </c>
    </row>
    <row r="260" spans="1:5" ht="20.25" customHeight="1">
      <c r="A260" s="41">
        <f t="shared" si="5"/>
        <v>253</v>
      </c>
      <c r="B260" s="49" t="s">
        <v>1269</v>
      </c>
      <c r="C260" s="47" t="s">
        <v>1271</v>
      </c>
      <c r="D260" s="44" t="s">
        <v>9</v>
      </c>
      <c r="E260" s="44" t="s">
        <v>265</v>
      </c>
    </row>
    <row r="261" spans="1:5" ht="20.25" customHeight="1">
      <c r="A261" s="41">
        <f t="shared" si="5"/>
        <v>254</v>
      </c>
      <c r="B261" s="49" t="s">
        <v>1293</v>
      </c>
      <c r="C261" s="47" t="s">
        <v>1294</v>
      </c>
      <c r="D261" s="44" t="s">
        <v>9</v>
      </c>
      <c r="E261" s="44" t="s">
        <v>265</v>
      </c>
    </row>
    <row r="262" spans="1:5" ht="20.25" customHeight="1">
      <c r="A262" s="41">
        <f t="shared" si="5"/>
        <v>255</v>
      </c>
      <c r="B262" s="49" t="s">
        <v>1295</v>
      </c>
      <c r="C262" s="47" t="s">
        <v>1296</v>
      </c>
      <c r="D262" s="44" t="s">
        <v>9</v>
      </c>
      <c r="E262" s="44" t="s">
        <v>265</v>
      </c>
    </row>
    <row r="263" spans="1:5" ht="20.25" customHeight="1">
      <c r="A263" s="41">
        <f t="shared" si="5"/>
        <v>256</v>
      </c>
      <c r="B263" s="44" t="s">
        <v>452</v>
      </c>
      <c r="C263" s="48" t="s">
        <v>453</v>
      </c>
      <c r="D263" s="44" t="s">
        <v>9</v>
      </c>
      <c r="E263" s="44" t="s">
        <v>451</v>
      </c>
    </row>
    <row r="264" spans="1:5" ht="20.25" customHeight="1">
      <c r="A264" s="41">
        <f t="shared" si="5"/>
        <v>257</v>
      </c>
      <c r="B264" s="49" t="s">
        <v>1082</v>
      </c>
      <c r="C264" s="48" t="s">
        <v>1083</v>
      </c>
      <c r="D264" s="44" t="s">
        <v>9</v>
      </c>
      <c r="E264" s="44" t="s">
        <v>451</v>
      </c>
    </row>
    <row r="265" spans="1:5" ht="20.25" customHeight="1">
      <c r="A265" s="41">
        <f t="shared" si="5"/>
        <v>258</v>
      </c>
      <c r="B265" s="49" t="s">
        <v>1196</v>
      </c>
      <c r="C265" s="48" t="s">
        <v>1197</v>
      </c>
      <c r="D265" s="44" t="s">
        <v>9</v>
      </c>
      <c r="E265" s="44" t="s">
        <v>451</v>
      </c>
    </row>
    <row r="266" spans="1:5" ht="20.25" customHeight="1">
      <c r="A266" s="41">
        <f t="shared" si="5"/>
        <v>259</v>
      </c>
      <c r="B266" s="49" t="s">
        <v>1231</v>
      </c>
      <c r="C266" s="48" t="s">
        <v>1232</v>
      </c>
      <c r="D266" s="44" t="s">
        <v>9</v>
      </c>
      <c r="E266" s="44" t="s">
        <v>451</v>
      </c>
    </row>
    <row r="267" spans="1:5" ht="20.25" customHeight="1">
      <c r="A267" s="41">
        <f t="shared" si="5"/>
        <v>260</v>
      </c>
      <c r="B267" s="44" t="s">
        <v>1090</v>
      </c>
      <c r="C267" s="48" t="s">
        <v>1091</v>
      </c>
      <c r="D267" s="45" t="s">
        <v>9</v>
      </c>
      <c r="E267" s="44" t="s">
        <v>292</v>
      </c>
    </row>
    <row r="268" spans="1:5" ht="20.25" customHeight="1">
      <c r="A268" s="41">
        <f t="shared" si="5"/>
        <v>261</v>
      </c>
      <c r="B268" s="44" t="s">
        <v>1105</v>
      </c>
      <c r="C268" s="48" t="s">
        <v>1104</v>
      </c>
      <c r="D268" s="45" t="s">
        <v>9</v>
      </c>
      <c r="E268" s="44" t="s">
        <v>292</v>
      </c>
    </row>
    <row r="269" spans="1:5" ht="20.25" customHeight="1">
      <c r="A269" s="41">
        <f t="shared" si="5"/>
        <v>262</v>
      </c>
      <c r="B269" s="44" t="s">
        <v>1109</v>
      </c>
      <c r="C269" s="48" t="s">
        <v>1110</v>
      </c>
      <c r="D269" s="45" t="s">
        <v>9</v>
      </c>
      <c r="E269" s="44" t="s">
        <v>292</v>
      </c>
    </row>
    <row r="270" spans="1:5" ht="20.25" customHeight="1">
      <c r="A270" s="41">
        <f t="shared" si="5"/>
        <v>263</v>
      </c>
      <c r="B270" s="44" t="s">
        <v>1275</v>
      </c>
      <c r="C270" s="47" t="s">
        <v>1276</v>
      </c>
      <c r="D270" s="45" t="s">
        <v>9</v>
      </c>
      <c r="E270" s="44" t="s">
        <v>292</v>
      </c>
    </row>
  </sheetData>
  <autoFilter ref="A7:G270"/>
  <mergeCells count="9">
    <mergeCell ref="A2:E2"/>
    <mergeCell ref="A3:E3"/>
    <mergeCell ref="A6:C6"/>
    <mergeCell ref="B7:C7"/>
    <mergeCell ref="E4:E5"/>
    <mergeCell ref="A4:A5"/>
    <mergeCell ref="B4:B5"/>
    <mergeCell ref="C4:C5"/>
    <mergeCell ref="D4:D5"/>
  </mergeCells>
  <conditionalFormatting sqref="A6">
    <cfRule type="duplicateValues" dxfId="27" priority="201"/>
    <cfRule type="duplicateValues" dxfId="26" priority="202"/>
  </conditionalFormatting>
  <conditionalFormatting sqref="B57">
    <cfRule type="duplicateValues" dxfId="25" priority="102"/>
    <cfRule type="duplicateValues" dxfId="24" priority="103"/>
  </conditionalFormatting>
  <conditionalFormatting sqref="B157">
    <cfRule type="duplicateValues" dxfId="23" priority="31"/>
  </conditionalFormatting>
  <conditionalFormatting sqref="B157">
    <cfRule type="duplicateValues" dxfId="22" priority="32"/>
  </conditionalFormatting>
  <conditionalFormatting sqref="B8">
    <cfRule type="duplicateValues" dxfId="21" priority="11"/>
  </conditionalFormatting>
  <conditionalFormatting sqref="B8">
    <cfRule type="duplicateValues" dxfId="20" priority="12"/>
  </conditionalFormatting>
  <conditionalFormatting sqref="B121:B123">
    <cfRule type="duplicateValues" dxfId="19" priority="12182"/>
  </conditionalFormatting>
  <conditionalFormatting sqref="B221:B222">
    <cfRule type="duplicateValues" dxfId="18" priority="8"/>
  </conditionalFormatting>
  <conditionalFormatting sqref="B221:B222">
    <cfRule type="duplicateValues" dxfId="17" priority="9"/>
  </conditionalFormatting>
  <conditionalFormatting sqref="B158:B160">
    <cfRule type="duplicateValues" dxfId="16" priority="13233"/>
  </conditionalFormatting>
  <conditionalFormatting sqref="B67:B68">
    <cfRule type="duplicateValues" dxfId="15" priority="13234"/>
  </conditionalFormatting>
  <conditionalFormatting sqref="B161:B180">
    <cfRule type="duplicateValues" dxfId="14" priority="13235"/>
  </conditionalFormatting>
  <conditionalFormatting sqref="B58:B66 B69:B120 B124:B156 B181:B220 B9:B56 B223:B270">
    <cfRule type="duplicateValues" dxfId="13" priority="13236"/>
  </conditionalFormatting>
  <conditionalFormatting sqref="B58:B66 B69:B120 B124:B156 B181:B220 B7 B9:B56 B223:B270">
    <cfRule type="duplicateValues" dxfId="12" priority="13242"/>
  </conditionalFormatting>
  <pageMargins left="0.25" right="0.25" top="0.75" bottom="0.75" header="0.3" footer="0.3"/>
  <pageSetup paperSize="8" scale="64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2:G313"/>
  <sheetViews>
    <sheetView workbookViewId="0">
      <selection activeCell="C12" sqref="C12"/>
    </sheetView>
  </sheetViews>
  <sheetFormatPr defaultColWidth="9" defaultRowHeight="15"/>
  <cols>
    <col min="2" max="2" width="24" customWidth="1"/>
    <col min="3" max="3" width="31" customWidth="1"/>
    <col min="4" max="4" width="17.85546875" customWidth="1"/>
    <col min="5" max="5" width="27.7109375" customWidth="1"/>
    <col min="6" max="6" width="11.7109375" customWidth="1"/>
  </cols>
  <sheetData>
    <row r="2" spans="2:7" ht="15" customHeight="1">
      <c r="B2" s="54" t="s">
        <v>2</v>
      </c>
      <c r="C2" s="54" t="s">
        <v>3</v>
      </c>
      <c r="D2" s="54" t="s">
        <v>4</v>
      </c>
      <c r="E2" s="54" t="s">
        <v>5</v>
      </c>
      <c r="F2" s="53" t="s">
        <v>6</v>
      </c>
      <c r="G2" s="54" t="s">
        <v>542</v>
      </c>
    </row>
    <row r="3" spans="2:7" ht="15" customHeight="1">
      <c r="B3" s="54"/>
      <c r="C3" s="54"/>
      <c r="D3" s="54"/>
      <c r="E3" s="54"/>
      <c r="F3" s="65"/>
      <c r="G3" s="54"/>
    </row>
    <row r="4" spans="2:7" ht="15" customHeight="1">
      <c r="B4" s="66" t="s">
        <v>221</v>
      </c>
      <c r="C4" s="67"/>
      <c r="D4" s="18"/>
      <c r="E4" s="18"/>
      <c r="F4" s="39"/>
      <c r="G4" s="10"/>
    </row>
    <row r="5" spans="2:7" ht="15" customHeight="1">
      <c r="B5" s="17" t="s">
        <v>36</v>
      </c>
      <c r="C5" s="35" t="s">
        <v>37</v>
      </c>
      <c r="D5" s="17" t="s">
        <v>9</v>
      </c>
      <c r="E5" s="17" t="s">
        <v>35</v>
      </c>
      <c r="F5" s="19" t="s">
        <v>10</v>
      </c>
      <c r="G5" s="10"/>
    </row>
    <row r="6" spans="2:7" ht="15" customHeight="1">
      <c r="B6" s="17" t="s">
        <v>543</v>
      </c>
      <c r="C6" s="35" t="s">
        <v>544</v>
      </c>
      <c r="D6" s="17" t="s">
        <v>300</v>
      </c>
      <c r="E6" s="17" t="s">
        <v>545</v>
      </c>
      <c r="F6" s="19" t="s">
        <v>10</v>
      </c>
      <c r="G6" s="10"/>
    </row>
    <row r="7" spans="2:7" ht="15" customHeight="1">
      <c r="B7" s="17" t="s">
        <v>546</v>
      </c>
      <c r="C7" s="35" t="s">
        <v>547</v>
      </c>
      <c r="D7" s="17" t="s">
        <v>420</v>
      </c>
      <c r="E7" s="17" t="s">
        <v>548</v>
      </c>
      <c r="F7" s="19" t="s">
        <v>10</v>
      </c>
      <c r="G7" s="10" t="s">
        <v>549</v>
      </c>
    </row>
    <row r="8" spans="2:7" ht="15" customHeight="1">
      <c r="B8" s="17" t="s">
        <v>471</v>
      </c>
      <c r="C8" s="35" t="s">
        <v>472</v>
      </c>
      <c r="D8" s="17" t="s">
        <v>456</v>
      </c>
      <c r="E8" s="17" t="s">
        <v>470</v>
      </c>
      <c r="F8" s="19" t="s">
        <v>10</v>
      </c>
      <c r="G8" s="10"/>
    </row>
    <row r="9" spans="2:7" ht="15" customHeight="1">
      <c r="B9" s="17" t="s">
        <v>550</v>
      </c>
      <c r="C9" s="35" t="s">
        <v>378</v>
      </c>
      <c r="D9" s="17" t="s">
        <v>300</v>
      </c>
      <c r="E9" s="17" t="s">
        <v>551</v>
      </c>
      <c r="F9" s="19" t="s">
        <v>296</v>
      </c>
      <c r="G9" s="10"/>
    </row>
    <row r="10" spans="2:7" ht="15" customHeight="1">
      <c r="B10" s="17" t="s">
        <v>467</v>
      </c>
      <c r="C10" s="35" t="s">
        <v>468</v>
      </c>
      <c r="D10" s="17" t="s">
        <v>456</v>
      </c>
      <c r="E10" s="17" t="s">
        <v>344</v>
      </c>
      <c r="F10" s="19" t="s">
        <v>10</v>
      </c>
      <c r="G10" s="10"/>
    </row>
    <row r="11" spans="2:7" ht="15" customHeight="1">
      <c r="B11" s="17" t="s">
        <v>476</v>
      </c>
      <c r="C11" s="35" t="s">
        <v>477</v>
      </c>
      <c r="D11" s="17" t="s">
        <v>456</v>
      </c>
      <c r="E11" s="17" t="s">
        <v>478</v>
      </c>
      <c r="F11" s="19" t="s">
        <v>10</v>
      </c>
      <c r="G11" s="10"/>
    </row>
    <row r="12" spans="2:7" ht="15" customHeight="1">
      <c r="B12" s="17" t="s">
        <v>552</v>
      </c>
      <c r="C12" s="35" t="s">
        <v>333</v>
      </c>
      <c r="D12" s="17" t="s">
        <v>300</v>
      </c>
      <c r="E12" s="17" t="s">
        <v>400</v>
      </c>
      <c r="F12" s="19" t="s">
        <v>296</v>
      </c>
      <c r="G12" s="10" t="s">
        <v>553</v>
      </c>
    </row>
    <row r="13" spans="2:7" ht="15" customHeight="1">
      <c r="B13" s="17" t="s">
        <v>487</v>
      </c>
      <c r="C13" s="35" t="s">
        <v>488</v>
      </c>
      <c r="D13" s="17" t="s">
        <v>483</v>
      </c>
      <c r="E13" s="17" t="s">
        <v>489</v>
      </c>
      <c r="F13" s="19" t="s">
        <v>10</v>
      </c>
      <c r="G13" s="10"/>
    </row>
    <row r="14" spans="2:7" ht="15" customHeight="1">
      <c r="B14" s="17" t="s">
        <v>554</v>
      </c>
      <c r="C14" s="35" t="s">
        <v>411</v>
      </c>
      <c r="D14" s="17" t="s">
        <v>415</v>
      </c>
      <c r="E14" s="17" t="s">
        <v>414</v>
      </c>
      <c r="F14" s="19" t="s">
        <v>296</v>
      </c>
      <c r="G14" s="10"/>
    </row>
    <row r="15" spans="2:7" ht="15" customHeight="1">
      <c r="B15" s="17" t="s">
        <v>555</v>
      </c>
      <c r="C15" s="35" t="s">
        <v>231</v>
      </c>
      <c r="D15" s="17" t="s">
        <v>300</v>
      </c>
      <c r="E15" s="17" t="s">
        <v>556</v>
      </c>
      <c r="F15" s="19" t="s">
        <v>296</v>
      </c>
      <c r="G15" s="10"/>
    </row>
    <row r="16" spans="2:7" ht="15" customHeight="1">
      <c r="B16" s="17" t="s">
        <v>557</v>
      </c>
      <c r="C16" s="35" t="s">
        <v>475</v>
      </c>
      <c r="D16" s="17" t="s">
        <v>456</v>
      </c>
      <c r="E16" s="17" t="s">
        <v>482</v>
      </c>
      <c r="F16" s="19" t="s">
        <v>296</v>
      </c>
      <c r="G16" s="10"/>
    </row>
    <row r="17" spans="2:7" ht="15" customHeight="1">
      <c r="B17" s="17" t="s">
        <v>540</v>
      </c>
      <c r="C17" s="35" t="s">
        <v>541</v>
      </c>
      <c r="D17" s="17" t="s">
        <v>300</v>
      </c>
      <c r="E17" s="17" t="s">
        <v>309</v>
      </c>
      <c r="F17" s="19" t="s">
        <v>10</v>
      </c>
      <c r="G17" s="10"/>
    </row>
    <row r="18" spans="2:7" ht="15" customHeight="1">
      <c r="B18" s="17" t="s">
        <v>558</v>
      </c>
      <c r="C18" s="35" t="s">
        <v>559</v>
      </c>
      <c r="D18" s="17" t="s">
        <v>300</v>
      </c>
      <c r="E18" s="17" t="s">
        <v>360</v>
      </c>
      <c r="F18" s="19" t="s">
        <v>10</v>
      </c>
      <c r="G18" s="10"/>
    </row>
    <row r="19" spans="2:7" ht="15" customHeight="1">
      <c r="B19" s="17" t="s">
        <v>495</v>
      </c>
      <c r="C19" s="35" t="s">
        <v>496</v>
      </c>
      <c r="D19" s="17" t="s">
        <v>483</v>
      </c>
      <c r="E19" s="17" t="s">
        <v>497</v>
      </c>
      <c r="F19" s="19" t="s">
        <v>10</v>
      </c>
      <c r="G19" s="10"/>
    </row>
    <row r="20" spans="2:7" ht="15" customHeight="1">
      <c r="B20" s="17" t="s">
        <v>165</v>
      </c>
      <c r="C20" s="35" t="s">
        <v>166</v>
      </c>
      <c r="D20" s="17" t="s">
        <v>9</v>
      </c>
      <c r="E20" s="17" t="s">
        <v>123</v>
      </c>
      <c r="F20" s="19" t="s">
        <v>10</v>
      </c>
      <c r="G20" s="10" t="s">
        <v>560</v>
      </c>
    </row>
    <row r="21" spans="2:7" ht="15" customHeight="1">
      <c r="B21" s="17" t="s">
        <v>561</v>
      </c>
      <c r="C21" s="35" t="s">
        <v>562</v>
      </c>
      <c r="D21" s="17" t="s">
        <v>300</v>
      </c>
      <c r="E21" s="17" t="s">
        <v>551</v>
      </c>
      <c r="F21" s="19" t="s">
        <v>296</v>
      </c>
      <c r="G21" s="10"/>
    </row>
    <row r="22" spans="2:7" ht="15" customHeight="1">
      <c r="B22" s="17" t="s">
        <v>563</v>
      </c>
      <c r="C22" s="35" t="s">
        <v>564</v>
      </c>
      <c r="D22" s="17" t="s">
        <v>440</v>
      </c>
      <c r="E22" s="17" t="s">
        <v>443</v>
      </c>
      <c r="F22" s="19" t="s">
        <v>296</v>
      </c>
      <c r="G22" s="10" t="s">
        <v>560</v>
      </c>
    </row>
    <row r="23" spans="2:7" ht="15" customHeight="1">
      <c r="B23" s="17" t="s">
        <v>565</v>
      </c>
      <c r="C23" s="35" t="s">
        <v>566</v>
      </c>
      <c r="D23" s="17" t="s">
        <v>420</v>
      </c>
      <c r="E23" s="17" t="s">
        <v>436</v>
      </c>
      <c r="F23" s="19" t="s">
        <v>296</v>
      </c>
      <c r="G23" s="10" t="s">
        <v>553</v>
      </c>
    </row>
    <row r="24" spans="2:7" ht="15" customHeight="1">
      <c r="B24" s="17" t="s">
        <v>129</v>
      </c>
      <c r="C24" s="35" t="s">
        <v>130</v>
      </c>
      <c r="D24" s="17" t="s">
        <v>9</v>
      </c>
      <c r="E24" s="17" t="s">
        <v>123</v>
      </c>
      <c r="F24" s="19" t="s">
        <v>10</v>
      </c>
      <c r="G24" s="10"/>
    </row>
    <row r="25" spans="2:7" ht="15" customHeight="1">
      <c r="B25" s="17" t="s">
        <v>567</v>
      </c>
      <c r="C25" s="35" t="s">
        <v>568</v>
      </c>
      <c r="D25" s="17" t="s">
        <v>300</v>
      </c>
      <c r="E25" s="17" t="s">
        <v>400</v>
      </c>
      <c r="F25" s="19" t="s">
        <v>296</v>
      </c>
      <c r="G25" s="10"/>
    </row>
    <row r="26" spans="2:7" ht="15" customHeight="1">
      <c r="B26" s="17" t="s">
        <v>535</v>
      </c>
      <c r="C26" s="35" t="s">
        <v>536</v>
      </c>
      <c r="D26" s="17" t="s">
        <v>9</v>
      </c>
      <c r="E26" s="17" t="s">
        <v>123</v>
      </c>
      <c r="F26" s="19" t="s">
        <v>10</v>
      </c>
      <c r="G26" s="10"/>
    </row>
    <row r="27" spans="2:7" ht="15" customHeight="1">
      <c r="B27" s="17" t="s">
        <v>569</v>
      </c>
      <c r="C27" s="35" t="s">
        <v>570</v>
      </c>
      <c r="D27" s="17" t="s">
        <v>9</v>
      </c>
      <c r="E27" s="17" t="s">
        <v>123</v>
      </c>
      <c r="F27" s="19" t="s">
        <v>10</v>
      </c>
      <c r="G27" s="10" t="s">
        <v>560</v>
      </c>
    </row>
    <row r="28" spans="2:7" ht="15" customHeight="1">
      <c r="B28" s="17" t="s">
        <v>340</v>
      </c>
      <c r="C28" s="35" t="s">
        <v>341</v>
      </c>
      <c r="D28" s="17" t="s">
        <v>300</v>
      </c>
      <c r="E28" s="17" t="s">
        <v>349</v>
      </c>
      <c r="F28" s="19" t="s">
        <v>10</v>
      </c>
      <c r="G28" s="10"/>
    </row>
    <row r="29" spans="2:7" ht="15" customHeight="1">
      <c r="B29" s="17" t="s">
        <v>40</v>
      </c>
      <c r="C29" s="35" t="s">
        <v>41</v>
      </c>
      <c r="D29" s="17" t="s">
        <v>9</v>
      </c>
      <c r="E29" s="17" t="s">
        <v>35</v>
      </c>
      <c r="F29" s="19" t="s">
        <v>10</v>
      </c>
      <c r="G29" s="10"/>
    </row>
    <row r="30" spans="2:7" ht="15" customHeight="1">
      <c r="B30" s="17" t="s">
        <v>571</v>
      </c>
      <c r="C30" s="35" t="s">
        <v>572</v>
      </c>
      <c r="D30" s="17" t="s">
        <v>300</v>
      </c>
      <c r="E30" s="17" t="s">
        <v>556</v>
      </c>
      <c r="F30" s="19" t="s">
        <v>296</v>
      </c>
      <c r="G30" s="10"/>
    </row>
    <row r="31" spans="2:7" ht="15" customHeight="1">
      <c r="B31" s="17" t="s">
        <v>573</v>
      </c>
      <c r="C31" s="35" t="s">
        <v>413</v>
      </c>
      <c r="D31" s="17" t="s">
        <v>415</v>
      </c>
      <c r="E31" s="17" t="s">
        <v>414</v>
      </c>
      <c r="F31" s="19" t="s">
        <v>296</v>
      </c>
      <c r="G31" s="10" t="s">
        <v>549</v>
      </c>
    </row>
    <row r="32" spans="2:7" ht="15" customHeight="1">
      <c r="B32" s="17" t="s">
        <v>574</v>
      </c>
      <c r="C32" s="35" t="s">
        <v>575</v>
      </c>
      <c r="D32" s="17" t="s">
        <v>9</v>
      </c>
      <c r="E32" s="17" t="s">
        <v>292</v>
      </c>
      <c r="F32" s="19" t="s">
        <v>10</v>
      </c>
      <c r="G32" s="10" t="s">
        <v>560</v>
      </c>
    </row>
    <row r="33" spans="2:7" ht="15" customHeight="1">
      <c r="B33" s="17" t="s">
        <v>255</v>
      </c>
      <c r="C33" s="35" t="s">
        <v>256</v>
      </c>
      <c r="D33" s="17" t="s">
        <v>9</v>
      </c>
      <c r="E33" s="17" t="s">
        <v>576</v>
      </c>
      <c r="F33" s="19" t="s">
        <v>10</v>
      </c>
      <c r="G33" s="10"/>
    </row>
    <row r="34" spans="2:7" ht="15" customHeight="1">
      <c r="B34" s="17" t="s">
        <v>103</v>
      </c>
      <c r="C34" s="35" t="s">
        <v>104</v>
      </c>
      <c r="D34" s="17" t="s">
        <v>9</v>
      </c>
      <c r="E34" s="17" t="s">
        <v>111</v>
      </c>
      <c r="F34" s="19" t="s">
        <v>10</v>
      </c>
      <c r="G34" s="10"/>
    </row>
    <row r="35" spans="2:7" ht="15" customHeight="1">
      <c r="B35" s="17" t="s">
        <v>577</v>
      </c>
      <c r="C35" s="35" t="s">
        <v>206</v>
      </c>
      <c r="D35" s="17" t="s">
        <v>300</v>
      </c>
      <c r="E35" s="17" t="s">
        <v>299</v>
      </c>
      <c r="F35" s="19" t="s">
        <v>296</v>
      </c>
      <c r="G35" s="10" t="s">
        <v>549</v>
      </c>
    </row>
    <row r="36" spans="2:7" ht="15" customHeight="1">
      <c r="B36" s="17" t="s">
        <v>395</v>
      </c>
      <c r="C36" s="35" t="s">
        <v>396</v>
      </c>
      <c r="D36" s="17" t="s">
        <v>300</v>
      </c>
      <c r="E36" s="17" t="s">
        <v>399</v>
      </c>
      <c r="F36" s="19" t="s">
        <v>296</v>
      </c>
      <c r="G36" s="10"/>
    </row>
    <row r="37" spans="2:7" ht="15" customHeight="1">
      <c r="B37" s="17" t="s">
        <v>373</v>
      </c>
      <c r="C37" s="35" t="s">
        <v>374</v>
      </c>
      <c r="D37" s="17" t="s">
        <v>300</v>
      </c>
      <c r="E37" s="17" t="s">
        <v>372</v>
      </c>
      <c r="F37" s="19" t="s">
        <v>10</v>
      </c>
      <c r="G37" s="10"/>
    </row>
    <row r="38" spans="2:7" ht="15" customHeight="1">
      <c r="B38" s="17" t="s">
        <v>389</v>
      </c>
      <c r="C38" s="35" t="s">
        <v>390</v>
      </c>
      <c r="D38" s="17" t="s">
        <v>300</v>
      </c>
      <c r="E38" s="17" t="s">
        <v>556</v>
      </c>
      <c r="F38" s="19" t="s">
        <v>296</v>
      </c>
      <c r="G38" s="10"/>
    </row>
    <row r="39" spans="2:7" ht="15" customHeight="1">
      <c r="B39" s="17" t="s">
        <v>62</v>
      </c>
      <c r="C39" s="36" t="s">
        <v>63</v>
      </c>
      <c r="D39" s="17" t="s">
        <v>9</v>
      </c>
      <c r="E39" s="17" t="s">
        <v>64</v>
      </c>
      <c r="F39" s="19" t="s">
        <v>10</v>
      </c>
      <c r="G39" s="10"/>
    </row>
    <row r="40" spans="2:7" ht="15" customHeight="1">
      <c r="B40" s="17" t="s">
        <v>578</v>
      </c>
      <c r="C40" s="35" t="s">
        <v>579</v>
      </c>
      <c r="D40" s="17" t="s">
        <v>9</v>
      </c>
      <c r="E40" s="17" t="s">
        <v>67</v>
      </c>
      <c r="F40" s="19" t="s">
        <v>10</v>
      </c>
      <c r="G40" s="10"/>
    </row>
    <row r="41" spans="2:7" ht="15" customHeight="1">
      <c r="B41" s="17" t="s">
        <v>70</v>
      </c>
      <c r="C41" s="35" t="s">
        <v>71</v>
      </c>
      <c r="D41" s="17" t="s">
        <v>9</v>
      </c>
      <c r="E41" s="17" t="s">
        <v>67</v>
      </c>
      <c r="F41" s="19" t="s">
        <v>10</v>
      </c>
      <c r="G41" s="10"/>
    </row>
    <row r="42" spans="2:7" ht="15" customHeight="1">
      <c r="B42" s="17" t="s">
        <v>580</v>
      </c>
      <c r="C42" s="35" t="s">
        <v>581</v>
      </c>
      <c r="D42" s="17" t="s">
        <v>415</v>
      </c>
      <c r="E42" s="17" t="s">
        <v>414</v>
      </c>
      <c r="F42" s="19" t="s">
        <v>296</v>
      </c>
      <c r="G42" s="10"/>
    </row>
    <row r="43" spans="2:7" ht="15" customHeight="1">
      <c r="B43" s="17" t="s">
        <v>441</v>
      </c>
      <c r="C43" s="35" t="s">
        <v>442</v>
      </c>
      <c r="D43" s="17" t="s">
        <v>440</v>
      </c>
      <c r="E43" s="17" t="s">
        <v>443</v>
      </c>
      <c r="F43" s="19" t="s">
        <v>296</v>
      </c>
      <c r="G43" s="10"/>
    </row>
    <row r="44" spans="2:7" ht="15" customHeight="1">
      <c r="B44" s="17" t="s">
        <v>151</v>
      </c>
      <c r="C44" s="35" t="s">
        <v>152</v>
      </c>
      <c r="D44" s="17" t="s">
        <v>9</v>
      </c>
      <c r="E44" s="17" t="s">
        <v>123</v>
      </c>
      <c r="F44" s="19" t="s">
        <v>10</v>
      </c>
      <c r="G44" s="10"/>
    </row>
    <row r="45" spans="2:7" ht="15" customHeight="1">
      <c r="B45" s="17" t="s">
        <v>582</v>
      </c>
      <c r="C45" s="35" t="s">
        <v>583</v>
      </c>
      <c r="D45" s="17" t="s">
        <v>300</v>
      </c>
      <c r="E45" s="17" t="s">
        <v>355</v>
      </c>
      <c r="F45" s="19" t="s">
        <v>10</v>
      </c>
      <c r="G45" s="10"/>
    </row>
    <row r="46" spans="2:7" ht="15" customHeight="1">
      <c r="B46" s="17" t="s">
        <v>584</v>
      </c>
      <c r="C46" s="35" t="s">
        <v>585</v>
      </c>
      <c r="D46" s="17" t="s">
        <v>420</v>
      </c>
      <c r="E46" s="17" t="s">
        <v>586</v>
      </c>
      <c r="F46" s="19" t="s">
        <v>10</v>
      </c>
      <c r="G46" s="10"/>
    </row>
    <row r="47" spans="2:7" ht="15" customHeight="1">
      <c r="B47" s="17" t="s">
        <v>587</v>
      </c>
      <c r="C47" s="35" t="s">
        <v>588</v>
      </c>
      <c r="D47" s="17" t="s">
        <v>420</v>
      </c>
      <c r="E47" s="17" t="s">
        <v>436</v>
      </c>
      <c r="F47" s="19" t="s">
        <v>296</v>
      </c>
      <c r="G47" s="10" t="s">
        <v>553</v>
      </c>
    </row>
    <row r="48" spans="2:7" ht="15" customHeight="1">
      <c r="B48" s="17" t="s">
        <v>589</v>
      </c>
      <c r="C48" s="35" t="s">
        <v>590</v>
      </c>
      <c r="D48" s="17" t="s">
        <v>456</v>
      </c>
      <c r="E48" s="17" t="s">
        <v>482</v>
      </c>
      <c r="F48" s="19" t="s">
        <v>296</v>
      </c>
      <c r="G48" s="10"/>
    </row>
    <row r="49" spans="2:7" ht="15" customHeight="1">
      <c r="B49" s="17" t="s">
        <v>591</v>
      </c>
      <c r="C49" s="35" t="s">
        <v>592</v>
      </c>
      <c r="D49" s="17" t="s">
        <v>420</v>
      </c>
      <c r="E49" s="17" t="s">
        <v>439</v>
      </c>
      <c r="F49" s="19" t="s">
        <v>296</v>
      </c>
      <c r="G49" s="10" t="s">
        <v>549</v>
      </c>
    </row>
    <row r="50" spans="2:7" ht="15" customHeight="1">
      <c r="B50" s="17" t="s">
        <v>593</v>
      </c>
      <c r="C50" s="35" t="s">
        <v>594</v>
      </c>
      <c r="D50" s="17" t="s">
        <v>420</v>
      </c>
      <c r="E50" s="17" t="s">
        <v>436</v>
      </c>
      <c r="F50" s="19" t="s">
        <v>296</v>
      </c>
      <c r="G50" s="10"/>
    </row>
    <row r="51" spans="2:7" ht="15" customHeight="1">
      <c r="B51" s="17" t="s">
        <v>342</v>
      </c>
      <c r="C51" s="35" t="s">
        <v>343</v>
      </c>
      <c r="D51" s="17" t="s">
        <v>300</v>
      </c>
      <c r="E51" s="17" t="s">
        <v>344</v>
      </c>
      <c r="F51" s="19" t="s">
        <v>10</v>
      </c>
      <c r="G51" s="10"/>
    </row>
    <row r="52" spans="2:7" ht="15" customHeight="1">
      <c r="B52" s="66" t="s">
        <v>424</v>
      </c>
      <c r="C52" s="67"/>
      <c r="D52" s="17"/>
      <c r="E52" s="17"/>
      <c r="F52" s="19"/>
      <c r="G52" s="10"/>
    </row>
    <row r="53" spans="2:7" ht="15" customHeight="1">
      <c r="B53" s="17" t="s">
        <v>139</v>
      </c>
      <c r="C53" s="35" t="s">
        <v>140</v>
      </c>
      <c r="D53" s="17" t="s">
        <v>9</v>
      </c>
      <c r="E53" s="17" t="s">
        <v>123</v>
      </c>
      <c r="F53" s="19" t="s">
        <v>10</v>
      </c>
      <c r="G53" s="10"/>
    </row>
    <row r="54" spans="2:7" ht="15" customHeight="1">
      <c r="B54" s="17" t="s">
        <v>595</v>
      </c>
      <c r="C54" s="35" t="s">
        <v>596</v>
      </c>
      <c r="D54" s="17" t="s">
        <v>415</v>
      </c>
      <c r="E54" s="17" t="s">
        <v>597</v>
      </c>
      <c r="F54" s="19" t="s">
        <v>10</v>
      </c>
      <c r="G54" s="10" t="s">
        <v>553</v>
      </c>
    </row>
    <row r="55" spans="2:7" ht="15" customHeight="1">
      <c r="B55" s="17" t="s">
        <v>598</v>
      </c>
      <c r="C55" s="35" t="s">
        <v>599</v>
      </c>
      <c r="D55" s="17" t="s">
        <v>9</v>
      </c>
      <c r="E55" s="17" t="s">
        <v>265</v>
      </c>
      <c r="F55" s="19" t="s">
        <v>10</v>
      </c>
      <c r="G55" s="10"/>
    </row>
    <row r="56" spans="2:7" ht="15" customHeight="1">
      <c r="B56" s="17" t="s">
        <v>397</v>
      </c>
      <c r="C56" s="35" t="s">
        <v>398</v>
      </c>
      <c r="D56" s="17" t="s">
        <v>300</v>
      </c>
      <c r="E56" s="17" t="s">
        <v>556</v>
      </c>
      <c r="F56" s="19" t="s">
        <v>296</v>
      </c>
      <c r="G56" s="10"/>
    </row>
    <row r="57" spans="2:7" ht="15" customHeight="1">
      <c r="B57" s="66" t="s">
        <v>600</v>
      </c>
      <c r="C57" s="67"/>
      <c r="D57" s="17"/>
      <c r="E57" s="17"/>
      <c r="F57" s="19"/>
      <c r="G57" s="10"/>
    </row>
    <row r="58" spans="2:7" ht="15" customHeight="1">
      <c r="B58" s="17" t="s">
        <v>331</v>
      </c>
      <c r="C58" s="35" t="s">
        <v>332</v>
      </c>
      <c r="D58" s="17" t="s">
        <v>300</v>
      </c>
      <c r="E58" s="17" t="s">
        <v>330</v>
      </c>
      <c r="F58" s="19" t="s">
        <v>10</v>
      </c>
      <c r="G58" s="10" t="s">
        <v>553</v>
      </c>
    </row>
    <row r="59" spans="2:7" ht="15" customHeight="1">
      <c r="B59" s="17" t="s">
        <v>601</v>
      </c>
      <c r="C59" s="36" t="s">
        <v>602</v>
      </c>
      <c r="D59" s="17" t="s">
        <v>456</v>
      </c>
      <c r="E59" s="17" t="s">
        <v>261</v>
      </c>
      <c r="F59" s="19" t="s">
        <v>296</v>
      </c>
      <c r="G59" s="10"/>
    </row>
    <row r="60" spans="2:7" ht="15" customHeight="1">
      <c r="B60" s="17" t="s">
        <v>603</v>
      </c>
      <c r="C60" s="35" t="s">
        <v>604</v>
      </c>
      <c r="D60" s="17" t="s">
        <v>300</v>
      </c>
      <c r="E60" s="17" t="s">
        <v>556</v>
      </c>
      <c r="F60" s="19" t="s">
        <v>296</v>
      </c>
      <c r="G60" s="10" t="s">
        <v>549</v>
      </c>
    </row>
    <row r="61" spans="2:7" ht="15" customHeight="1">
      <c r="B61" s="17" t="s">
        <v>405</v>
      </c>
      <c r="C61" s="35" t="s">
        <v>406</v>
      </c>
      <c r="D61" s="17" t="s">
        <v>415</v>
      </c>
      <c r="E61" s="17" t="s">
        <v>404</v>
      </c>
      <c r="F61" s="19" t="s">
        <v>10</v>
      </c>
      <c r="G61" s="10"/>
    </row>
    <row r="62" spans="2:7" ht="15" customHeight="1">
      <c r="B62" s="17" t="s">
        <v>605</v>
      </c>
      <c r="C62" s="35" t="s">
        <v>606</v>
      </c>
      <c r="D62" s="17" t="s">
        <v>444</v>
      </c>
      <c r="E62" s="17" t="s">
        <v>449</v>
      </c>
      <c r="F62" s="19" t="s">
        <v>296</v>
      </c>
      <c r="G62" s="10"/>
    </row>
    <row r="63" spans="2:7" ht="15" customHeight="1">
      <c r="B63" s="17" t="s">
        <v>14</v>
      </c>
      <c r="C63" s="35" t="s">
        <v>15</v>
      </c>
      <c r="D63" s="17" t="s">
        <v>9</v>
      </c>
      <c r="E63" s="17" t="s">
        <v>16</v>
      </c>
      <c r="F63" s="19" t="s">
        <v>10</v>
      </c>
      <c r="G63" s="10" t="s">
        <v>560</v>
      </c>
    </row>
    <row r="64" spans="2:7" ht="15" customHeight="1">
      <c r="B64" s="17" t="s">
        <v>314</v>
      </c>
      <c r="C64" s="35" t="s">
        <v>315</v>
      </c>
      <c r="D64" s="17" t="s">
        <v>300</v>
      </c>
      <c r="E64" s="17" t="s">
        <v>316</v>
      </c>
      <c r="F64" s="19" t="s">
        <v>10</v>
      </c>
      <c r="G64" s="10" t="s">
        <v>549</v>
      </c>
    </row>
    <row r="65" spans="2:7" ht="15" customHeight="1">
      <c r="B65" s="17" t="s">
        <v>607</v>
      </c>
      <c r="C65" s="35" t="s">
        <v>608</v>
      </c>
      <c r="D65" s="17" t="s">
        <v>440</v>
      </c>
      <c r="E65" s="17" t="s">
        <v>443</v>
      </c>
      <c r="F65" s="19" t="s">
        <v>296</v>
      </c>
      <c r="G65" s="10" t="s">
        <v>549</v>
      </c>
    </row>
    <row r="66" spans="2:7" ht="15" customHeight="1">
      <c r="B66" s="17" t="s">
        <v>609</v>
      </c>
      <c r="C66" s="35" t="s">
        <v>610</v>
      </c>
      <c r="D66" s="17" t="s">
        <v>300</v>
      </c>
      <c r="E66" s="17" t="s">
        <v>394</v>
      </c>
      <c r="F66" s="19" t="s">
        <v>296</v>
      </c>
      <c r="G66" s="10"/>
    </row>
    <row r="67" spans="2:7" ht="15" customHeight="1">
      <c r="B67" s="17" t="s">
        <v>611</v>
      </c>
      <c r="C67" s="35" t="s">
        <v>612</v>
      </c>
      <c r="D67" s="17" t="s">
        <v>415</v>
      </c>
      <c r="E67" s="17" t="s">
        <v>416</v>
      </c>
      <c r="F67" s="19" t="s">
        <v>10</v>
      </c>
      <c r="G67" s="10" t="s">
        <v>549</v>
      </c>
    </row>
    <row r="68" spans="2:7" ht="15" customHeight="1">
      <c r="B68" s="17" t="s">
        <v>613</v>
      </c>
      <c r="C68" s="35" t="s">
        <v>614</v>
      </c>
      <c r="D68" s="17" t="s">
        <v>450</v>
      </c>
      <c r="E68" s="17" t="s">
        <v>615</v>
      </c>
      <c r="F68" s="19" t="s">
        <v>296</v>
      </c>
      <c r="G68" s="10" t="s">
        <v>549</v>
      </c>
    </row>
    <row r="69" spans="2:7" ht="15" customHeight="1">
      <c r="B69" s="17" t="s">
        <v>616</v>
      </c>
      <c r="C69" s="35" t="s">
        <v>617</v>
      </c>
      <c r="D69" s="17" t="s">
        <v>300</v>
      </c>
      <c r="E69" s="17" t="s">
        <v>551</v>
      </c>
      <c r="F69" s="19" t="s">
        <v>296</v>
      </c>
      <c r="G69" s="10"/>
    </row>
    <row r="70" spans="2:7" ht="15" customHeight="1">
      <c r="B70" s="17" t="s">
        <v>51</v>
      </c>
      <c r="C70" s="35" t="s">
        <v>52</v>
      </c>
      <c r="D70" s="17" t="s">
        <v>9</v>
      </c>
      <c r="E70" s="17" t="s">
        <v>50</v>
      </c>
      <c r="F70" s="19" t="s">
        <v>10</v>
      </c>
      <c r="G70" s="10" t="s">
        <v>553</v>
      </c>
    </row>
    <row r="71" spans="2:7" ht="15" customHeight="1">
      <c r="B71" s="17" t="s">
        <v>618</v>
      </c>
      <c r="C71" s="35" t="s">
        <v>387</v>
      </c>
      <c r="D71" s="17" t="s">
        <v>300</v>
      </c>
      <c r="E71" s="17" t="s">
        <v>399</v>
      </c>
      <c r="F71" s="19" t="s">
        <v>296</v>
      </c>
      <c r="G71" s="10"/>
    </row>
    <row r="72" spans="2:7" ht="15" customHeight="1">
      <c r="B72" s="17" t="s">
        <v>619</v>
      </c>
      <c r="C72" s="35" t="s">
        <v>380</v>
      </c>
      <c r="D72" s="17" t="s">
        <v>300</v>
      </c>
      <c r="E72" s="17" t="s">
        <v>620</v>
      </c>
      <c r="F72" s="19" t="s">
        <v>296</v>
      </c>
      <c r="G72" s="10"/>
    </row>
    <row r="73" spans="2:7" ht="15" customHeight="1">
      <c r="B73" s="17" t="s">
        <v>356</v>
      </c>
      <c r="C73" s="35" t="s">
        <v>357</v>
      </c>
      <c r="D73" s="17" t="s">
        <v>300</v>
      </c>
      <c r="E73" s="17" t="s">
        <v>621</v>
      </c>
      <c r="F73" s="19" t="s">
        <v>10</v>
      </c>
      <c r="G73" s="10" t="s">
        <v>549</v>
      </c>
    </row>
    <row r="74" spans="2:7" ht="15" customHeight="1">
      <c r="B74" s="66" t="s">
        <v>622</v>
      </c>
      <c r="C74" s="67"/>
      <c r="D74" s="17"/>
      <c r="E74" s="17"/>
      <c r="F74" s="19"/>
      <c r="G74" s="10"/>
    </row>
    <row r="75" spans="2:7" ht="15" customHeight="1">
      <c r="B75" s="17" t="s">
        <v>623</v>
      </c>
      <c r="C75" s="35" t="s">
        <v>624</v>
      </c>
      <c r="D75" s="17" t="s">
        <v>300</v>
      </c>
      <c r="E75" s="17" t="s">
        <v>299</v>
      </c>
      <c r="F75" s="19" t="s">
        <v>296</v>
      </c>
      <c r="G75" s="10"/>
    </row>
    <row r="76" spans="2:7" ht="15" customHeight="1">
      <c r="B76" s="17" t="s">
        <v>625</v>
      </c>
      <c r="C76" s="35" t="s">
        <v>626</v>
      </c>
      <c r="D76" s="17" t="s">
        <v>415</v>
      </c>
      <c r="E76" s="17" t="s">
        <v>627</v>
      </c>
      <c r="F76" s="19" t="s">
        <v>10</v>
      </c>
      <c r="G76" s="10"/>
    </row>
    <row r="77" spans="2:7" ht="15" customHeight="1">
      <c r="B77" s="17" t="s">
        <v>628</v>
      </c>
      <c r="C77" s="35" t="s">
        <v>629</v>
      </c>
      <c r="D77" s="17" t="s">
        <v>300</v>
      </c>
      <c r="E77" s="17" t="s">
        <v>630</v>
      </c>
      <c r="F77" s="19" t="s">
        <v>10</v>
      </c>
      <c r="G77" s="10"/>
    </row>
    <row r="78" spans="2:7" ht="15" customHeight="1">
      <c r="B78" s="17" t="s">
        <v>631</v>
      </c>
      <c r="C78" s="35" t="s">
        <v>632</v>
      </c>
      <c r="D78" s="17" t="s">
        <v>456</v>
      </c>
      <c r="E78" s="17" t="s">
        <v>482</v>
      </c>
      <c r="F78" s="19" t="s">
        <v>296</v>
      </c>
      <c r="G78" s="10"/>
    </row>
    <row r="79" spans="2:7" ht="15" customHeight="1">
      <c r="B79" s="17" t="s">
        <v>141</v>
      </c>
      <c r="C79" s="35" t="s">
        <v>142</v>
      </c>
      <c r="D79" s="17" t="s">
        <v>9</v>
      </c>
      <c r="E79" s="17" t="s">
        <v>123</v>
      </c>
      <c r="F79" s="19" t="s">
        <v>10</v>
      </c>
      <c r="G79" s="10"/>
    </row>
    <row r="80" spans="2:7" ht="15" customHeight="1">
      <c r="B80" s="17" t="s">
        <v>633</v>
      </c>
      <c r="C80" s="35" t="s">
        <v>634</v>
      </c>
      <c r="D80" s="17" t="s">
        <v>9</v>
      </c>
      <c r="E80" s="17" t="s">
        <v>123</v>
      </c>
      <c r="F80" s="19" t="s">
        <v>10</v>
      </c>
      <c r="G80" s="10"/>
    </row>
    <row r="81" spans="2:7" ht="15" customHeight="1">
      <c r="B81" s="17" t="s">
        <v>635</v>
      </c>
      <c r="C81" s="35" t="s">
        <v>636</v>
      </c>
      <c r="D81" s="17" t="s">
        <v>300</v>
      </c>
      <c r="E81" s="17" t="s">
        <v>620</v>
      </c>
      <c r="F81" s="19" t="s">
        <v>296</v>
      </c>
      <c r="G81" s="10"/>
    </row>
    <row r="82" spans="2:7" ht="15" customHeight="1">
      <c r="B82" s="17" t="s">
        <v>263</v>
      </c>
      <c r="C82" s="35" t="s">
        <v>264</v>
      </c>
      <c r="D82" s="17" t="s">
        <v>9</v>
      </c>
      <c r="E82" s="17" t="s">
        <v>265</v>
      </c>
      <c r="F82" s="19" t="s">
        <v>10</v>
      </c>
      <c r="G82" s="10"/>
    </row>
    <row r="83" spans="2:7" ht="15" customHeight="1">
      <c r="B83" s="17" t="s">
        <v>637</v>
      </c>
      <c r="C83" s="35" t="s">
        <v>638</v>
      </c>
      <c r="D83" s="17" t="s">
        <v>300</v>
      </c>
      <c r="E83" s="17" t="s">
        <v>394</v>
      </c>
      <c r="F83" s="19" t="s">
        <v>296</v>
      </c>
      <c r="G83" s="10"/>
    </row>
    <row r="84" spans="2:7" ht="15" customHeight="1">
      <c r="B84" s="17" t="s">
        <v>639</v>
      </c>
      <c r="C84" s="35" t="s">
        <v>640</v>
      </c>
      <c r="D84" s="17" t="s">
        <v>300</v>
      </c>
      <c r="E84" s="17" t="s">
        <v>399</v>
      </c>
      <c r="F84" s="19" t="s">
        <v>296</v>
      </c>
      <c r="G84" s="10" t="s">
        <v>553</v>
      </c>
    </row>
    <row r="85" spans="2:7" ht="15" customHeight="1">
      <c r="B85" s="66" t="s">
        <v>641</v>
      </c>
      <c r="C85" s="67"/>
      <c r="D85" s="17"/>
      <c r="E85" s="17"/>
      <c r="F85" s="19"/>
      <c r="G85" s="10"/>
    </row>
    <row r="86" spans="2:7" ht="15" customHeight="1">
      <c r="B86" s="17" t="s">
        <v>642</v>
      </c>
      <c r="C86" s="35" t="s">
        <v>643</v>
      </c>
      <c r="D86" s="17" t="s">
        <v>450</v>
      </c>
      <c r="E86" s="17" t="s">
        <v>644</v>
      </c>
      <c r="F86" s="19" t="s">
        <v>10</v>
      </c>
      <c r="G86" s="10"/>
    </row>
    <row r="87" spans="2:7" ht="15" customHeight="1">
      <c r="B87" s="17" t="s">
        <v>645</v>
      </c>
      <c r="C87" s="35" t="s">
        <v>646</v>
      </c>
      <c r="D87" s="17" t="s">
        <v>415</v>
      </c>
      <c r="E87" s="17" t="s">
        <v>414</v>
      </c>
      <c r="F87" s="19" t="s">
        <v>296</v>
      </c>
      <c r="G87" s="10"/>
    </row>
    <row r="88" spans="2:7" ht="15" customHeight="1">
      <c r="B88" s="17" t="s">
        <v>647</v>
      </c>
      <c r="C88" s="35" t="s">
        <v>648</v>
      </c>
      <c r="D88" s="17" t="s">
        <v>9</v>
      </c>
      <c r="E88" s="17" t="s">
        <v>265</v>
      </c>
      <c r="F88" s="19" t="s">
        <v>10</v>
      </c>
      <c r="G88" s="10"/>
    </row>
    <row r="89" spans="2:7" ht="15" customHeight="1">
      <c r="B89" s="17" t="s">
        <v>649</v>
      </c>
      <c r="C89" s="35" t="s">
        <v>650</v>
      </c>
      <c r="D89" s="17" t="s">
        <v>300</v>
      </c>
      <c r="E89" s="17" t="s">
        <v>400</v>
      </c>
      <c r="F89" s="19" t="s">
        <v>296</v>
      </c>
      <c r="G89" s="10"/>
    </row>
    <row r="90" spans="2:7" ht="15" customHeight="1">
      <c r="B90" s="17" t="s">
        <v>149</v>
      </c>
      <c r="C90" s="35" t="s">
        <v>150</v>
      </c>
      <c r="D90" s="17" t="s">
        <v>9</v>
      </c>
      <c r="E90" s="17" t="s">
        <v>123</v>
      </c>
      <c r="F90" s="19" t="s">
        <v>10</v>
      </c>
      <c r="G90" s="10"/>
    </row>
    <row r="91" spans="2:7" ht="15" customHeight="1">
      <c r="B91" s="17" t="s">
        <v>350</v>
      </c>
      <c r="C91" s="35" t="s">
        <v>150</v>
      </c>
      <c r="D91" s="17" t="s">
        <v>300</v>
      </c>
      <c r="E91" s="17" t="s">
        <v>349</v>
      </c>
      <c r="F91" s="19" t="s">
        <v>10</v>
      </c>
      <c r="G91" s="10" t="s">
        <v>553</v>
      </c>
    </row>
    <row r="92" spans="2:7" ht="15" customHeight="1">
      <c r="B92" s="17" t="s">
        <v>651</v>
      </c>
      <c r="C92" s="35" t="s">
        <v>362</v>
      </c>
      <c r="D92" s="17" t="s">
        <v>300</v>
      </c>
      <c r="E92" s="17" t="s">
        <v>556</v>
      </c>
      <c r="F92" s="19" t="s">
        <v>296</v>
      </c>
      <c r="G92" s="10"/>
    </row>
    <row r="93" spans="2:7" ht="15" customHeight="1">
      <c r="B93" s="17" t="s">
        <v>652</v>
      </c>
      <c r="C93" s="35" t="s">
        <v>653</v>
      </c>
      <c r="D93" s="17" t="s">
        <v>9</v>
      </c>
      <c r="E93" s="17" t="s">
        <v>265</v>
      </c>
      <c r="F93" s="19" t="s">
        <v>10</v>
      </c>
      <c r="G93" s="10"/>
    </row>
    <row r="94" spans="2:7" ht="15" customHeight="1">
      <c r="B94" s="17" t="s">
        <v>326</v>
      </c>
      <c r="C94" s="35" t="s">
        <v>327</v>
      </c>
      <c r="D94" s="17" t="s">
        <v>300</v>
      </c>
      <c r="E94" s="17" t="s">
        <v>330</v>
      </c>
      <c r="F94" s="19" t="s">
        <v>10</v>
      </c>
      <c r="G94" s="10" t="s">
        <v>549</v>
      </c>
    </row>
    <row r="95" spans="2:7" ht="15" customHeight="1">
      <c r="B95" s="17" t="s">
        <v>654</v>
      </c>
      <c r="C95" s="35" t="s">
        <v>655</v>
      </c>
      <c r="D95" s="17" t="s">
        <v>420</v>
      </c>
      <c r="E95" s="17" t="s">
        <v>436</v>
      </c>
      <c r="F95" s="19" t="s">
        <v>296</v>
      </c>
      <c r="G95" s="10"/>
    </row>
    <row r="96" spans="2:7" ht="15" customHeight="1">
      <c r="B96" s="17" t="s">
        <v>351</v>
      </c>
      <c r="C96" s="35" t="s">
        <v>352</v>
      </c>
      <c r="D96" s="17" t="s">
        <v>300</v>
      </c>
      <c r="E96" s="17" t="s">
        <v>349</v>
      </c>
      <c r="F96" s="19" t="s">
        <v>10</v>
      </c>
      <c r="G96" s="10"/>
    </row>
    <row r="97" spans="2:7" ht="15" customHeight="1">
      <c r="B97" s="17" t="s">
        <v>304</v>
      </c>
      <c r="C97" s="35" t="s">
        <v>305</v>
      </c>
      <c r="D97" s="17" t="s">
        <v>300</v>
      </c>
      <c r="E97" s="17" t="s">
        <v>656</v>
      </c>
      <c r="F97" s="19" t="s">
        <v>10</v>
      </c>
      <c r="G97" s="10"/>
    </row>
    <row r="98" spans="2:7" ht="15" customHeight="1">
      <c r="B98" s="17" t="s">
        <v>657</v>
      </c>
      <c r="C98" s="35" t="s">
        <v>658</v>
      </c>
      <c r="D98" s="17" t="s">
        <v>450</v>
      </c>
      <c r="E98" s="17" t="s">
        <v>454</v>
      </c>
      <c r="F98" s="19" t="s">
        <v>296</v>
      </c>
      <c r="G98" s="10" t="s">
        <v>549</v>
      </c>
    </row>
    <row r="99" spans="2:7" ht="15" customHeight="1">
      <c r="B99" s="17" t="s">
        <v>659</v>
      </c>
      <c r="C99" s="35" t="s">
        <v>660</v>
      </c>
      <c r="D99" s="17" t="s">
        <v>300</v>
      </c>
      <c r="E99" s="17" t="s">
        <v>556</v>
      </c>
      <c r="F99" s="19" t="s">
        <v>296</v>
      </c>
      <c r="G99" s="10"/>
    </row>
    <row r="100" spans="2:7" ht="15" customHeight="1">
      <c r="B100" s="17" t="s">
        <v>59</v>
      </c>
      <c r="C100" s="35" t="s">
        <v>60</v>
      </c>
      <c r="D100" s="17" t="s">
        <v>9</v>
      </c>
      <c r="E100" s="17" t="s">
        <v>61</v>
      </c>
      <c r="F100" s="19" t="s">
        <v>10</v>
      </c>
      <c r="G100" s="10"/>
    </row>
    <row r="101" spans="2:7" ht="15" customHeight="1">
      <c r="B101" s="66" t="s">
        <v>661</v>
      </c>
      <c r="C101" s="67"/>
      <c r="D101" s="17"/>
      <c r="E101" s="17"/>
      <c r="F101" s="19"/>
      <c r="G101" s="10"/>
    </row>
    <row r="102" spans="2:7" ht="15" customHeight="1">
      <c r="B102" s="17" t="s">
        <v>30</v>
      </c>
      <c r="C102" s="35" t="s">
        <v>31</v>
      </c>
      <c r="D102" s="17" t="s">
        <v>9</v>
      </c>
      <c r="E102" s="17" t="s">
        <v>32</v>
      </c>
      <c r="F102" s="19" t="s">
        <v>10</v>
      </c>
      <c r="G102" s="10" t="s">
        <v>560</v>
      </c>
    </row>
    <row r="103" spans="2:7" ht="15" customHeight="1">
      <c r="B103" s="66" t="s">
        <v>662</v>
      </c>
      <c r="C103" s="67"/>
      <c r="D103" s="17"/>
      <c r="E103" s="17"/>
      <c r="F103" s="19"/>
      <c r="G103" s="10"/>
    </row>
    <row r="104" spans="2:7" ht="15" customHeight="1">
      <c r="B104" s="17" t="s">
        <v>131</v>
      </c>
      <c r="C104" s="35" t="s">
        <v>132</v>
      </c>
      <c r="D104" s="17" t="s">
        <v>9</v>
      </c>
      <c r="E104" s="17" t="s">
        <v>123</v>
      </c>
      <c r="F104" s="19" t="s">
        <v>10</v>
      </c>
      <c r="G104" s="10"/>
    </row>
    <row r="105" spans="2:7" ht="15" customHeight="1">
      <c r="B105" s="17" t="s">
        <v>86</v>
      </c>
      <c r="C105" s="35" t="s">
        <v>87</v>
      </c>
      <c r="D105" s="17" t="s">
        <v>9</v>
      </c>
      <c r="E105" s="17" t="s">
        <v>100</v>
      </c>
      <c r="F105" s="19" t="s">
        <v>10</v>
      </c>
      <c r="G105" s="10"/>
    </row>
    <row r="106" spans="2:7" ht="15" customHeight="1">
      <c r="B106" s="17" t="s">
        <v>157</v>
      </c>
      <c r="C106" s="35" t="s">
        <v>158</v>
      </c>
      <c r="D106" s="17" t="s">
        <v>9</v>
      </c>
      <c r="E106" s="17" t="s">
        <v>123</v>
      </c>
      <c r="F106" s="19" t="s">
        <v>10</v>
      </c>
      <c r="G106" s="10"/>
    </row>
    <row r="107" spans="2:7" ht="15" customHeight="1">
      <c r="B107" s="17" t="s">
        <v>663</v>
      </c>
      <c r="C107" s="35" t="s">
        <v>664</v>
      </c>
      <c r="D107" s="17" t="s">
        <v>456</v>
      </c>
      <c r="E107" s="17" t="s">
        <v>482</v>
      </c>
      <c r="F107" s="19" t="s">
        <v>296</v>
      </c>
      <c r="G107" s="10"/>
    </row>
    <row r="108" spans="2:7" ht="15" customHeight="1">
      <c r="B108" s="17" t="s">
        <v>345</v>
      </c>
      <c r="C108" s="35" t="s">
        <v>346</v>
      </c>
      <c r="D108" s="17" t="s">
        <v>300</v>
      </c>
      <c r="E108" s="17" t="s">
        <v>349</v>
      </c>
      <c r="F108" s="19" t="s">
        <v>10</v>
      </c>
      <c r="G108" s="10"/>
    </row>
    <row r="109" spans="2:7" ht="15" customHeight="1">
      <c r="B109" s="17" t="s">
        <v>665</v>
      </c>
      <c r="C109" s="35" t="s">
        <v>666</v>
      </c>
      <c r="D109" s="17" t="s">
        <v>456</v>
      </c>
      <c r="E109" s="17" t="s">
        <v>118</v>
      </c>
      <c r="F109" s="19" t="s">
        <v>10</v>
      </c>
      <c r="G109" s="10"/>
    </row>
    <row r="110" spans="2:7" ht="15" customHeight="1">
      <c r="B110" s="17" t="s">
        <v>179</v>
      </c>
      <c r="C110" s="35" t="s">
        <v>180</v>
      </c>
      <c r="D110" s="17" t="s">
        <v>9</v>
      </c>
      <c r="E110" s="17" t="s">
        <v>123</v>
      </c>
      <c r="F110" s="19" t="s">
        <v>10</v>
      </c>
      <c r="G110" s="10" t="s">
        <v>560</v>
      </c>
    </row>
    <row r="111" spans="2:7" ht="15" customHeight="1">
      <c r="B111" s="17" t="s">
        <v>667</v>
      </c>
      <c r="C111" s="35" t="s">
        <v>668</v>
      </c>
      <c r="D111" s="17" t="s">
        <v>300</v>
      </c>
      <c r="E111" s="17" t="s">
        <v>556</v>
      </c>
      <c r="F111" s="19" t="s">
        <v>296</v>
      </c>
      <c r="G111" s="10" t="s">
        <v>549</v>
      </c>
    </row>
    <row r="112" spans="2:7" ht="15" customHeight="1">
      <c r="B112" s="17" t="s">
        <v>669</v>
      </c>
      <c r="C112" s="35" t="s">
        <v>386</v>
      </c>
      <c r="D112" s="17" t="s">
        <v>300</v>
      </c>
      <c r="E112" s="17" t="s">
        <v>670</v>
      </c>
      <c r="F112" s="19" t="s">
        <v>296</v>
      </c>
      <c r="G112" s="10"/>
    </row>
    <row r="113" spans="2:7" ht="15" customHeight="1">
      <c r="B113" s="17" t="s">
        <v>310</v>
      </c>
      <c r="C113" s="35" t="s">
        <v>311</v>
      </c>
      <c r="D113" s="17" t="s">
        <v>300</v>
      </c>
      <c r="E113" s="17" t="s">
        <v>309</v>
      </c>
      <c r="F113" s="19" t="s">
        <v>10</v>
      </c>
      <c r="G113" s="10"/>
    </row>
    <row r="114" spans="2:7" ht="15" customHeight="1">
      <c r="B114" s="17" t="s">
        <v>671</v>
      </c>
      <c r="C114" s="35" t="s">
        <v>672</v>
      </c>
      <c r="D114" s="17" t="s">
        <v>300</v>
      </c>
      <c r="E114" s="17" t="s">
        <v>400</v>
      </c>
      <c r="F114" s="19" t="s">
        <v>296</v>
      </c>
      <c r="G114" s="10" t="s">
        <v>553</v>
      </c>
    </row>
    <row r="115" spans="2:7" ht="15" customHeight="1">
      <c r="B115" s="17" t="s">
        <v>673</v>
      </c>
      <c r="C115" s="35" t="s">
        <v>674</v>
      </c>
      <c r="D115" s="17" t="s">
        <v>9</v>
      </c>
      <c r="E115" s="17" t="s">
        <v>265</v>
      </c>
      <c r="F115" s="19" t="s">
        <v>10</v>
      </c>
      <c r="G115" s="10"/>
    </row>
    <row r="116" spans="2:7" ht="15" customHeight="1">
      <c r="B116" s="17" t="s">
        <v>675</v>
      </c>
      <c r="C116" s="35" t="s">
        <v>432</v>
      </c>
      <c r="D116" s="17" t="s">
        <v>420</v>
      </c>
      <c r="E116" s="17" t="s">
        <v>439</v>
      </c>
      <c r="F116" s="19" t="s">
        <v>296</v>
      </c>
      <c r="G116" s="10" t="s">
        <v>549</v>
      </c>
    </row>
    <row r="117" spans="2:7" ht="15" customHeight="1">
      <c r="B117" s="17" t="s">
        <v>676</v>
      </c>
      <c r="C117" s="35" t="s">
        <v>677</v>
      </c>
      <c r="D117" s="17" t="s">
        <v>9</v>
      </c>
      <c r="E117" s="17" t="s">
        <v>265</v>
      </c>
      <c r="F117" s="19" t="s">
        <v>10</v>
      </c>
      <c r="G117" s="10"/>
    </row>
    <row r="118" spans="2:7" ht="15" customHeight="1">
      <c r="B118" s="17" t="s">
        <v>678</v>
      </c>
      <c r="C118" s="35" t="s">
        <v>679</v>
      </c>
      <c r="D118" s="17" t="s">
        <v>420</v>
      </c>
      <c r="E118" s="17" t="s">
        <v>439</v>
      </c>
      <c r="F118" s="19" t="s">
        <v>296</v>
      </c>
      <c r="G118" s="10"/>
    </row>
    <row r="119" spans="2:7" ht="15" customHeight="1">
      <c r="B119" s="66" t="s">
        <v>680</v>
      </c>
      <c r="C119" s="67"/>
      <c r="D119" s="17"/>
      <c r="E119" s="17"/>
      <c r="F119" s="19"/>
      <c r="G119" s="10"/>
    </row>
    <row r="120" spans="2:7" ht="15" customHeight="1">
      <c r="B120" s="17" t="s">
        <v>681</v>
      </c>
      <c r="C120" s="35" t="s">
        <v>682</v>
      </c>
      <c r="D120" s="17" t="s">
        <v>456</v>
      </c>
      <c r="E120" s="17" t="s">
        <v>261</v>
      </c>
      <c r="F120" s="19" t="s">
        <v>10</v>
      </c>
      <c r="G120" s="10"/>
    </row>
    <row r="121" spans="2:7" ht="15" customHeight="1">
      <c r="B121" s="17" t="s">
        <v>683</v>
      </c>
      <c r="C121" s="35" t="s">
        <v>684</v>
      </c>
      <c r="D121" s="17" t="s">
        <v>456</v>
      </c>
      <c r="E121" s="17" t="s">
        <v>118</v>
      </c>
      <c r="F121" s="19" t="s">
        <v>10</v>
      </c>
      <c r="G121" s="10" t="s">
        <v>549</v>
      </c>
    </row>
    <row r="122" spans="2:7" ht="15" customHeight="1">
      <c r="B122" s="17" t="s">
        <v>685</v>
      </c>
      <c r="C122" s="35" t="s">
        <v>686</v>
      </c>
      <c r="D122" s="17" t="s">
        <v>420</v>
      </c>
      <c r="E122" s="17" t="s">
        <v>439</v>
      </c>
      <c r="F122" s="19" t="s">
        <v>296</v>
      </c>
      <c r="G122" s="10"/>
    </row>
    <row r="123" spans="2:7" ht="15" customHeight="1">
      <c r="B123" s="17" t="s">
        <v>145</v>
      </c>
      <c r="C123" s="35" t="s">
        <v>146</v>
      </c>
      <c r="D123" s="17" t="s">
        <v>9</v>
      </c>
      <c r="E123" s="17" t="s">
        <v>123</v>
      </c>
      <c r="F123" s="19" t="s">
        <v>10</v>
      </c>
      <c r="G123" s="10"/>
    </row>
    <row r="124" spans="2:7" ht="15" customHeight="1">
      <c r="B124" s="17" t="s">
        <v>687</v>
      </c>
      <c r="C124" s="35" t="s">
        <v>688</v>
      </c>
      <c r="D124" s="17" t="s">
        <v>9</v>
      </c>
      <c r="E124" s="17" t="s">
        <v>292</v>
      </c>
      <c r="F124" s="19" t="s">
        <v>10</v>
      </c>
      <c r="G124" s="10" t="s">
        <v>553</v>
      </c>
    </row>
    <row r="125" spans="2:7" ht="15" customHeight="1">
      <c r="B125" s="17" t="s">
        <v>689</v>
      </c>
      <c r="C125" s="35" t="s">
        <v>690</v>
      </c>
      <c r="D125" s="17" t="s">
        <v>300</v>
      </c>
      <c r="E125" s="17" t="s">
        <v>355</v>
      </c>
      <c r="F125" s="19" t="s">
        <v>10</v>
      </c>
      <c r="G125" s="10"/>
    </row>
    <row r="126" spans="2:7" ht="15" customHeight="1">
      <c r="B126" s="17" t="s">
        <v>336</v>
      </c>
      <c r="C126" s="35" t="s">
        <v>337</v>
      </c>
      <c r="D126" s="17" t="s">
        <v>300</v>
      </c>
      <c r="E126" s="17" t="s">
        <v>330</v>
      </c>
      <c r="F126" s="19" t="s">
        <v>10</v>
      </c>
      <c r="G126" s="10"/>
    </row>
    <row r="127" spans="2:7" ht="15" customHeight="1">
      <c r="B127" s="17" t="s">
        <v>691</v>
      </c>
      <c r="C127" s="35" t="s">
        <v>692</v>
      </c>
      <c r="D127" s="17" t="s">
        <v>9</v>
      </c>
      <c r="E127" s="17" t="s">
        <v>123</v>
      </c>
      <c r="F127" s="19" t="s">
        <v>10</v>
      </c>
      <c r="G127" s="10"/>
    </row>
    <row r="128" spans="2:7" ht="15" customHeight="1">
      <c r="B128" s="17" t="s">
        <v>693</v>
      </c>
      <c r="C128" s="35" t="s">
        <v>361</v>
      </c>
      <c r="D128" s="17" t="s">
        <v>300</v>
      </c>
      <c r="E128" s="17" t="s">
        <v>400</v>
      </c>
      <c r="F128" s="19" t="s">
        <v>296</v>
      </c>
      <c r="G128" s="10" t="s">
        <v>549</v>
      </c>
    </row>
    <row r="129" spans="2:7" ht="15" customHeight="1">
      <c r="B129" s="17" t="s">
        <v>425</v>
      </c>
      <c r="C129" s="35" t="s">
        <v>426</v>
      </c>
      <c r="D129" s="17" t="s">
        <v>420</v>
      </c>
      <c r="E129" s="17" t="s">
        <v>439</v>
      </c>
      <c r="F129" s="19" t="s">
        <v>296</v>
      </c>
      <c r="G129" s="10"/>
    </row>
    <row r="130" spans="2:7" ht="15" customHeight="1">
      <c r="B130" s="17" t="s">
        <v>270</v>
      </c>
      <c r="C130" s="35" t="s">
        <v>271</v>
      </c>
      <c r="D130" s="17" t="s">
        <v>9</v>
      </c>
      <c r="E130" s="17" t="s">
        <v>265</v>
      </c>
      <c r="F130" s="19" t="s">
        <v>10</v>
      </c>
      <c r="G130" s="10"/>
    </row>
    <row r="131" spans="2:7" ht="15" customHeight="1">
      <c r="B131" s="66" t="s">
        <v>694</v>
      </c>
      <c r="C131" s="67"/>
      <c r="D131" s="17"/>
      <c r="E131" s="17"/>
      <c r="F131" s="19"/>
      <c r="G131" s="10"/>
    </row>
    <row r="132" spans="2:7" ht="15" customHeight="1">
      <c r="B132" s="17" t="s">
        <v>469</v>
      </c>
      <c r="C132" s="35" t="s">
        <v>236</v>
      </c>
      <c r="D132" s="17" t="s">
        <v>456</v>
      </c>
      <c r="E132" s="17" t="s">
        <v>470</v>
      </c>
      <c r="F132" s="19" t="s">
        <v>10</v>
      </c>
      <c r="G132" s="10"/>
    </row>
    <row r="133" spans="2:7" ht="15" customHeight="1">
      <c r="B133" s="17" t="s">
        <v>695</v>
      </c>
      <c r="C133" s="35" t="s">
        <v>696</v>
      </c>
      <c r="D133" s="17" t="s">
        <v>9</v>
      </c>
      <c r="E133" s="17" t="s">
        <v>123</v>
      </c>
      <c r="F133" s="19" t="s">
        <v>10</v>
      </c>
      <c r="G133" s="10"/>
    </row>
    <row r="134" spans="2:7" ht="15" customHeight="1">
      <c r="B134" s="17" t="s">
        <v>697</v>
      </c>
      <c r="C134" s="35" t="s">
        <v>698</v>
      </c>
      <c r="D134" s="17" t="s">
        <v>300</v>
      </c>
      <c r="E134" s="17" t="s">
        <v>556</v>
      </c>
      <c r="F134" s="19" t="s">
        <v>296</v>
      </c>
      <c r="G134" s="10"/>
    </row>
    <row r="135" spans="2:7" ht="15" customHeight="1">
      <c r="B135" s="17" t="s">
        <v>699</v>
      </c>
      <c r="C135" s="35" t="s">
        <v>700</v>
      </c>
      <c r="D135" s="17" t="s">
        <v>456</v>
      </c>
      <c r="E135" s="17" t="s">
        <v>482</v>
      </c>
      <c r="F135" s="19" t="s">
        <v>296</v>
      </c>
      <c r="G135" s="10"/>
    </row>
    <row r="136" spans="2:7" ht="15" customHeight="1">
      <c r="B136" s="17" t="s">
        <v>293</v>
      </c>
      <c r="C136" s="35" t="s">
        <v>294</v>
      </c>
      <c r="D136" s="17" t="s">
        <v>9</v>
      </c>
      <c r="E136" s="17" t="s">
        <v>295</v>
      </c>
      <c r="F136" s="19" t="s">
        <v>10</v>
      </c>
      <c r="G136" s="10"/>
    </row>
    <row r="137" spans="2:7" ht="15" customHeight="1">
      <c r="B137" s="17" t="s">
        <v>187</v>
      </c>
      <c r="C137" s="35" t="s">
        <v>188</v>
      </c>
      <c r="D137" s="17" t="s">
        <v>9</v>
      </c>
      <c r="E137" s="17" t="s">
        <v>123</v>
      </c>
      <c r="F137" s="19" t="s">
        <v>10</v>
      </c>
      <c r="G137" s="10" t="s">
        <v>553</v>
      </c>
    </row>
    <row r="138" spans="2:7" ht="15" customHeight="1">
      <c r="B138" s="17" t="s">
        <v>124</v>
      </c>
      <c r="C138" s="35" t="s">
        <v>125</v>
      </c>
      <c r="D138" s="17" t="s">
        <v>9</v>
      </c>
      <c r="E138" s="17" t="s">
        <v>123</v>
      </c>
      <c r="F138" s="19" t="s">
        <v>10</v>
      </c>
      <c r="G138" s="10" t="s">
        <v>560</v>
      </c>
    </row>
    <row r="139" spans="2:7" ht="15" customHeight="1">
      <c r="B139" s="17" t="s">
        <v>323</v>
      </c>
      <c r="C139" s="35" t="s">
        <v>324</v>
      </c>
      <c r="D139" s="17" t="s">
        <v>300</v>
      </c>
      <c r="E139" s="17" t="s">
        <v>325</v>
      </c>
      <c r="F139" s="19" t="s">
        <v>10</v>
      </c>
      <c r="G139" s="10"/>
    </row>
    <row r="140" spans="2:7" ht="15" customHeight="1">
      <c r="B140" s="17" t="s">
        <v>317</v>
      </c>
      <c r="C140" s="35" t="s">
        <v>318</v>
      </c>
      <c r="D140" s="17" t="s">
        <v>300</v>
      </c>
      <c r="E140" s="17" t="s">
        <v>316</v>
      </c>
      <c r="F140" s="19" t="s">
        <v>10</v>
      </c>
      <c r="G140" s="10"/>
    </row>
    <row r="141" spans="2:7" ht="15" customHeight="1">
      <c r="B141" s="17" t="s">
        <v>701</v>
      </c>
      <c r="C141" s="35" t="s">
        <v>702</v>
      </c>
      <c r="D141" s="17" t="s">
        <v>420</v>
      </c>
      <c r="E141" s="17" t="s">
        <v>429</v>
      </c>
      <c r="F141" s="19" t="s">
        <v>10</v>
      </c>
      <c r="G141" s="10" t="s">
        <v>549</v>
      </c>
    </row>
    <row r="142" spans="2:7" ht="15" customHeight="1">
      <c r="B142" s="17" t="s">
        <v>703</v>
      </c>
      <c r="C142" s="35" t="s">
        <v>704</v>
      </c>
      <c r="D142" s="17" t="s">
        <v>9</v>
      </c>
      <c r="E142" s="17" t="s">
        <v>64</v>
      </c>
      <c r="F142" s="19" t="s">
        <v>10</v>
      </c>
      <c r="G142" s="10" t="s">
        <v>560</v>
      </c>
    </row>
    <row r="143" spans="2:7" ht="15" customHeight="1">
      <c r="B143" s="17" t="s">
        <v>538</v>
      </c>
      <c r="C143" s="35" t="s">
        <v>539</v>
      </c>
      <c r="D143" s="17" t="s">
        <v>483</v>
      </c>
      <c r="E143" s="17" t="s">
        <v>497</v>
      </c>
      <c r="F143" s="19" t="s">
        <v>10</v>
      </c>
      <c r="G143" s="10"/>
    </row>
    <row r="144" spans="2:7" ht="15" customHeight="1">
      <c r="B144" s="17" t="s">
        <v>328</v>
      </c>
      <c r="C144" s="35" t="s">
        <v>329</v>
      </c>
      <c r="D144" s="17" t="s">
        <v>300</v>
      </c>
      <c r="E144" s="17" t="s">
        <v>330</v>
      </c>
      <c r="F144" s="19" t="s">
        <v>10</v>
      </c>
      <c r="G144" s="10"/>
    </row>
    <row r="145" spans="2:7" ht="15" customHeight="1">
      <c r="B145" s="17" t="s">
        <v>705</v>
      </c>
      <c r="C145" s="35" t="s">
        <v>706</v>
      </c>
      <c r="D145" s="17" t="s">
        <v>300</v>
      </c>
      <c r="E145" s="17" t="s">
        <v>556</v>
      </c>
      <c r="F145" s="19" t="s">
        <v>296</v>
      </c>
      <c r="G145" s="10"/>
    </row>
    <row r="146" spans="2:7" ht="15" customHeight="1">
      <c r="B146" s="17" t="s">
        <v>707</v>
      </c>
      <c r="C146" s="35" t="s">
        <v>382</v>
      </c>
      <c r="D146" s="17" t="s">
        <v>300</v>
      </c>
      <c r="E146" s="17" t="s">
        <v>556</v>
      </c>
      <c r="F146" s="19" t="s">
        <v>296</v>
      </c>
      <c r="G146" s="10" t="s">
        <v>549</v>
      </c>
    </row>
    <row r="147" spans="2:7" ht="15" customHeight="1">
      <c r="B147" s="17" t="s">
        <v>708</v>
      </c>
      <c r="C147" s="35" t="s">
        <v>709</v>
      </c>
      <c r="D147" s="17" t="s">
        <v>9</v>
      </c>
      <c r="E147" s="17" t="s">
        <v>64</v>
      </c>
      <c r="F147" s="19" t="s">
        <v>10</v>
      </c>
      <c r="G147" s="10"/>
    </row>
    <row r="148" spans="2:7" ht="15" customHeight="1">
      <c r="B148" s="66" t="s">
        <v>710</v>
      </c>
      <c r="C148" s="67"/>
      <c r="D148" s="17"/>
      <c r="E148" s="17"/>
      <c r="F148" s="19"/>
      <c r="G148" s="10"/>
    </row>
    <row r="149" spans="2:7" ht="15" customHeight="1">
      <c r="B149" s="17" t="s">
        <v>711</v>
      </c>
      <c r="C149" s="35" t="s">
        <v>712</v>
      </c>
      <c r="D149" s="17" t="s">
        <v>300</v>
      </c>
      <c r="E149" s="17" t="s">
        <v>556</v>
      </c>
      <c r="F149" s="19" t="s">
        <v>296</v>
      </c>
      <c r="G149" s="10"/>
    </row>
    <row r="150" spans="2:7" ht="15" customHeight="1">
      <c r="B150" s="17" t="s">
        <v>503</v>
      </c>
      <c r="C150" s="35" t="s">
        <v>504</v>
      </c>
      <c r="D150" s="17" t="s">
        <v>483</v>
      </c>
      <c r="E150" s="17" t="s">
        <v>497</v>
      </c>
      <c r="F150" s="19" t="s">
        <v>10</v>
      </c>
      <c r="G150" s="10" t="s">
        <v>549</v>
      </c>
    </row>
    <row r="151" spans="2:7" ht="15" customHeight="1">
      <c r="B151" s="66" t="s">
        <v>713</v>
      </c>
      <c r="C151" s="67"/>
      <c r="D151" s="17"/>
      <c r="E151" s="17"/>
      <c r="F151" s="19"/>
      <c r="G151" s="10"/>
    </row>
    <row r="152" spans="2:7" ht="15" customHeight="1">
      <c r="B152" s="17" t="s">
        <v>80</v>
      </c>
      <c r="C152" s="35" t="s">
        <v>81</v>
      </c>
      <c r="D152" s="17" t="s">
        <v>9</v>
      </c>
      <c r="E152" s="17" t="s">
        <v>67</v>
      </c>
      <c r="F152" s="19" t="s">
        <v>10</v>
      </c>
      <c r="G152" s="10"/>
    </row>
    <row r="153" spans="2:7" ht="15" customHeight="1">
      <c r="B153" s="17" t="s">
        <v>306</v>
      </c>
      <c r="C153" s="35" t="s">
        <v>307</v>
      </c>
      <c r="D153" s="17" t="s">
        <v>300</v>
      </c>
      <c r="E153" s="17" t="s">
        <v>308</v>
      </c>
      <c r="F153" s="19" t="s">
        <v>10</v>
      </c>
      <c r="G153" s="10"/>
    </row>
    <row r="154" spans="2:7" ht="15" customHeight="1">
      <c r="B154" s="17" t="s">
        <v>714</v>
      </c>
      <c r="C154" s="35" t="s">
        <v>715</v>
      </c>
      <c r="D154" s="17" t="s">
        <v>415</v>
      </c>
      <c r="E154" s="17" t="s">
        <v>414</v>
      </c>
      <c r="F154" s="19" t="s">
        <v>296</v>
      </c>
      <c r="G154" s="10"/>
    </row>
    <row r="155" spans="2:7" ht="15" customHeight="1">
      <c r="B155" s="17" t="s">
        <v>463</v>
      </c>
      <c r="C155" s="35" t="s">
        <v>464</v>
      </c>
      <c r="D155" s="17" t="s">
        <v>456</v>
      </c>
      <c r="E155" s="17" t="s">
        <v>261</v>
      </c>
      <c r="F155" s="19" t="s">
        <v>10</v>
      </c>
      <c r="G155" s="10" t="s">
        <v>560</v>
      </c>
    </row>
    <row r="156" spans="2:7" ht="15" customHeight="1">
      <c r="B156" s="66" t="s">
        <v>716</v>
      </c>
      <c r="C156" s="67"/>
      <c r="D156" s="17"/>
      <c r="E156" s="17"/>
      <c r="F156" s="19"/>
      <c r="G156" s="10"/>
    </row>
    <row r="157" spans="2:7" ht="15" customHeight="1">
      <c r="B157" s="17" t="s">
        <v>126</v>
      </c>
      <c r="C157" s="35" t="s">
        <v>127</v>
      </c>
      <c r="D157" s="17" t="s">
        <v>9</v>
      </c>
      <c r="E157" s="17" t="s">
        <v>123</v>
      </c>
      <c r="F157" s="19" t="s">
        <v>10</v>
      </c>
      <c r="G157" s="10" t="s">
        <v>553</v>
      </c>
    </row>
    <row r="158" spans="2:7" ht="15" customHeight="1">
      <c r="B158" s="17" t="s">
        <v>248</v>
      </c>
      <c r="C158" s="35" t="s">
        <v>249</v>
      </c>
      <c r="D158" s="17" t="s">
        <v>9</v>
      </c>
      <c r="E158" s="17" t="s">
        <v>576</v>
      </c>
      <c r="F158" s="19" t="s">
        <v>10</v>
      </c>
      <c r="G158" s="10" t="s">
        <v>560</v>
      </c>
    </row>
    <row r="159" spans="2:7" ht="15" customHeight="1">
      <c r="B159" s="17" t="s">
        <v>717</v>
      </c>
      <c r="C159" s="35" t="s">
        <v>718</v>
      </c>
      <c r="D159" s="17" t="s">
        <v>420</v>
      </c>
      <c r="E159" s="17" t="s">
        <v>439</v>
      </c>
      <c r="F159" s="19" t="s">
        <v>296</v>
      </c>
      <c r="G159" s="10"/>
    </row>
    <row r="160" spans="2:7" ht="15" customHeight="1">
      <c r="B160" s="17" t="s">
        <v>719</v>
      </c>
      <c r="C160" s="35" t="s">
        <v>720</v>
      </c>
      <c r="D160" s="17" t="s">
        <v>9</v>
      </c>
      <c r="E160" s="17" t="s">
        <v>123</v>
      </c>
      <c r="F160" s="19" t="s">
        <v>10</v>
      </c>
      <c r="G160" s="10"/>
    </row>
    <row r="161" spans="2:7" ht="15" customHeight="1">
      <c r="B161" s="17" t="s">
        <v>721</v>
      </c>
      <c r="C161" s="35" t="s">
        <v>722</v>
      </c>
      <c r="D161" s="17" t="s">
        <v>300</v>
      </c>
      <c r="E161" s="17" t="s">
        <v>400</v>
      </c>
      <c r="F161" s="19" t="s">
        <v>296</v>
      </c>
      <c r="G161" s="10" t="s">
        <v>553</v>
      </c>
    </row>
    <row r="162" spans="2:7" ht="15" customHeight="1">
      <c r="B162" s="17" t="s">
        <v>723</v>
      </c>
      <c r="C162" s="35" t="s">
        <v>724</v>
      </c>
      <c r="D162" s="17" t="s">
        <v>483</v>
      </c>
      <c r="E162" s="17" t="s">
        <v>497</v>
      </c>
      <c r="F162" s="19" t="s">
        <v>10</v>
      </c>
      <c r="G162" s="10"/>
    </row>
    <row r="163" spans="2:7" ht="15" customHeight="1">
      <c r="B163" s="17" t="s">
        <v>367</v>
      </c>
      <c r="C163" s="35" t="s">
        <v>368</v>
      </c>
      <c r="D163" s="17" t="s">
        <v>300</v>
      </c>
      <c r="E163" s="17" t="s">
        <v>369</v>
      </c>
      <c r="F163" s="19" t="s">
        <v>10</v>
      </c>
      <c r="G163" s="10" t="s">
        <v>549</v>
      </c>
    </row>
    <row r="164" spans="2:7" ht="15" customHeight="1">
      <c r="B164" s="17" t="s">
        <v>725</v>
      </c>
      <c r="C164" s="35" t="s">
        <v>726</v>
      </c>
      <c r="D164" s="17" t="s">
        <v>483</v>
      </c>
      <c r="E164" s="17" t="s">
        <v>497</v>
      </c>
      <c r="F164" s="19" t="s">
        <v>10</v>
      </c>
      <c r="G164" s="10"/>
    </row>
    <row r="165" spans="2:7" ht="15" customHeight="1">
      <c r="B165" s="17" t="s">
        <v>407</v>
      </c>
      <c r="C165" s="35" t="s">
        <v>408</v>
      </c>
      <c r="D165" s="17" t="s">
        <v>415</v>
      </c>
      <c r="E165" s="17" t="s">
        <v>409</v>
      </c>
      <c r="F165" s="19" t="s">
        <v>10</v>
      </c>
      <c r="G165" s="10"/>
    </row>
    <row r="166" spans="2:7" ht="15" customHeight="1">
      <c r="B166" s="17" t="s">
        <v>459</v>
      </c>
      <c r="C166" s="35" t="s">
        <v>460</v>
      </c>
      <c r="D166" s="17" t="s">
        <v>456</v>
      </c>
      <c r="E166" s="17" t="s">
        <v>118</v>
      </c>
      <c r="F166" s="19" t="s">
        <v>10</v>
      </c>
      <c r="G166" s="10"/>
    </row>
    <row r="167" spans="2:7" ht="15" customHeight="1">
      <c r="B167" s="17" t="s">
        <v>727</v>
      </c>
      <c r="C167" s="35" t="s">
        <v>427</v>
      </c>
      <c r="D167" s="17" t="s">
        <v>420</v>
      </c>
      <c r="E167" s="17" t="s">
        <v>428</v>
      </c>
      <c r="F167" s="19" t="s">
        <v>10</v>
      </c>
      <c r="G167" s="10"/>
    </row>
    <row r="168" spans="2:7" ht="15" customHeight="1">
      <c r="B168" s="17" t="s">
        <v>465</v>
      </c>
      <c r="C168" s="35" t="s">
        <v>466</v>
      </c>
      <c r="D168" s="17" t="s">
        <v>456</v>
      </c>
      <c r="E168" s="17" t="s">
        <v>330</v>
      </c>
      <c r="F168" s="19" t="s">
        <v>10</v>
      </c>
      <c r="G168" s="10"/>
    </row>
    <row r="169" spans="2:7" ht="15" customHeight="1">
      <c r="B169" s="17" t="s">
        <v>68</v>
      </c>
      <c r="C169" s="35" t="s">
        <v>69</v>
      </c>
      <c r="D169" s="17" t="s">
        <v>9</v>
      </c>
      <c r="E169" s="17" t="s">
        <v>67</v>
      </c>
      <c r="F169" s="19" t="s">
        <v>10</v>
      </c>
      <c r="G169" s="10"/>
    </row>
    <row r="170" spans="2:7" ht="15" customHeight="1">
      <c r="B170" s="17" t="s">
        <v>334</v>
      </c>
      <c r="C170" s="35" t="s">
        <v>335</v>
      </c>
      <c r="D170" s="17" t="s">
        <v>300</v>
      </c>
      <c r="E170" s="17" t="s">
        <v>330</v>
      </c>
      <c r="F170" s="19" t="s">
        <v>10</v>
      </c>
      <c r="G170" s="10"/>
    </row>
    <row r="171" spans="2:7" ht="15" customHeight="1">
      <c r="B171" s="17" t="s">
        <v>728</v>
      </c>
      <c r="C171" s="35" t="s">
        <v>729</v>
      </c>
      <c r="D171" s="17" t="s">
        <v>9</v>
      </c>
      <c r="E171" s="17" t="s">
        <v>730</v>
      </c>
      <c r="F171" s="19" t="s">
        <v>10</v>
      </c>
      <c r="G171" s="10"/>
    </row>
    <row r="172" spans="2:7" ht="15" customHeight="1">
      <c r="B172" s="17" t="s">
        <v>65</v>
      </c>
      <c r="C172" s="35" t="s">
        <v>66</v>
      </c>
      <c r="D172" s="17" t="s">
        <v>9</v>
      </c>
      <c r="E172" s="17" t="s">
        <v>67</v>
      </c>
      <c r="F172" s="19" t="s">
        <v>10</v>
      </c>
      <c r="G172" s="10"/>
    </row>
    <row r="173" spans="2:7" ht="15" customHeight="1">
      <c r="B173" s="17" t="s">
        <v>731</v>
      </c>
      <c r="C173" s="35" t="s">
        <v>732</v>
      </c>
      <c r="D173" s="17" t="s">
        <v>9</v>
      </c>
      <c r="E173" s="17" t="s">
        <v>123</v>
      </c>
      <c r="F173" s="19" t="s">
        <v>10</v>
      </c>
      <c r="G173" s="10"/>
    </row>
    <row r="174" spans="2:7" ht="15" customHeight="1">
      <c r="B174" s="17" t="s">
        <v>421</v>
      </c>
      <c r="C174" s="35" t="s">
        <v>422</v>
      </c>
      <c r="D174" s="17" t="s">
        <v>420</v>
      </c>
      <c r="E174" s="17" t="s">
        <v>423</v>
      </c>
      <c r="F174" s="19" t="s">
        <v>10</v>
      </c>
      <c r="G174" s="10" t="s">
        <v>549</v>
      </c>
    </row>
    <row r="175" spans="2:7" ht="15" customHeight="1">
      <c r="B175" s="17" t="s">
        <v>733</v>
      </c>
      <c r="C175" s="35" t="s">
        <v>734</v>
      </c>
      <c r="D175" s="17" t="s">
        <v>300</v>
      </c>
      <c r="E175" s="17" t="s">
        <v>375</v>
      </c>
      <c r="F175" s="19" t="s">
        <v>10</v>
      </c>
      <c r="G175" s="10"/>
    </row>
    <row r="176" spans="2:7" ht="15" customHeight="1">
      <c r="B176" s="17" t="s">
        <v>735</v>
      </c>
      <c r="C176" s="35" t="s">
        <v>379</v>
      </c>
      <c r="D176" s="17" t="s">
        <v>300</v>
      </c>
      <c r="E176" s="17" t="s">
        <v>400</v>
      </c>
      <c r="F176" s="19" t="s">
        <v>296</v>
      </c>
      <c r="G176" s="10" t="s">
        <v>549</v>
      </c>
    </row>
    <row r="177" spans="2:7" ht="15" customHeight="1">
      <c r="B177" s="17" t="s">
        <v>736</v>
      </c>
      <c r="C177" s="35" t="s">
        <v>737</v>
      </c>
      <c r="D177" s="17" t="s">
        <v>300</v>
      </c>
      <c r="E177" s="17" t="s">
        <v>399</v>
      </c>
      <c r="F177" s="19" t="s">
        <v>296</v>
      </c>
      <c r="G177" s="10" t="s">
        <v>553</v>
      </c>
    </row>
    <row r="178" spans="2:7" ht="15" customHeight="1">
      <c r="B178" s="17" t="s">
        <v>370</v>
      </c>
      <c r="C178" s="35" t="s">
        <v>371</v>
      </c>
      <c r="D178" s="17" t="s">
        <v>300</v>
      </c>
      <c r="E178" s="17" t="s">
        <v>372</v>
      </c>
      <c r="F178" s="19" t="s">
        <v>10</v>
      </c>
      <c r="G178" s="10" t="s">
        <v>553</v>
      </c>
    </row>
    <row r="179" spans="2:7" ht="15" customHeight="1">
      <c r="B179" s="17" t="s">
        <v>738</v>
      </c>
      <c r="C179" s="35" t="s">
        <v>739</v>
      </c>
      <c r="D179" s="17" t="s">
        <v>740</v>
      </c>
      <c r="E179" s="17" t="s">
        <v>741</v>
      </c>
      <c r="F179" s="19" t="s">
        <v>10</v>
      </c>
      <c r="G179" s="10" t="s">
        <v>560</v>
      </c>
    </row>
    <row r="180" spans="2:7" ht="15" customHeight="1">
      <c r="B180" s="17" t="s">
        <v>742</v>
      </c>
      <c r="C180" s="35" t="s">
        <v>743</v>
      </c>
      <c r="D180" s="17" t="s">
        <v>300</v>
      </c>
      <c r="E180" s="17" t="s">
        <v>299</v>
      </c>
      <c r="F180" s="19" t="s">
        <v>296</v>
      </c>
      <c r="G180" s="10"/>
    </row>
    <row r="181" spans="2:7" ht="15" customHeight="1">
      <c r="B181" s="17" t="s">
        <v>473</v>
      </c>
      <c r="C181" s="35" t="s">
        <v>474</v>
      </c>
      <c r="D181" s="17" t="s">
        <v>456</v>
      </c>
      <c r="E181" s="17" t="s">
        <v>470</v>
      </c>
      <c r="F181" s="19" t="s">
        <v>10</v>
      </c>
      <c r="G181" s="10"/>
    </row>
    <row r="182" spans="2:7" ht="15" customHeight="1">
      <c r="B182" s="17" t="s">
        <v>744</v>
      </c>
      <c r="C182" s="35" t="s">
        <v>745</v>
      </c>
      <c r="D182" s="17" t="s">
        <v>415</v>
      </c>
      <c r="E182" s="17" t="s">
        <v>414</v>
      </c>
      <c r="F182" s="19" t="s">
        <v>296</v>
      </c>
      <c r="G182" s="10"/>
    </row>
    <row r="183" spans="2:7" ht="15" customHeight="1">
      <c r="B183" s="17" t="s">
        <v>746</v>
      </c>
      <c r="C183" s="35" t="s">
        <v>747</v>
      </c>
      <c r="D183" s="17" t="s">
        <v>300</v>
      </c>
      <c r="E183" s="17" t="s">
        <v>399</v>
      </c>
      <c r="F183" s="19" t="s">
        <v>296</v>
      </c>
      <c r="G183" s="10"/>
    </row>
    <row r="184" spans="2:7" ht="15" customHeight="1">
      <c r="B184" s="17" t="s">
        <v>748</v>
      </c>
      <c r="C184" s="35" t="s">
        <v>749</v>
      </c>
      <c r="D184" s="17" t="s">
        <v>300</v>
      </c>
      <c r="E184" s="17" t="s">
        <v>316</v>
      </c>
      <c r="F184" s="19" t="s">
        <v>10</v>
      </c>
      <c r="G184" s="10" t="s">
        <v>549</v>
      </c>
    </row>
    <row r="185" spans="2:7" ht="15" customHeight="1">
      <c r="B185" s="17" t="s">
        <v>750</v>
      </c>
      <c r="C185" s="35" t="s">
        <v>751</v>
      </c>
      <c r="D185" s="17" t="s">
        <v>300</v>
      </c>
      <c r="E185" s="17" t="s">
        <v>400</v>
      </c>
      <c r="F185" s="19" t="s">
        <v>296</v>
      </c>
      <c r="G185" s="10"/>
    </row>
    <row r="186" spans="2:7" ht="15" customHeight="1">
      <c r="B186" s="17" t="s">
        <v>752</v>
      </c>
      <c r="C186" s="35" t="s">
        <v>753</v>
      </c>
      <c r="D186" s="17" t="s">
        <v>300</v>
      </c>
      <c r="E186" s="17" t="s">
        <v>299</v>
      </c>
      <c r="F186" s="19" t="s">
        <v>296</v>
      </c>
      <c r="G186" s="10"/>
    </row>
    <row r="187" spans="2:7" ht="15" customHeight="1">
      <c r="B187" s="17" t="s">
        <v>754</v>
      </c>
      <c r="C187" s="35" t="s">
        <v>755</v>
      </c>
      <c r="D187" s="17" t="s">
        <v>300</v>
      </c>
      <c r="E187" s="17" t="s">
        <v>400</v>
      </c>
      <c r="F187" s="19" t="s">
        <v>296</v>
      </c>
      <c r="G187" s="10" t="s">
        <v>549</v>
      </c>
    </row>
    <row r="188" spans="2:7" ht="15" customHeight="1">
      <c r="B188" s="17" t="s">
        <v>756</v>
      </c>
      <c r="C188" s="35" t="s">
        <v>757</v>
      </c>
      <c r="D188" s="17" t="s">
        <v>300</v>
      </c>
      <c r="E188" s="17" t="s">
        <v>394</v>
      </c>
      <c r="F188" s="19" t="s">
        <v>296</v>
      </c>
      <c r="G188" s="10"/>
    </row>
    <row r="189" spans="2:7" ht="15" customHeight="1">
      <c r="B189" s="17" t="s">
        <v>758</v>
      </c>
      <c r="C189" s="35" t="s">
        <v>759</v>
      </c>
      <c r="D189" s="17" t="s">
        <v>456</v>
      </c>
      <c r="E189" s="17" t="s">
        <v>482</v>
      </c>
      <c r="F189" s="19" t="s">
        <v>296</v>
      </c>
      <c r="G189" s="10"/>
    </row>
    <row r="190" spans="2:7" ht="15" customHeight="1">
      <c r="B190" s="17" t="s">
        <v>760</v>
      </c>
      <c r="C190" s="35" t="s">
        <v>761</v>
      </c>
      <c r="D190" s="17" t="s">
        <v>9</v>
      </c>
      <c r="E190" s="17" t="s">
        <v>265</v>
      </c>
      <c r="F190" s="19" t="s">
        <v>10</v>
      </c>
      <c r="G190" s="10"/>
    </row>
    <row r="191" spans="2:7" ht="15" customHeight="1">
      <c r="B191" s="17" t="s">
        <v>762</v>
      </c>
      <c r="C191" s="35" t="s">
        <v>763</v>
      </c>
      <c r="D191" s="17" t="s">
        <v>300</v>
      </c>
      <c r="E191" s="17" t="s">
        <v>377</v>
      </c>
      <c r="F191" s="19" t="s">
        <v>10</v>
      </c>
      <c r="G191" s="10"/>
    </row>
    <row r="192" spans="2:7" ht="15" customHeight="1">
      <c r="B192" s="17" t="s">
        <v>764</v>
      </c>
      <c r="C192" s="35" t="s">
        <v>765</v>
      </c>
      <c r="D192" s="17" t="s">
        <v>300</v>
      </c>
      <c r="E192" s="17" t="s">
        <v>556</v>
      </c>
      <c r="F192" s="19" t="s">
        <v>296</v>
      </c>
      <c r="G192" s="10" t="s">
        <v>549</v>
      </c>
    </row>
    <row r="193" spans="2:7" ht="15" customHeight="1">
      <c r="B193" s="17" t="s">
        <v>44</v>
      </c>
      <c r="C193" s="35" t="s">
        <v>45</v>
      </c>
      <c r="D193" s="17" t="s">
        <v>9</v>
      </c>
      <c r="E193" s="17" t="s">
        <v>35</v>
      </c>
      <c r="F193" s="19" t="s">
        <v>10</v>
      </c>
      <c r="G193" s="10"/>
    </row>
    <row r="194" spans="2:7" ht="15" customHeight="1">
      <c r="B194" s="17" t="s">
        <v>766</v>
      </c>
      <c r="C194" s="35" t="s">
        <v>364</v>
      </c>
      <c r="D194" s="17" t="s">
        <v>300</v>
      </c>
      <c r="E194" s="17" t="s">
        <v>767</v>
      </c>
      <c r="F194" s="19" t="s">
        <v>296</v>
      </c>
      <c r="G194" s="10"/>
    </row>
    <row r="195" spans="2:7" ht="15" customHeight="1">
      <c r="B195" s="17" t="s">
        <v>319</v>
      </c>
      <c r="C195" s="35" t="s">
        <v>320</v>
      </c>
      <c r="D195" s="17" t="s">
        <v>300</v>
      </c>
      <c r="E195" s="17" t="s">
        <v>325</v>
      </c>
      <c r="F195" s="19" t="s">
        <v>10</v>
      </c>
      <c r="G195" s="10"/>
    </row>
    <row r="196" spans="2:7" ht="15" customHeight="1">
      <c r="B196" s="17" t="s">
        <v>768</v>
      </c>
      <c r="C196" s="35" t="s">
        <v>401</v>
      </c>
      <c r="D196" s="17" t="s">
        <v>300</v>
      </c>
      <c r="E196" s="17" t="s">
        <v>299</v>
      </c>
      <c r="F196" s="19" t="s">
        <v>296</v>
      </c>
      <c r="G196" s="10"/>
    </row>
    <row r="197" spans="2:7" ht="15" customHeight="1">
      <c r="B197" s="17" t="s">
        <v>769</v>
      </c>
      <c r="C197" s="35" t="s">
        <v>770</v>
      </c>
      <c r="D197" s="17" t="s">
        <v>300</v>
      </c>
      <c r="E197" s="17" t="s">
        <v>394</v>
      </c>
      <c r="F197" s="19" t="s">
        <v>296</v>
      </c>
      <c r="G197" s="10"/>
    </row>
    <row r="198" spans="2:7" ht="15" customHeight="1">
      <c r="B198" s="17" t="s">
        <v>771</v>
      </c>
      <c r="C198" s="35" t="s">
        <v>772</v>
      </c>
      <c r="D198" s="17" t="s">
        <v>450</v>
      </c>
      <c r="E198" s="17" t="s">
        <v>454</v>
      </c>
      <c r="F198" s="19" t="s">
        <v>296</v>
      </c>
      <c r="G198" s="10"/>
    </row>
    <row r="199" spans="2:7" ht="15" customHeight="1">
      <c r="B199" s="17" t="s">
        <v>498</v>
      </c>
      <c r="C199" s="35" t="s">
        <v>499</v>
      </c>
      <c r="D199" s="17" t="s">
        <v>483</v>
      </c>
      <c r="E199" s="17" t="s">
        <v>497</v>
      </c>
      <c r="F199" s="19" t="s">
        <v>10</v>
      </c>
      <c r="G199" s="10"/>
    </row>
    <row r="200" spans="2:7" ht="15" customHeight="1">
      <c r="B200" s="17" t="s">
        <v>773</v>
      </c>
      <c r="C200" s="35" t="s">
        <v>433</v>
      </c>
      <c r="D200" s="17" t="s">
        <v>420</v>
      </c>
      <c r="E200" s="17" t="s">
        <v>439</v>
      </c>
      <c r="F200" s="19" t="s">
        <v>296</v>
      </c>
      <c r="G200" s="10" t="s">
        <v>553</v>
      </c>
    </row>
    <row r="201" spans="2:7" ht="15" customHeight="1">
      <c r="B201" s="17" t="s">
        <v>167</v>
      </c>
      <c r="C201" s="35" t="s">
        <v>168</v>
      </c>
      <c r="D201" s="17" t="s">
        <v>9</v>
      </c>
      <c r="E201" s="17" t="s">
        <v>123</v>
      </c>
      <c r="F201" s="19" t="s">
        <v>10</v>
      </c>
      <c r="G201" s="10" t="s">
        <v>553</v>
      </c>
    </row>
    <row r="202" spans="2:7" ht="15" customHeight="1">
      <c r="B202" s="66" t="s">
        <v>774</v>
      </c>
      <c r="C202" s="67"/>
      <c r="D202" s="17"/>
      <c r="E202" s="17"/>
      <c r="F202" s="19"/>
      <c r="G202" s="10"/>
    </row>
    <row r="203" spans="2:7" ht="15" customHeight="1">
      <c r="B203" s="17" t="s">
        <v>775</v>
      </c>
      <c r="C203" s="35" t="s">
        <v>776</v>
      </c>
      <c r="D203" s="17" t="s">
        <v>420</v>
      </c>
      <c r="E203" s="17" t="s">
        <v>439</v>
      </c>
      <c r="F203" s="19" t="s">
        <v>296</v>
      </c>
      <c r="G203" s="10" t="s">
        <v>553</v>
      </c>
    </row>
    <row r="204" spans="2:7" ht="15" customHeight="1">
      <c r="B204" s="17" t="s">
        <v>777</v>
      </c>
      <c r="C204" s="35" t="s">
        <v>384</v>
      </c>
      <c r="D204" s="17" t="s">
        <v>300</v>
      </c>
      <c r="E204" s="17" t="s">
        <v>556</v>
      </c>
      <c r="F204" s="19" t="s">
        <v>296</v>
      </c>
      <c r="G204" s="10"/>
    </row>
    <row r="205" spans="2:7" ht="15" customHeight="1">
      <c r="B205" s="17" t="s">
        <v>778</v>
      </c>
      <c r="C205" s="35" t="s">
        <v>779</v>
      </c>
      <c r="D205" s="17" t="s">
        <v>300</v>
      </c>
      <c r="E205" s="17" t="s">
        <v>372</v>
      </c>
      <c r="F205" s="19" t="s">
        <v>10</v>
      </c>
      <c r="G205" s="10"/>
    </row>
    <row r="206" spans="2:7" ht="15" customHeight="1">
      <c r="B206" s="17" t="s">
        <v>780</v>
      </c>
      <c r="C206" s="35" t="s">
        <v>781</v>
      </c>
      <c r="D206" s="17" t="s">
        <v>300</v>
      </c>
      <c r="E206" s="17" t="s">
        <v>355</v>
      </c>
      <c r="F206" s="19" t="s">
        <v>10</v>
      </c>
      <c r="G206" s="10"/>
    </row>
    <row r="207" spans="2:7" ht="15" customHeight="1">
      <c r="B207" s="17" t="s">
        <v>782</v>
      </c>
      <c r="C207" s="35" t="s">
        <v>783</v>
      </c>
      <c r="D207" s="17" t="s">
        <v>300</v>
      </c>
      <c r="E207" s="17" t="s">
        <v>399</v>
      </c>
      <c r="F207" s="19" t="s">
        <v>296</v>
      </c>
      <c r="G207" s="10"/>
    </row>
    <row r="208" spans="2:7" ht="15" customHeight="1">
      <c r="B208" s="17" t="s">
        <v>784</v>
      </c>
      <c r="C208" s="35" t="s">
        <v>785</v>
      </c>
      <c r="D208" s="17" t="s">
        <v>420</v>
      </c>
      <c r="E208" s="17" t="s">
        <v>786</v>
      </c>
      <c r="F208" s="19" t="s">
        <v>296</v>
      </c>
      <c r="G208" s="10" t="s">
        <v>549</v>
      </c>
    </row>
    <row r="209" spans="2:7" ht="15" customHeight="1">
      <c r="B209" s="66" t="s">
        <v>224</v>
      </c>
      <c r="C209" s="67"/>
      <c r="D209" s="17"/>
      <c r="E209" s="17"/>
      <c r="F209" s="19"/>
      <c r="G209" s="10"/>
    </row>
    <row r="210" spans="2:7" ht="15" customHeight="1">
      <c r="B210" s="17" t="s">
        <v>392</v>
      </c>
      <c r="C210" s="35" t="s">
        <v>393</v>
      </c>
      <c r="D210" s="17" t="s">
        <v>300</v>
      </c>
      <c r="E210" s="17" t="s">
        <v>556</v>
      </c>
      <c r="F210" s="19" t="s">
        <v>296</v>
      </c>
      <c r="G210" s="10" t="s">
        <v>553</v>
      </c>
    </row>
    <row r="211" spans="2:7" ht="15" customHeight="1">
      <c r="B211" s="17" t="s">
        <v>787</v>
      </c>
      <c r="C211" s="35" t="s">
        <v>788</v>
      </c>
      <c r="D211" s="17" t="s">
        <v>300</v>
      </c>
      <c r="E211" s="17" t="s">
        <v>551</v>
      </c>
      <c r="F211" s="19" t="s">
        <v>296</v>
      </c>
      <c r="G211" s="10"/>
    </row>
    <row r="212" spans="2:7" ht="15" customHeight="1">
      <c r="B212" s="17" t="s">
        <v>789</v>
      </c>
      <c r="C212" s="35" t="s">
        <v>790</v>
      </c>
      <c r="D212" s="17" t="s">
        <v>300</v>
      </c>
      <c r="E212" s="17" t="s">
        <v>556</v>
      </c>
      <c r="F212" s="19" t="s">
        <v>296</v>
      </c>
      <c r="G212" s="10" t="s">
        <v>553</v>
      </c>
    </row>
    <row r="213" spans="2:7" ht="15" customHeight="1">
      <c r="B213" s="17" t="s">
        <v>791</v>
      </c>
      <c r="C213" s="35" t="s">
        <v>792</v>
      </c>
      <c r="D213" s="17" t="s">
        <v>300</v>
      </c>
      <c r="E213" s="17" t="s">
        <v>556</v>
      </c>
      <c r="F213" s="19" t="s">
        <v>296</v>
      </c>
      <c r="G213" s="10"/>
    </row>
    <row r="214" spans="2:7" ht="15" customHeight="1">
      <c r="B214" s="66" t="s">
        <v>793</v>
      </c>
      <c r="C214" s="67"/>
      <c r="D214" s="17"/>
      <c r="E214" s="17"/>
      <c r="F214" s="19"/>
      <c r="G214" s="10"/>
    </row>
    <row r="215" spans="2:7" ht="15" customHeight="1">
      <c r="B215" s="17" t="s">
        <v>794</v>
      </c>
      <c r="C215" s="35" t="s">
        <v>795</v>
      </c>
      <c r="D215" s="17" t="s">
        <v>444</v>
      </c>
      <c r="E215" s="17" t="s">
        <v>449</v>
      </c>
      <c r="F215" s="19" t="s">
        <v>296</v>
      </c>
      <c r="G215" s="10"/>
    </row>
    <row r="216" spans="2:7" ht="15" customHeight="1">
      <c r="B216" s="17" t="s">
        <v>796</v>
      </c>
      <c r="C216" s="35" t="s">
        <v>797</v>
      </c>
      <c r="D216" s="17" t="s">
        <v>9</v>
      </c>
      <c r="E216" s="17" t="s">
        <v>798</v>
      </c>
      <c r="F216" s="19" t="s">
        <v>10</v>
      </c>
      <c r="G216" s="10"/>
    </row>
    <row r="217" spans="2:7" ht="15" customHeight="1">
      <c r="B217" s="17" t="s">
        <v>799</v>
      </c>
      <c r="C217" s="35" t="s">
        <v>800</v>
      </c>
      <c r="D217" s="17" t="s">
        <v>415</v>
      </c>
      <c r="E217" s="17" t="s">
        <v>404</v>
      </c>
      <c r="F217" s="19" t="s">
        <v>10</v>
      </c>
      <c r="G217" s="10" t="s">
        <v>553</v>
      </c>
    </row>
    <row r="218" spans="2:7" ht="15" customHeight="1">
      <c r="B218" s="17" t="s">
        <v>801</v>
      </c>
      <c r="C218" s="35" t="s">
        <v>802</v>
      </c>
      <c r="D218" s="17" t="s">
        <v>300</v>
      </c>
      <c r="E218" s="17" t="s">
        <v>376</v>
      </c>
      <c r="F218" s="19" t="s">
        <v>10</v>
      </c>
      <c r="G218" s="10"/>
    </row>
    <row r="219" spans="2:7" ht="15" customHeight="1">
      <c r="B219" s="17" t="s">
        <v>312</v>
      </c>
      <c r="C219" s="35" t="s">
        <v>313</v>
      </c>
      <c r="D219" s="17" t="s">
        <v>300</v>
      </c>
      <c r="E219" s="17" t="s">
        <v>316</v>
      </c>
      <c r="F219" s="19" t="s">
        <v>10</v>
      </c>
      <c r="G219" s="10"/>
    </row>
    <row r="220" spans="2:7" ht="15" customHeight="1">
      <c r="B220" s="17" t="s">
        <v>803</v>
      </c>
      <c r="C220" s="35" t="s">
        <v>804</v>
      </c>
      <c r="D220" s="17" t="s">
        <v>300</v>
      </c>
      <c r="E220" s="17" t="s">
        <v>399</v>
      </c>
      <c r="F220" s="19" t="s">
        <v>296</v>
      </c>
      <c r="G220" s="10"/>
    </row>
    <row r="221" spans="2:7" ht="15" customHeight="1">
      <c r="B221" s="17" t="s">
        <v>251</v>
      </c>
      <c r="C221" s="35" t="s">
        <v>252</v>
      </c>
      <c r="D221" s="17" t="s">
        <v>9</v>
      </c>
      <c r="E221" s="17" t="s">
        <v>576</v>
      </c>
      <c r="F221" s="19" t="s">
        <v>10</v>
      </c>
      <c r="G221" s="10"/>
    </row>
    <row r="222" spans="2:7" ht="15" customHeight="1">
      <c r="B222" s="66" t="s">
        <v>805</v>
      </c>
      <c r="C222" s="67"/>
      <c r="D222" s="17"/>
      <c r="E222" s="17"/>
      <c r="F222" s="19"/>
      <c r="G222" s="10"/>
    </row>
    <row r="223" spans="2:7" ht="15" customHeight="1">
      <c r="B223" s="17" t="s">
        <v>806</v>
      </c>
      <c r="C223" s="35" t="s">
        <v>365</v>
      </c>
      <c r="D223" s="17" t="s">
        <v>300</v>
      </c>
      <c r="E223" s="17" t="s">
        <v>399</v>
      </c>
      <c r="F223" s="19" t="s">
        <v>296</v>
      </c>
      <c r="G223" s="10"/>
    </row>
    <row r="224" spans="2:7" ht="15" customHeight="1">
      <c r="B224" s="17" t="s">
        <v>807</v>
      </c>
      <c r="C224" s="35" t="s">
        <v>808</v>
      </c>
      <c r="D224" s="17" t="s">
        <v>456</v>
      </c>
      <c r="E224" s="17" t="s">
        <v>482</v>
      </c>
      <c r="F224" s="19" t="s">
        <v>296</v>
      </c>
      <c r="G224" s="10"/>
    </row>
    <row r="225" spans="2:7" ht="15" customHeight="1">
      <c r="B225" s="17" t="s">
        <v>809</v>
      </c>
      <c r="C225" s="35" t="s">
        <v>383</v>
      </c>
      <c r="D225" s="17" t="s">
        <v>300</v>
      </c>
      <c r="E225" s="17" t="s">
        <v>551</v>
      </c>
      <c r="F225" s="19" t="s">
        <v>296</v>
      </c>
      <c r="G225" s="10"/>
    </row>
    <row r="226" spans="2:7" ht="15" customHeight="1">
      <c r="B226" s="17" t="s">
        <v>810</v>
      </c>
      <c r="C226" s="35" t="s">
        <v>412</v>
      </c>
      <c r="D226" s="17" t="s">
        <v>415</v>
      </c>
      <c r="E226" s="17" t="s">
        <v>414</v>
      </c>
      <c r="F226" s="19" t="s">
        <v>296</v>
      </c>
      <c r="G226" s="10"/>
    </row>
    <row r="227" spans="2:7" ht="15" customHeight="1">
      <c r="B227" s="17" t="s">
        <v>811</v>
      </c>
      <c r="C227" s="35" t="s">
        <v>812</v>
      </c>
      <c r="D227" s="17" t="s">
        <v>450</v>
      </c>
      <c r="E227" s="17" t="s">
        <v>454</v>
      </c>
      <c r="F227" s="19" t="s">
        <v>296</v>
      </c>
      <c r="G227" s="10" t="s">
        <v>553</v>
      </c>
    </row>
    <row r="228" spans="2:7" ht="15" customHeight="1">
      <c r="B228" s="17" t="s">
        <v>147</v>
      </c>
      <c r="C228" s="35" t="s">
        <v>148</v>
      </c>
      <c r="D228" s="17" t="s">
        <v>9</v>
      </c>
      <c r="E228" s="17" t="s">
        <v>123</v>
      </c>
      <c r="F228" s="19" t="s">
        <v>10</v>
      </c>
      <c r="G228" s="10"/>
    </row>
    <row r="229" spans="2:7" ht="15" customHeight="1">
      <c r="B229" s="17" t="s">
        <v>461</v>
      </c>
      <c r="C229" s="35" t="s">
        <v>462</v>
      </c>
      <c r="D229" s="17" t="s">
        <v>456</v>
      </c>
      <c r="E229" s="17" t="s">
        <v>118</v>
      </c>
      <c r="F229" s="19" t="s">
        <v>10</v>
      </c>
      <c r="G229" s="10"/>
    </row>
    <row r="230" spans="2:7" ht="15" customHeight="1">
      <c r="B230" s="17" t="s">
        <v>813</v>
      </c>
      <c r="C230" s="35" t="s">
        <v>366</v>
      </c>
      <c r="D230" s="17" t="s">
        <v>300</v>
      </c>
      <c r="E230" s="17" t="s">
        <v>814</v>
      </c>
      <c r="F230" s="19" t="s">
        <v>296</v>
      </c>
      <c r="G230" s="10" t="s">
        <v>549</v>
      </c>
    </row>
    <row r="231" spans="2:7" ht="15" customHeight="1">
      <c r="B231" s="17" t="s">
        <v>358</v>
      </c>
      <c r="C231" s="36" t="s">
        <v>359</v>
      </c>
      <c r="D231" s="17" t="s">
        <v>300</v>
      </c>
      <c r="E231" s="17" t="s">
        <v>360</v>
      </c>
      <c r="F231" s="19" t="s">
        <v>10</v>
      </c>
      <c r="G231" s="10"/>
    </row>
    <row r="232" spans="2:7" ht="15" customHeight="1">
      <c r="B232" s="17" t="s">
        <v>183</v>
      </c>
      <c r="C232" s="35" t="s">
        <v>184</v>
      </c>
      <c r="D232" s="17" t="s">
        <v>9</v>
      </c>
      <c r="E232" s="17" t="s">
        <v>123</v>
      </c>
      <c r="F232" s="19" t="s">
        <v>10</v>
      </c>
      <c r="G232" s="10"/>
    </row>
    <row r="233" spans="2:7" ht="15" customHeight="1">
      <c r="B233" s="17" t="s">
        <v>815</v>
      </c>
      <c r="C233" s="35" t="s">
        <v>816</v>
      </c>
      <c r="D233" s="17" t="s">
        <v>300</v>
      </c>
      <c r="E233" s="17" t="s">
        <v>399</v>
      </c>
      <c r="F233" s="19" t="s">
        <v>296</v>
      </c>
      <c r="G233" s="10" t="s">
        <v>549</v>
      </c>
    </row>
    <row r="234" spans="2:7" ht="15" customHeight="1">
      <c r="B234" s="17" t="s">
        <v>817</v>
      </c>
      <c r="C234" s="35" t="s">
        <v>818</v>
      </c>
      <c r="D234" s="17" t="s">
        <v>415</v>
      </c>
      <c r="E234" s="17" t="s">
        <v>414</v>
      </c>
      <c r="F234" s="19" t="s">
        <v>296</v>
      </c>
      <c r="G234" s="10" t="s">
        <v>560</v>
      </c>
    </row>
    <row r="235" spans="2:7" ht="15" customHeight="1">
      <c r="B235" s="17" t="s">
        <v>819</v>
      </c>
      <c r="C235" s="35" t="s">
        <v>363</v>
      </c>
      <c r="D235" s="17" t="s">
        <v>300</v>
      </c>
      <c r="E235" s="17" t="s">
        <v>556</v>
      </c>
      <c r="F235" s="19" t="s">
        <v>296</v>
      </c>
      <c r="G235" s="10"/>
    </row>
    <row r="236" spans="2:7" ht="15" customHeight="1">
      <c r="B236" s="17" t="s">
        <v>820</v>
      </c>
      <c r="C236" s="35" t="s">
        <v>448</v>
      </c>
      <c r="D236" s="17" t="s">
        <v>440</v>
      </c>
      <c r="E236" s="17" t="s">
        <v>443</v>
      </c>
      <c r="F236" s="19" t="s">
        <v>296</v>
      </c>
      <c r="G236" s="10" t="s">
        <v>553</v>
      </c>
    </row>
    <row r="237" spans="2:7" ht="15" customHeight="1">
      <c r="B237" s="17" t="s">
        <v>821</v>
      </c>
      <c r="C237" s="35" t="s">
        <v>528</v>
      </c>
      <c r="D237" s="17" t="s">
        <v>300</v>
      </c>
      <c r="E237" s="17" t="s">
        <v>299</v>
      </c>
      <c r="F237" s="19" t="s">
        <v>296</v>
      </c>
      <c r="G237" s="10"/>
    </row>
    <row r="238" spans="2:7" ht="15" customHeight="1">
      <c r="B238" s="17" t="s">
        <v>353</v>
      </c>
      <c r="C238" s="35" t="s">
        <v>354</v>
      </c>
      <c r="D238" s="17" t="s">
        <v>300</v>
      </c>
      <c r="E238" s="17" t="s">
        <v>822</v>
      </c>
      <c r="F238" s="19" t="s">
        <v>10</v>
      </c>
      <c r="G238" s="10"/>
    </row>
    <row r="239" spans="2:7" ht="15" customHeight="1">
      <c r="B239" s="17" t="s">
        <v>490</v>
      </c>
      <c r="C239" s="35" t="s">
        <v>491</v>
      </c>
      <c r="D239" s="17" t="s">
        <v>483</v>
      </c>
      <c r="E239" s="17" t="s">
        <v>489</v>
      </c>
      <c r="F239" s="19" t="s">
        <v>10</v>
      </c>
      <c r="G239" s="10"/>
    </row>
    <row r="240" spans="2:7" ht="15" customHeight="1">
      <c r="B240" s="17" t="s">
        <v>823</v>
      </c>
      <c r="C240" s="35" t="s">
        <v>824</v>
      </c>
      <c r="D240" s="17" t="s">
        <v>420</v>
      </c>
      <c r="E240" s="17" t="s">
        <v>825</v>
      </c>
      <c r="F240" s="19" t="s">
        <v>296</v>
      </c>
      <c r="G240" s="10"/>
    </row>
    <row r="241" spans="2:7" ht="15" customHeight="1">
      <c r="B241" s="17" t="s">
        <v>826</v>
      </c>
      <c r="C241" s="35" t="s">
        <v>824</v>
      </c>
      <c r="D241" s="17" t="s">
        <v>415</v>
      </c>
      <c r="E241" s="17" t="s">
        <v>418</v>
      </c>
      <c r="F241" s="19" t="s">
        <v>296</v>
      </c>
      <c r="G241" s="10"/>
    </row>
    <row r="242" spans="2:7" ht="15" customHeight="1">
      <c r="B242" s="17" t="s">
        <v>827</v>
      </c>
      <c r="C242" s="35" t="s">
        <v>828</v>
      </c>
      <c r="D242" s="17" t="s">
        <v>300</v>
      </c>
      <c r="E242" s="17" t="s">
        <v>400</v>
      </c>
      <c r="F242" s="19" t="s">
        <v>296</v>
      </c>
      <c r="G242" s="10"/>
    </row>
    <row r="243" spans="2:7" ht="15" customHeight="1">
      <c r="B243" s="17" t="s">
        <v>829</v>
      </c>
      <c r="C243" s="35" t="s">
        <v>830</v>
      </c>
      <c r="D243" s="17" t="s">
        <v>9</v>
      </c>
      <c r="E243" s="17" t="s">
        <v>67</v>
      </c>
      <c r="F243" s="19" t="s">
        <v>10</v>
      </c>
      <c r="G243" s="10"/>
    </row>
    <row r="244" spans="2:7" ht="15" customHeight="1">
      <c r="B244" s="17" t="s">
        <v>437</v>
      </c>
      <c r="C244" s="35" t="s">
        <v>438</v>
      </c>
      <c r="D244" s="17" t="s">
        <v>420</v>
      </c>
      <c r="E244" s="17" t="s">
        <v>436</v>
      </c>
      <c r="F244" s="19" t="s">
        <v>296</v>
      </c>
      <c r="G244" s="10" t="s">
        <v>553</v>
      </c>
    </row>
    <row r="245" spans="2:7" ht="15" customHeight="1">
      <c r="B245" s="17" t="s">
        <v>831</v>
      </c>
      <c r="C245" s="35" t="s">
        <v>832</v>
      </c>
      <c r="D245" s="17" t="s">
        <v>9</v>
      </c>
      <c r="E245" s="17" t="s">
        <v>35</v>
      </c>
      <c r="F245" s="19" t="s">
        <v>10</v>
      </c>
      <c r="G245" s="10"/>
    </row>
    <row r="246" spans="2:7" ht="15" customHeight="1">
      <c r="B246" s="17" t="s">
        <v>833</v>
      </c>
      <c r="C246" s="35" t="s">
        <v>834</v>
      </c>
      <c r="D246" s="17" t="s">
        <v>420</v>
      </c>
      <c r="E246" s="17" t="s">
        <v>835</v>
      </c>
      <c r="F246" s="19" t="s">
        <v>296</v>
      </c>
      <c r="G246" s="10" t="s">
        <v>549</v>
      </c>
    </row>
    <row r="247" spans="2:7" ht="15" customHeight="1">
      <c r="B247" s="17" t="s">
        <v>836</v>
      </c>
      <c r="C247" s="35" t="s">
        <v>837</v>
      </c>
      <c r="D247" s="17" t="s">
        <v>483</v>
      </c>
      <c r="E247" s="17" t="s">
        <v>497</v>
      </c>
      <c r="F247" s="19" t="s">
        <v>10</v>
      </c>
      <c r="G247" s="10" t="s">
        <v>549</v>
      </c>
    </row>
    <row r="248" spans="2:7" ht="15" customHeight="1">
      <c r="B248" s="17" t="s">
        <v>838</v>
      </c>
      <c r="C248" s="35" t="s">
        <v>839</v>
      </c>
      <c r="D248" s="17" t="s">
        <v>420</v>
      </c>
      <c r="E248" s="17" t="s">
        <v>840</v>
      </c>
      <c r="F248" s="19" t="s">
        <v>10</v>
      </c>
      <c r="G248" s="10"/>
    </row>
    <row r="249" spans="2:7" ht="15" customHeight="1">
      <c r="B249" s="17" t="s">
        <v>338</v>
      </c>
      <c r="C249" s="35" t="s">
        <v>339</v>
      </c>
      <c r="D249" s="17" t="s">
        <v>300</v>
      </c>
      <c r="E249" s="17" t="s">
        <v>355</v>
      </c>
      <c r="F249" s="19" t="s">
        <v>10</v>
      </c>
      <c r="G249" s="10"/>
    </row>
    <row r="250" spans="2:7" ht="15" customHeight="1">
      <c r="B250" s="17" t="s">
        <v>109</v>
      </c>
      <c r="C250" s="35" t="s">
        <v>110</v>
      </c>
      <c r="D250" s="17" t="s">
        <v>9</v>
      </c>
      <c r="E250" s="17" t="s">
        <v>111</v>
      </c>
      <c r="F250" s="19" t="s">
        <v>10</v>
      </c>
      <c r="G250" s="10" t="s">
        <v>553</v>
      </c>
    </row>
    <row r="251" spans="2:7" ht="15" customHeight="1">
      <c r="B251" s="66" t="s">
        <v>841</v>
      </c>
      <c r="C251" s="67"/>
      <c r="D251" s="17"/>
      <c r="E251" s="17"/>
      <c r="F251" s="19"/>
      <c r="G251" s="10"/>
    </row>
    <row r="252" spans="2:7" ht="15" customHeight="1">
      <c r="B252" s="17" t="s">
        <v>842</v>
      </c>
      <c r="C252" s="35" t="s">
        <v>843</v>
      </c>
      <c r="D252" s="17" t="s">
        <v>300</v>
      </c>
      <c r="E252" s="17" t="s">
        <v>656</v>
      </c>
      <c r="F252" s="19" t="s">
        <v>10</v>
      </c>
      <c r="G252" s="10" t="s">
        <v>553</v>
      </c>
    </row>
    <row r="253" spans="2:7" ht="15" customHeight="1">
      <c r="B253" s="17" t="s">
        <v>844</v>
      </c>
      <c r="C253" s="35" t="s">
        <v>845</v>
      </c>
      <c r="D253" s="17" t="s">
        <v>450</v>
      </c>
      <c r="E253" s="17" t="s">
        <v>454</v>
      </c>
      <c r="F253" s="19" t="s">
        <v>296</v>
      </c>
      <c r="G253" s="10"/>
    </row>
    <row r="254" spans="2:7" ht="15" customHeight="1">
      <c r="B254" s="17" t="s">
        <v>846</v>
      </c>
      <c r="C254" s="35" t="s">
        <v>847</v>
      </c>
      <c r="D254" s="17" t="s">
        <v>9</v>
      </c>
      <c r="E254" s="17" t="s">
        <v>123</v>
      </c>
      <c r="F254" s="19" t="s">
        <v>10</v>
      </c>
      <c r="G254" s="10"/>
    </row>
    <row r="255" spans="2:7" ht="15" customHeight="1">
      <c r="B255" s="17" t="s">
        <v>848</v>
      </c>
      <c r="C255" s="35" t="s">
        <v>849</v>
      </c>
      <c r="D255" s="17" t="s">
        <v>420</v>
      </c>
      <c r="E255" s="17" t="s">
        <v>850</v>
      </c>
      <c r="F255" s="19" t="s">
        <v>296</v>
      </c>
      <c r="G255" s="10"/>
    </row>
    <row r="256" spans="2:7" ht="15" customHeight="1">
      <c r="B256" s="17" t="s">
        <v>851</v>
      </c>
      <c r="C256" s="35" t="s">
        <v>385</v>
      </c>
      <c r="D256" s="17" t="s">
        <v>300</v>
      </c>
      <c r="E256" s="17" t="s">
        <v>556</v>
      </c>
      <c r="F256" s="19" t="s">
        <v>296</v>
      </c>
      <c r="G256" s="10" t="s">
        <v>549</v>
      </c>
    </row>
    <row r="257" spans="2:7" ht="15" customHeight="1">
      <c r="B257" s="17" t="s">
        <v>457</v>
      </c>
      <c r="C257" s="35" t="s">
        <v>458</v>
      </c>
      <c r="D257" s="17" t="s">
        <v>456</v>
      </c>
      <c r="E257" s="17" t="s">
        <v>852</v>
      </c>
      <c r="F257" s="19" t="s">
        <v>10</v>
      </c>
      <c r="G257" s="10"/>
    </row>
    <row r="258" spans="2:7" ht="15" customHeight="1">
      <c r="B258" s="17" t="s">
        <v>853</v>
      </c>
      <c r="C258" s="35" t="s">
        <v>854</v>
      </c>
      <c r="D258" s="17" t="s">
        <v>300</v>
      </c>
      <c r="E258" s="17" t="s">
        <v>394</v>
      </c>
      <c r="F258" s="19" t="s">
        <v>296</v>
      </c>
      <c r="G258" s="10"/>
    </row>
    <row r="259" spans="2:7" ht="15" customHeight="1">
      <c r="B259" s="17" t="s">
        <v>855</v>
      </c>
      <c r="C259" s="35" t="s">
        <v>417</v>
      </c>
      <c r="D259" s="17" t="s">
        <v>415</v>
      </c>
      <c r="E259" s="17" t="s">
        <v>418</v>
      </c>
      <c r="F259" s="19" t="s">
        <v>296</v>
      </c>
      <c r="G259" s="10"/>
    </row>
    <row r="260" spans="2:7" ht="15" customHeight="1">
      <c r="B260" s="17" t="s">
        <v>856</v>
      </c>
      <c r="C260" s="35" t="s">
        <v>857</v>
      </c>
      <c r="D260" s="17" t="s">
        <v>9</v>
      </c>
      <c r="E260" s="17" t="s">
        <v>123</v>
      </c>
      <c r="F260" s="19" t="s">
        <v>10</v>
      </c>
      <c r="G260" s="10"/>
    </row>
    <row r="261" spans="2:7" ht="15" customHeight="1">
      <c r="B261" s="17" t="s">
        <v>858</v>
      </c>
      <c r="C261" s="35" t="s">
        <v>859</v>
      </c>
      <c r="D261" s="17" t="s">
        <v>420</v>
      </c>
      <c r="E261" s="17" t="s">
        <v>436</v>
      </c>
      <c r="F261" s="19" t="s">
        <v>296</v>
      </c>
      <c r="G261" s="10"/>
    </row>
    <row r="262" spans="2:7" ht="15" customHeight="1">
      <c r="B262" s="17" t="s">
        <v>185</v>
      </c>
      <c r="C262" s="35" t="s">
        <v>186</v>
      </c>
      <c r="D262" s="17" t="s">
        <v>9</v>
      </c>
      <c r="E262" s="17" t="s">
        <v>123</v>
      </c>
      <c r="F262" s="19" t="s">
        <v>10</v>
      </c>
      <c r="G262" s="10"/>
    </row>
    <row r="263" spans="2:7" ht="15" customHeight="1">
      <c r="B263" s="17" t="s">
        <v>860</v>
      </c>
      <c r="C263" s="35" t="s">
        <v>861</v>
      </c>
      <c r="D263" s="17" t="s">
        <v>300</v>
      </c>
      <c r="E263" s="17" t="s">
        <v>556</v>
      </c>
      <c r="F263" s="19" t="s">
        <v>296</v>
      </c>
      <c r="G263" s="10" t="s">
        <v>549</v>
      </c>
    </row>
    <row r="264" spans="2:7" ht="15" customHeight="1">
      <c r="B264" s="17" t="s">
        <v>862</v>
      </c>
      <c r="C264" s="35" t="s">
        <v>410</v>
      </c>
      <c r="D264" s="17" t="s">
        <v>415</v>
      </c>
      <c r="E264" s="17" t="s">
        <v>414</v>
      </c>
      <c r="F264" s="19" t="s">
        <v>296</v>
      </c>
      <c r="G264" s="10"/>
    </row>
    <row r="265" spans="2:7" ht="15" customHeight="1">
      <c r="B265" s="17" t="s">
        <v>175</v>
      </c>
      <c r="C265" s="35" t="s">
        <v>176</v>
      </c>
      <c r="D265" s="17" t="s">
        <v>9</v>
      </c>
      <c r="E265" s="17" t="s">
        <v>123</v>
      </c>
      <c r="F265" s="19" t="s">
        <v>10</v>
      </c>
      <c r="G265" s="10"/>
    </row>
    <row r="266" spans="2:7" ht="15" customHeight="1">
      <c r="B266" s="17" t="s">
        <v>301</v>
      </c>
      <c r="C266" s="35" t="s">
        <v>302</v>
      </c>
      <c r="D266" s="17" t="s">
        <v>300</v>
      </c>
      <c r="E266" s="17" t="s">
        <v>303</v>
      </c>
      <c r="F266" s="19" t="s">
        <v>10</v>
      </c>
      <c r="G266" s="10"/>
    </row>
    <row r="267" spans="2:7" ht="15" customHeight="1">
      <c r="B267" s="17" t="s">
        <v>48</v>
      </c>
      <c r="C267" s="35" t="s">
        <v>49</v>
      </c>
      <c r="D267" s="17" t="s">
        <v>9</v>
      </c>
      <c r="E267" s="17" t="s">
        <v>50</v>
      </c>
      <c r="F267" s="19" t="s">
        <v>10</v>
      </c>
      <c r="G267" s="10"/>
    </row>
    <row r="268" spans="2:7" ht="15" customHeight="1">
      <c r="B268" s="17" t="s">
        <v>155</v>
      </c>
      <c r="C268" s="35" t="s">
        <v>156</v>
      </c>
      <c r="D268" s="17" t="s">
        <v>9</v>
      </c>
      <c r="E268" s="17" t="s">
        <v>123</v>
      </c>
      <c r="F268" s="19" t="s">
        <v>10</v>
      </c>
      <c r="G268" s="10" t="s">
        <v>553</v>
      </c>
    </row>
    <row r="269" spans="2:7" ht="15" customHeight="1">
      <c r="B269" s="17" t="s">
        <v>484</v>
      </c>
      <c r="C269" s="35" t="s">
        <v>485</v>
      </c>
      <c r="D269" s="17" t="s">
        <v>483</v>
      </c>
      <c r="E269" s="17" t="s">
        <v>486</v>
      </c>
      <c r="F269" s="19" t="s">
        <v>10</v>
      </c>
      <c r="G269" s="10"/>
    </row>
    <row r="270" spans="2:7" ht="15" customHeight="1">
      <c r="B270" s="17" t="s">
        <v>863</v>
      </c>
      <c r="C270" s="35" t="s">
        <v>864</v>
      </c>
      <c r="D270" s="17" t="s">
        <v>415</v>
      </c>
      <c r="E270" s="17" t="s">
        <v>418</v>
      </c>
      <c r="F270" s="19" t="s">
        <v>296</v>
      </c>
      <c r="G270" s="10"/>
    </row>
    <row r="271" spans="2:7" ht="15" customHeight="1">
      <c r="B271" s="17" t="s">
        <v>865</v>
      </c>
      <c r="C271" s="35" t="s">
        <v>220</v>
      </c>
      <c r="D271" s="17" t="s">
        <v>9</v>
      </c>
      <c r="E271" s="17" t="s">
        <v>265</v>
      </c>
      <c r="F271" s="19" t="s">
        <v>10</v>
      </c>
      <c r="G271" s="10" t="s">
        <v>560</v>
      </c>
    </row>
    <row r="272" spans="2:7" ht="15" customHeight="1">
      <c r="B272" s="66" t="s">
        <v>866</v>
      </c>
      <c r="C272" s="67"/>
      <c r="D272" s="17"/>
      <c r="E272" s="17"/>
      <c r="F272" s="19"/>
      <c r="G272" s="10"/>
    </row>
    <row r="273" spans="2:7" ht="15" customHeight="1">
      <c r="B273" s="17" t="s">
        <v>321</v>
      </c>
      <c r="C273" s="35" t="s">
        <v>322</v>
      </c>
      <c r="D273" s="17" t="s">
        <v>300</v>
      </c>
      <c r="E273" s="17" t="s">
        <v>325</v>
      </c>
      <c r="F273" s="19" t="s">
        <v>10</v>
      </c>
      <c r="G273" s="10"/>
    </row>
    <row r="274" spans="2:7" ht="15" customHeight="1">
      <c r="B274" s="17" t="s">
        <v>867</v>
      </c>
      <c r="C274" s="35" t="s">
        <v>868</v>
      </c>
      <c r="D274" s="17" t="s">
        <v>9</v>
      </c>
      <c r="E274" s="17" t="s">
        <v>111</v>
      </c>
      <c r="F274" s="19" t="s">
        <v>10</v>
      </c>
      <c r="G274" s="10"/>
    </row>
    <row r="275" spans="2:7" ht="15" customHeight="1">
      <c r="B275" s="17" t="s">
        <v>869</v>
      </c>
      <c r="C275" s="35" t="s">
        <v>870</v>
      </c>
      <c r="D275" s="17" t="s">
        <v>9</v>
      </c>
      <c r="E275" s="17" t="s">
        <v>13</v>
      </c>
      <c r="F275" s="19" t="s">
        <v>10</v>
      </c>
      <c r="G275" s="10"/>
    </row>
    <row r="276" spans="2:7" ht="15" customHeight="1">
      <c r="B276" s="17" t="s">
        <v>871</v>
      </c>
      <c r="C276" s="35" t="s">
        <v>872</v>
      </c>
      <c r="D276" s="17" t="s">
        <v>420</v>
      </c>
      <c r="E276" s="17" t="s">
        <v>439</v>
      </c>
      <c r="F276" s="19" t="s">
        <v>296</v>
      </c>
      <c r="G276" s="10"/>
    </row>
    <row r="277" spans="2:7" ht="15" customHeight="1">
      <c r="B277" s="17" t="s">
        <v>873</v>
      </c>
      <c r="C277" s="35" t="s">
        <v>874</v>
      </c>
      <c r="D277" s="17" t="s">
        <v>456</v>
      </c>
      <c r="E277" s="17" t="s">
        <v>478</v>
      </c>
      <c r="F277" s="19" t="s">
        <v>10</v>
      </c>
      <c r="G277" s="10"/>
    </row>
    <row r="278" spans="2:7" ht="15" customHeight="1">
      <c r="B278" s="17" t="s">
        <v>347</v>
      </c>
      <c r="C278" s="35" t="s">
        <v>348</v>
      </c>
      <c r="D278" s="17" t="s">
        <v>300</v>
      </c>
      <c r="E278" s="17" t="s">
        <v>349</v>
      </c>
      <c r="F278" s="19" t="s">
        <v>10</v>
      </c>
      <c r="G278" s="10" t="s">
        <v>553</v>
      </c>
    </row>
    <row r="279" spans="2:7" ht="15" customHeight="1">
      <c r="B279" s="17" t="s">
        <v>72</v>
      </c>
      <c r="C279" s="35" t="s">
        <v>73</v>
      </c>
      <c r="D279" s="17" t="s">
        <v>9</v>
      </c>
      <c r="E279" s="17" t="s">
        <v>67</v>
      </c>
      <c r="F279" s="19" t="s">
        <v>10</v>
      </c>
      <c r="G279" s="10"/>
    </row>
    <row r="280" spans="2:7" ht="15" customHeight="1">
      <c r="B280" s="66" t="s">
        <v>875</v>
      </c>
      <c r="C280" s="67"/>
      <c r="D280" s="17"/>
      <c r="E280" s="17"/>
      <c r="F280" s="19"/>
      <c r="G280" s="10"/>
    </row>
    <row r="281" spans="2:7" ht="15" customHeight="1">
      <c r="B281" s="17" t="s">
        <v>876</v>
      </c>
      <c r="C281" s="35" t="s">
        <v>877</v>
      </c>
      <c r="D281" s="17" t="s">
        <v>300</v>
      </c>
      <c r="E281" s="17" t="s">
        <v>330</v>
      </c>
      <c r="F281" s="19" t="s">
        <v>10</v>
      </c>
      <c r="G281" s="10"/>
    </row>
    <row r="282" spans="2:7" ht="15" customHeight="1">
      <c r="B282" s="66" t="s">
        <v>878</v>
      </c>
      <c r="C282" s="67"/>
      <c r="D282" s="17"/>
      <c r="E282" s="17"/>
      <c r="F282" s="19"/>
      <c r="G282" s="10"/>
    </row>
    <row r="283" spans="2:7" ht="15" customHeight="1">
      <c r="B283" s="17" t="s">
        <v>879</v>
      </c>
      <c r="C283" s="35" t="s">
        <v>880</v>
      </c>
      <c r="D283" s="17" t="s">
        <v>415</v>
      </c>
      <c r="E283" s="17" t="s">
        <v>414</v>
      </c>
      <c r="F283" s="19" t="s">
        <v>296</v>
      </c>
      <c r="G283" s="10"/>
    </row>
    <row r="284" spans="2:7" ht="15" customHeight="1">
      <c r="B284" s="17" t="s">
        <v>881</v>
      </c>
      <c r="C284" s="35" t="s">
        <v>882</v>
      </c>
      <c r="D284" s="17" t="s">
        <v>456</v>
      </c>
      <c r="E284" s="17" t="s">
        <v>482</v>
      </c>
      <c r="F284" s="19" t="s">
        <v>296</v>
      </c>
      <c r="G284" s="10"/>
    </row>
    <row r="285" spans="2:7" ht="15" customHeight="1">
      <c r="B285" s="17" t="s">
        <v>883</v>
      </c>
      <c r="C285" s="35" t="s">
        <v>381</v>
      </c>
      <c r="D285" s="17" t="s">
        <v>300</v>
      </c>
      <c r="E285" s="17" t="s">
        <v>884</v>
      </c>
      <c r="F285" s="19" t="s">
        <v>296</v>
      </c>
      <c r="G285" s="10"/>
    </row>
    <row r="286" spans="2:7" ht="15" customHeight="1">
      <c r="B286" s="17" t="s">
        <v>492</v>
      </c>
      <c r="C286" s="35" t="s">
        <v>493</v>
      </c>
      <c r="D286" s="17" t="s">
        <v>420</v>
      </c>
      <c r="E286" s="17" t="s">
        <v>494</v>
      </c>
      <c r="F286" s="19" t="s">
        <v>10</v>
      </c>
      <c r="G286" s="10"/>
    </row>
    <row r="287" spans="2:7" ht="15" customHeight="1">
      <c r="B287" s="17" t="s">
        <v>885</v>
      </c>
      <c r="C287" s="35" t="s">
        <v>886</v>
      </c>
      <c r="D287" s="17" t="s">
        <v>420</v>
      </c>
      <c r="E287" s="17" t="s">
        <v>850</v>
      </c>
      <c r="F287" s="19" t="s">
        <v>296</v>
      </c>
      <c r="G287" s="10"/>
    </row>
    <row r="288" spans="2:7" ht="15" customHeight="1">
      <c r="B288" s="66" t="s">
        <v>887</v>
      </c>
      <c r="C288" s="67"/>
      <c r="D288" s="17"/>
      <c r="E288" s="17"/>
      <c r="F288" s="19"/>
      <c r="G288" s="10"/>
    </row>
    <row r="289" spans="2:7" ht="15" customHeight="1">
      <c r="B289" s="17" t="s">
        <v>297</v>
      </c>
      <c r="C289" s="35" t="s">
        <v>298</v>
      </c>
      <c r="D289" s="17" t="s">
        <v>300</v>
      </c>
      <c r="E289" s="17" t="s">
        <v>299</v>
      </c>
      <c r="F289" s="19" t="s">
        <v>296</v>
      </c>
      <c r="G289" s="10" t="s">
        <v>553</v>
      </c>
    </row>
    <row r="290" spans="2:7" ht="15" customHeight="1">
      <c r="B290" s="17" t="s">
        <v>434</v>
      </c>
      <c r="C290" s="35" t="s">
        <v>435</v>
      </c>
      <c r="D290" s="17" t="s">
        <v>420</v>
      </c>
      <c r="E290" s="17" t="s">
        <v>436</v>
      </c>
      <c r="F290" s="19" t="s">
        <v>296</v>
      </c>
      <c r="G290" s="10"/>
    </row>
    <row r="291" spans="2:7" ht="15" customHeight="1">
      <c r="B291" s="17" t="s">
        <v>445</v>
      </c>
      <c r="C291" s="35" t="s">
        <v>446</v>
      </c>
      <c r="D291" s="17" t="s">
        <v>444</v>
      </c>
      <c r="E291" s="17" t="s">
        <v>447</v>
      </c>
      <c r="F291" s="19" t="s">
        <v>10</v>
      </c>
      <c r="G291" s="10" t="s">
        <v>560</v>
      </c>
    </row>
    <row r="292" spans="2:7" ht="15" customHeight="1">
      <c r="B292" s="17" t="s">
        <v>888</v>
      </c>
      <c r="C292" s="35" t="s">
        <v>889</v>
      </c>
      <c r="D292" s="17" t="s">
        <v>9</v>
      </c>
      <c r="E292" s="17" t="s">
        <v>123</v>
      </c>
      <c r="F292" s="19" t="s">
        <v>10</v>
      </c>
      <c r="G292" s="10"/>
    </row>
    <row r="293" spans="2:7" ht="15" customHeight="1">
      <c r="B293" s="17" t="s">
        <v>479</v>
      </c>
      <c r="C293" s="35" t="s">
        <v>480</v>
      </c>
      <c r="D293" s="17" t="s">
        <v>456</v>
      </c>
      <c r="E293" s="17" t="s">
        <v>481</v>
      </c>
      <c r="F293" s="19" t="s">
        <v>10</v>
      </c>
      <c r="G293" s="10" t="s">
        <v>560</v>
      </c>
    </row>
    <row r="294" spans="2:7" ht="15" customHeight="1">
      <c r="B294" s="17" t="s">
        <v>163</v>
      </c>
      <c r="C294" s="35" t="s">
        <v>164</v>
      </c>
      <c r="D294" s="17" t="s">
        <v>9</v>
      </c>
      <c r="E294" s="17" t="s">
        <v>123</v>
      </c>
      <c r="F294" s="19" t="s">
        <v>10</v>
      </c>
      <c r="G294" s="10"/>
    </row>
    <row r="295" spans="2:7" ht="15" customHeight="1">
      <c r="B295" s="17" t="s">
        <v>402</v>
      </c>
      <c r="C295" s="35" t="s">
        <v>403</v>
      </c>
      <c r="D295" s="17" t="s">
        <v>415</v>
      </c>
      <c r="E295" s="17" t="s">
        <v>404</v>
      </c>
      <c r="F295" s="19" t="s">
        <v>10</v>
      </c>
      <c r="G295" s="10"/>
    </row>
    <row r="296" spans="2:7" ht="15" customHeight="1">
      <c r="B296" s="17" t="s">
        <v>526</v>
      </c>
      <c r="C296" s="35" t="s">
        <v>527</v>
      </c>
      <c r="D296" s="17" t="s">
        <v>483</v>
      </c>
      <c r="E296" s="17" t="s">
        <v>497</v>
      </c>
      <c r="F296" s="19" t="s">
        <v>10</v>
      </c>
      <c r="G296" s="10"/>
    </row>
    <row r="297" spans="2:7" ht="15" customHeight="1">
      <c r="B297" s="17" t="s">
        <v>890</v>
      </c>
      <c r="C297" s="35" t="s">
        <v>388</v>
      </c>
      <c r="D297" s="17" t="s">
        <v>300</v>
      </c>
      <c r="E297" s="17" t="s">
        <v>556</v>
      </c>
      <c r="F297" s="19" t="s">
        <v>296</v>
      </c>
      <c r="G297" s="10"/>
    </row>
    <row r="298" spans="2:7" ht="15" customHeight="1">
      <c r="B298" s="17" t="s">
        <v>391</v>
      </c>
      <c r="C298" s="35" t="s">
        <v>891</v>
      </c>
      <c r="D298" s="17" t="s">
        <v>300</v>
      </c>
      <c r="E298" s="17" t="s">
        <v>556</v>
      </c>
      <c r="F298" s="19" t="s">
        <v>296</v>
      </c>
      <c r="G298" s="10" t="s">
        <v>553</v>
      </c>
    </row>
    <row r="299" spans="2:7" ht="15" customHeight="1">
      <c r="B299" s="17" t="s">
        <v>892</v>
      </c>
      <c r="C299" s="35" t="s">
        <v>893</v>
      </c>
      <c r="D299" s="17" t="s">
        <v>450</v>
      </c>
      <c r="E299" s="17" t="s">
        <v>454</v>
      </c>
      <c r="F299" s="19" t="s">
        <v>296</v>
      </c>
      <c r="G299" s="10"/>
    </row>
    <row r="300" spans="2:7" ht="15" customHeight="1">
      <c r="B300" s="17" t="s">
        <v>894</v>
      </c>
      <c r="C300" s="35" t="s">
        <v>895</v>
      </c>
      <c r="D300" s="17" t="s">
        <v>456</v>
      </c>
      <c r="E300" s="17" t="s">
        <v>482</v>
      </c>
      <c r="F300" s="19" t="s">
        <v>296</v>
      </c>
      <c r="G300" s="10" t="s">
        <v>560</v>
      </c>
    </row>
    <row r="301" spans="2:7" ht="15" customHeight="1">
      <c r="B301" s="17" t="s">
        <v>896</v>
      </c>
      <c r="C301" s="35" t="s">
        <v>897</v>
      </c>
      <c r="D301" s="17" t="s">
        <v>300</v>
      </c>
      <c r="E301" s="17" t="s">
        <v>551</v>
      </c>
      <c r="F301" s="19" t="s">
        <v>296</v>
      </c>
      <c r="G301" s="10"/>
    </row>
    <row r="302" spans="2:7" ht="15" customHeight="1">
      <c r="B302" s="66" t="s">
        <v>898</v>
      </c>
      <c r="C302" s="67"/>
      <c r="D302" s="17"/>
      <c r="E302" s="17"/>
      <c r="F302" s="19"/>
      <c r="G302" s="10"/>
    </row>
    <row r="303" spans="2:7" ht="15" customHeight="1">
      <c r="B303" s="17" t="s">
        <v>430</v>
      </c>
      <c r="C303" s="35" t="s">
        <v>431</v>
      </c>
      <c r="D303" s="17" t="s">
        <v>420</v>
      </c>
      <c r="E303" s="17" t="s">
        <v>899</v>
      </c>
      <c r="F303" s="19" t="s">
        <v>10</v>
      </c>
      <c r="G303" s="10" t="s">
        <v>549</v>
      </c>
    </row>
    <row r="304" spans="2:7" ht="15" customHeight="1">
      <c r="B304" s="17" t="s">
        <v>900</v>
      </c>
      <c r="C304" s="35" t="s">
        <v>901</v>
      </c>
      <c r="D304" s="17" t="s">
        <v>300</v>
      </c>
      <c r="E304" s="17" t="s">
        <v>400</v>
      </c>
      <c r="F304" s="19" t="s">
        <v>296</v>
      </c>
      <c r="G304" s="10"/>
    </row>
    <row r="305" spans="2:7" ht="15" customHeight="1">
      <c r="B305" s="17" t="s">
        <v>53</v>
      </c>
      <c r="C305" s="35" t="s">
        <v>54</v>
      </c>
      <c r="D305" s="17" t="s">
        <v>9</v>
      </c>
      <c r="E305" s="17" t="s">
        <v>50</v>
      </c>
      <c r="F305" s="19" t="s">
        <v>10</v>
      </c>
      <c r="G305" s="10"/>
    </row>
    <row r="307" spans="2:7">
      <c r="B307" s="16"/>
      <c r="C307" s="23"/>
    </row>
    <row r="308" spans="2:7">
      <c r="B308" s="16" t="s">
        <v>902</v>
      </c>
      <c r="C308" s="23" t="s">
        <v>549</v>
      </c>
    </row>
    <row r="309" spans="2:7">
      <c r="B309" s="16" t="s">
        <v>903</v>
      </c>
      <c r="C309" s="23" t="s">
        <v>553</v>
      </c>
    </row>
    <row r="310" spans="2:7" ht="15.75">
      <c r="B310" s="21" t="s">
        <v>904</v>
      </c>
      <c r="C310" s="23" t="s">
        <v>553</v>
      </c>
    </row>
    <row r="311" spans="2:7">
      <c r="B311" s="16" t="s">
        <v>905</v>
      </c>
      <c r="C311" s="23" t="s">
        <v>553</v>
      </c>
    </row>
    <row r="312" spans="2:7">
      <c r="B312" s="16" t="s">
        <v>906</v>
      </c>
      <c r="C312" s="23" t="s">
        <v>553</v>
      </c>
    </row>
    <row r="313" spans="2:7">
      <c r="B313" s="16" t="s">
        <v>907</v>
      </c>
      <c r="C313" s="23" t="s">
        <v>553</v>
      </c>
    </row>
  </sheetData>
  <autoFilter ref="B2:G305"/>
  <mergeCells count="28">
    <mergeCell ref="B4:C4"/>
    <mergeCell ref="B52:C52"/>
    <mergeCell ref="B57:C57"/>
    <mergeCell ref="B74:C74"/>
    <mergeCell ref="B85:C85"/>
    <mergeCell ref="B209:C209"/>
    <mergeCell ref="B214:C214"/>
    <mergeCell ref="B101:C101"/>
    <mergeCell ref="B103:C103"/>
    <mergeCell ref="B119:C119"/>
    <mergeCell ref="B131:C131"/>
    <mergeCell ref="B148:C148"/>
    <mergeCell ref="E2:E3"/>
    <mergeCell ref="F2:F3"/>
    <mergeCell ref="G2:G3"/>
    <mergeCell ref="B288:C288"/>
    <mergeCell ref="B302:C302"/>
    <mergeCell ref="B2:B3"/>
    <mergeCell ref="C2:C3"/>
    <mergeCell ref="D2:D3"/>
    <mergeCell ref="B222:C222"/>
    <mergeCell ref="B251:C251"/>
    <mergeCell ref="B272:C272"/>
    <mergeCell ref="B280:C280"/>
    <mergeCell ref="B282:C282"/>
    <mergeCell ref="B151:C151"/>
    <mergeCell ref="B156:C156"/>
    <mergeCell ref="B202:C202"/>
  </mergeCells>
  <conditionalFormatting sqref="B5:B305">
    <cfRule type="duplicateValues" dxfId="11" priority="8"/>
    <cfRule type="duplicateValues" dxfId="10" priority="9"/>
  </conditionalFormatting>
  <conditionalFormatting sqref="F5:F305">
    <cfRule type="containsText" dxfId="9" priority="1" operator="containsText" text="PHL">
      <formula>NOT(ISERROR(SEARCH("PHL",F5)))</formula>
    </cfRule>
  </conditionalFormatting>
  <conditionalFormatting sqref="B5:B305 B307:B309 B311:B313">
    <cfRule type="duplicateValues" dxfId="8" priority="7"/>
  </conditionalFormatting>
  <pageMargins left="0.41" right="0.25" top="0" bottom="0" header="0.3" footer="0.3"/>
  <pageSetup paperSize="9" scale="86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B2:I313"/>
  <sheetViews>
    <sheetView workbookViewId="0">
      <selection activeCell="B2" sqref="B2:I41"/>
    </sheetView>
  </sheetViews>
  <sheetFormatPr defaultColWidth="9" defaultRowHeight="15"/>
  <cols>
    <col min="2" max="2" width="9.28515625" customWidth="1"/>
    <col min="3" max="3" width="31" customWidth="1"/>
    <col min="4" max="4" width="17.85546875" customWidth="1"/>
    <col min="5" max="5" width="27.7109375" customWidth="1"/>
    <col min="6" max="6" width="11.7109375" customWidth="1"/>
  </cols>
  <sheetData>
    <row r="2" spans="2:9" ht="15.75">
      <c r="C2" s="22" t="s">
        <v>908</v>
      </c>
    </row>
    <row r="3" spans="2:9" ht="15" customHeight="1">
      <c r="B3" s="54" t="s">
        <v>1</v>
      </c>
      <c r="C3" s="54" t="s">
        <v>3</v>
      </c>
      <c r="D3" s="54" t="s">
        <v>4</v>
      </c>
      <c r="E3" s="54" t="s">
        <v>5</v>
      </c>
      <c r="F3" s="53" t="s">
        <v>6</v>
      </c>
      <c r="G3" s="54" t="s">
        <v>560</v>
      </c>
      <c r="H3" s="54" t="s">
        <v>553</v>
      </c>
      <c r="I3" s="54" t="s">
        <v>549</v>
      </c>
    </row>
    <row r="4" spans="2:9" ht="15" customHeight="1">
      <c r="B4" s="54"/>
      <c r="C4" s="54"/>
      <c r="D4" s="54"/>
      <c r="E4" s="54"/>
      <c r="F4" s="65"/>
      <c r="G4" s="54"/>
      <c r="H4" s="54"/>
      <c r="I4" s="54"/>
    </row>
    <row r="5" spans="2:9" ht="15" customHeight="1">
      <c r="B5" s="17">
        <v>1</v>
      </c>
      <c r="C5" s="35" t="s">
        <v>166</v>
      </c>
      <c r="D5" s="17" t="s">
        <v>9</v>
      </c>
      <c r="E5" s="17" t="s">
        <v>123</v>
      </c>
      <c r="F5" s="19" t="s">
        <v>10</v>
      </c>
      <c r="G5" s="5" t="s">
        <v>560</v>
      </c>
      <c r="H5" s="5"/>
      <c r="I5" s="5"/>
    </row>
    <row r="6" spans="2:9" ht="15" customHeight="1">
      <c r="B6" s="17">
        <f>B5+1</f>
        <v>2</v>
      </c>
      <c r="C6" s="35" t="s">
        <v>130</v>
      </c>
      <c r="D6" s="17" t="s">
        <v>9</v>
      </c>
      <c r="E6" s="17" t="s">
        <v>123</v>
      </c>
      <c r="F6" s="19" t="s">
        <v>10</v>
      </c>
      <c r="G6" s="5" t="s">
        <v>560</v>
      </c>
      <c r="H6" s="5"/>
      <c r="I6" s="5"/>
    </row>
    <row r="7" spans="2:9" ht="15" customHeight="1">
      <c r="B7" s="17">
        <f t="shared" ref="B7:B41" si="0">B6+1</f>
        <v>3</v>
      </c>
      <c r="C7" s="35" t="s">
        <v>570</v>
      </c>
      <c r="D7" s="17" t="s">
        <v>9</v>
      </c>
      <c r="E7" s="17" t="s">
        <v>123</v>
      </c>
      <c r="F7" s="19" t="s">
        <v>10</v>
      </c>
      <c r="G7" s="5" t="s">
        <v>560</v>
      </c>
      <c r="H7" s="5"/>
      <c r="I7" s="5"/>
    </row>
    <row r="8" spans="2:9" ht="15" customHeight="1">
      <c r="B8" s="17">
        <f t="shared" si="0"/>
        <v>4</v>
      </c>
      <c r="C8" s="35" t="s">
        <v>575</v>
      </c>
      <c r="D8" s="17" t="s">
        <v>9</v>
      </c>
      <c r="E8" s="17" t="s">
        <v>292</v>
      </c>
      <c r="F8" s="19" t="s">
        <v>10</v>
      </c>
      <c r="G8" s="5" t="s">
        <v>560</v>
      </c>
      <c r="H8" s="5"/>
      <c r="I8" s="5"/>
    </row>
    <row r="9" spans="2:9" ht="15" customHeight="1">
      <c r="B9" s="17">
        <f t="shared" si="0"/>
        <v>5</v>
      </c>
      <c r="C9" s="35" t="s">
        <v>15</v>
      </c>
      <c r="D9" s="17" t="s">
        <v>9</v>
      </c>
      <c r="E9" s="17" t="s">
        <v>16</v>
      </c>
      <c r="F9" s="19" t="s">
        <v>10</v>
      </c>
      <c r="G9" s="5" t="s">
        <v>560</v>
      </c>
      <c r="H9" s="5"/>
      <c r="I9" s="5"/>
    </row>
    <row r="10" spans="2:9" ht="15" customHeight="1">
      <c r="B10" s="17">
        <f t="shared" si="0"/>
        <v>6</v>
      </c>
      <c r="C10" s="35" t="s">
        <v>626</v>
      </c>
      <c r="D10" s="17" t="s">
        <v>415</v>
      </c>
      <c r="E10" s="17" t="s">
        <v>627</v>
      </c>
      <c r="F10" s="19" t="s">
        <v>10</v>
      </c>
      <c r="G10" s="5" t="s">
        <v>560</v>
      </c>
      <c r="H10" s="5"/>
      <c r="I10" s="5"/>
    </row>
    <row r="11" spans="2:9" ht="15" customHeight="1">
      <c r="B11" s="17">
        <f t="shared" si="0"/>
        <v>7</v>
      </c>
      <c r="C11" s="35" t="s">
        <v>634</v>
      </c>
      <c r="D11" s="17" t="s">
        <v>9</v>
      </c>
      <c r="E11" s="17" t="s">
        <v>123</v>
      </c>
      <c r="F11" s="19" t="s">
        <v>10</v>
      </c>
      <c r="G11" s="5" t="s">
        <v>560</v>
      </c>
      <c r="H11" s="5"/>
      <c r="I11" s="5"/>
    </row>
    <row r="12" spans="2:9" ht="15" customHeight="1">
      <c r="B12" s="17">
        <f t="shared" si="0"/>
        <v>8</v>
      </c>
      <c r="C12" s="35" t="s">
        <v>264</v>
      </c>
      <c r="D12" s="17" t="s">
        <v>9</v>
      </c>
      <c r="E12" s="17" t="s">
        <v>265</v>
      </c>
      <c r="F12" s="19" t="s">
        <v>10</v>
      </c>
      <c r="G12" s="5" t="s">
        <v>560</v>
      </c>
      <c r="H12" s="5"/>
      <c r="I12" s="5"/>
    </row>
    <row r="13" spans="2:9" ht="15" customHeight="1">
      <c r="B13" s="17">
        <f t="shared" si="0"/>
        <v>9</v>
      </c>
      <c r="C13" s="35" t="s">
        <v>352</v>
      </c>
      <c r="D13" s="17" t="s">
        <v>300</v>
      </c>
      <c r="E13" s="17" t="s">
        <v>349</v>
      </c>
      <c r="F13" s="19" t="s">
        <v>10</v>
      </c>
      <c r="G13" s="5" t="s">
        <v>560</v>
      </c>
      <c r="H13" s="5"/>
      <c r="I13" s="5"/>
    </row>
    <row r="14" spans="2:9" ht="15" customHeight="1">
      <c r="B14" s="17">
        <f t="shared" si="0"/>
        <v>10</v>
      </c>
      <c r="C14" s="35" t="s">
        <v>31</v>
      </c>
      <c r="D14" s="17" t="s">
        <v>9</v>
      </c>
      <c r="E14" s="17" t="s">
        <v>32</v>
      </c>
      <c r="F14" s="19" t="s">
        <v>10</v>
      </c>
      <c r="G14" s="5" t="s">
        <v>560</v>
      </c>
      <c r="H14" s="5"/>
      <c r="I14" s="5"/>
    </row>
    <row r="15" spans="2:9" ht="15" customHeight="1">
      <c r="B15" s="17">
        <f t="shared" si="0"/>
        <v>11</v>
      </c>
      <c r="C15" s="35" t="s">
        <v>132</v>
      </c>
      <c r="D15" s="17" t="s">
        <v>9</v>
      </c>
      <c r="E15" s="17" t="s">
        <v>123</v>
      </c>
      <c r="F15" s="19" t="s">
        <v>10</v>
      </c>
      <c r="G15" s="5" t="s">
        <v>560</v>
      </c>
      <c r="H15" s="5"/>
      <c r="I15" s="5"/>
    </row>
    <row r="16" spans="2:9" ht="15" customHeight="1">
      <c r="B16" s="17">
        <f t="shared" si="0"/>
        <v>12</v>
      </c>
      <c r="C16" s="35" t="s">
        <v>180</v>
      </c>
      <c r="D16" s="17" t="s">
        <v>9</v>
      </c>
      <c r="E16" s="17" t="s">
        <v>123</v>
      </c>
      <c r="F16" s="19" t="s">
        <v>10</v>
      </c>
      <c r="G16" s="5" t="s">
        <v>560</v>
      </c>
      <c r="H16" s="5"/>
      <c r="I16" s="5"/>
    </row>
    <row r="17" spans="2:9" ht="15" customHeight="1">
      <c r="B17" s="17">
        <f t="shared" si="0"/>
        <v>13</v>
      </c>
      <c r="C17" s="35" t="s">
        <v>696</v>
      </c>
      <c r="D17" s="17" t="s">
        <v>9</v>
      </c>
      <c r="E17" s="17" t="s">
        <v>123</v>
      </c>
      <c r="F17" s="19" t="s">
        <v>10</v>
      </c>
      <c r="G17" s="5" t="s">
        <v>560</v>
      </c>
      <c r="H17" s="5"/>
      <c r="I17" s="5"/>
    </row>
    <row r="18" spans="2:9" ht="15" customHeight="1">
      <c r="B18" s="17">
        <f t="shared" si="0"/>
        <v>14</v>
      </c>
      <c r="C18" s="35" t="s">
        <v>125</v>
      </c>
      <c r="D18" s="17" t="s">
        <v>9</v>
      </c>
      <c r="E18" s="17" t="s">
        <v>123</v>
      </c>
      <c r="F18" s="19" t="s">
        <v>10</v>
      </c>
      <c r="G18" s="5" t="s">
        <v>560</v>
      </c>
      <c r="H18" s="5"/>
      <c r="I18" s="5"/>
    </row>
    <row r="19" spans="2:9" ht="15" customHeight="1">
      <c r="B19" s="17">
        <f t="shared" si="0"/>
        <v>15</v>
      </c>
      <c r="C19" s="35" t="s">
        <v>704</v>
      </c>
      <c r="D19" s="17" t="s">
        <v>9</v>
      </c>
      <c r="E19" s="17" t="s">
        <v>64</v>
      </c>
      <c r="F19" s="19" t="s">
        <v>10</v>
      </c>
      <c r="G19" s="5" t="s">
        <v>560</v>
      </c>
      <c r="H19" s="5"/>
      <c r="I19" s="5"/>
    </row>
    <row r="20" spans="2:9" ht="15" customHeight="1">
      <c r="B20" s="17">
        <f t="shared" si="0"/>
        <v>16</v>
      </c>
      <c r="C20" s="35" t="s">
        <v>81</v>
      </c>
      <c r="D20" s="17" t="s">
        <v>9</v>
      </c>
      <c r="E20" s="17" t="s">
        <v>67</v>
      </c>
      <c r="F20" s="19" t="s">
        <v>10</v>
      </c>
      <c r="G20" s="5" t="s">
        <v>560</v>
      </c>
      <c r="H20" s="5"/>
      <c r="I20" s="5"/>
    </row>
    <row r="21" spans="2:9" ht="15" customHeight="1">
      <c r="B21" s="17">
        <f t="shared" si="0"/>
        <v>17</v>
      </c>
      <c r="C21" s="35" t="s">
        <v>464</v>
      </c>
      <c r="D21" s="17" t="s">
        <v>456</v>
      </c>
      <c r="E21" s="17" t="s">
        <v>261</v>
      </c>
      <c r="F21" s="19" t="s">
        <v>10</v>
      </c>
      <c r="G21" s="5" t="s">
        <v>560</v>
      </c>
      <c r="H21" s="5"/>
      <c r="I21" s="5"/>
    </row>
    <row r="22" spans="2:9" ht="15" customHeight="1">
      <c r="B22" s="17">
        <f t="shared" si="0"/>
        <v>18</v>
      </c>
      <c r="C22" s="35" t="s">
        <v>249</v>
      </c>
      <c r="D22" s="17" t="s">
        <v>9</v>
      </c>
      <c r="E22" s="17" t="s">
        <v>576</v>
      </c>
      <c r="F22" s="19" t="s">
        <v>10</v>
      </c>
      <c r="G22" s="5" t="s">
        <v>560</v>
      </c>
      <c r="H22" s="5"/>
      <c r="I22" s="5"/>
    </row>
    <row r="23" spans="2:9" ht="15" customHeight="1">
      <c r="B23" s="17">
        <f t="shared" si="0"/>
        <v>19</v>
      </c>
      <c r="C23" s="35" t="s">
        <v>729</v>
      </c>
      <c r="D23" s="17" t="s">
        <v>9</v>
      </c>
      <c r="E23" s="17" t="s">
        <v>730</v>
      </c>
      <c r="F23" s="19" t="s">
        <v>10</v>
      </c>
      <c r="G23" s="5" t="s">
        <v>560</v>
      </c>
      <c r="H23" s="5"/>
      <c r="I23" s="5"/>
    </row>
    <row r="24" spans="2:9" ht="15" customHeight="1">
      <c r="B24" s="17">
        <f t="shared" si="0"/>
        <v>20</v>
      </c>
      <c r="C24" s="35" t="s">
        <v>739</v>
      </c>
      <c r="D24" s="17" t="s">
        <v>740</v>
      </c>
      <c r="E24" s="17" t="s">
        <v>741</v>
      </c>
      <c r="F24" s="19" t="s">
        <v>10</v>
      </c>
      <c r="G24" s="5" t="s">
        <v>560</v>
      </c>
      <c r="H24" s="5"/>
      <c r="I24" s="5"/>
    </row>
    <row r="25" spans="2:9" ht="15" customHeight="1">
      <c r="B25" s="17">
        <f t="shared" si="0"/>
        <v>21</v>
      </c>
      <c r="C25" s="35" t="s">
        <v>802</v>
      </c>
      <c r="D25" s="17" t="s">
        <v>300</v>
      </c>
      <c r="E25" s="17" t="s">
        <v>376</v>
      </c>
      <c r="F25" s="19" t="s">
        <v>10</v>
      </c>
      <c r="G25" s="5" t="s">
        <v>560</v>
      </c>
      <c r="H25" s="5"/>
      <c r="I25" s="5"/>
    </row>
    <row r="26" spans="2:9" ht="15" customHeight="1">
      <c r="B26" s="17">
        <f t="shared" si="0"/>
        <v>22</v>
      </c>
      <c r="C26" s="35" t="s">
        <v>220</v>
      </c>
      <c r="D26" s="17" t="s">
        <v>9</v>
      </c>
      <c r="E26" s="17" t="s">
        <v>265</v>
      </c>
      <c r="F26" s="19" t="s">
        <v>10</v>
      </c>
      <c r="G26" s="5" t="s">
        <v>560</v>
      </c>
      <c r="H26" s="5"/>
      <c r="I26" s="5"/>
    </row>
    <row r="27" spans="2:9" ht="15" customHeight="1">
      <c r="B27" s="17">
        <f t="shared" si="0"/>
        <v>23</v>
      </c>
      <c r="C27" s="35" t="s">
        <v>446</v>
      </c>
      <c r="D27" s="17" t="s">
        <v>444</v>
      </c>
      <c r="E27" s="17" t="s">
        <v>447</v>
      </c>
      <c r="F27" s="19" t="s">
        <v>10</v>
      </c>
      <c r="G27" s="5" t="s">
        <v>560</v>
      </c>
      <c r="H27" s="5"/>
      <c r="I27" s="5"/>
    </row>
    <row r="28" spans="2:9" ht="15" customHeight="1">
      <c r="B28" s="17">
        <f t="shared" si="0"/>
        <v>24</v>
      </c>
      <c r="C28" s="35" t="s">
        <v>54</v>
      </c>
      <c r="D28" s="17" t="s">
        <v>9</v>
      </c>
      <c r="E28" s="17" t="s">
        <v>50</v>
      </c>
      <c r="F28" s="19" t="s">
        <v>10</v>
      </c>
      <c r="G28" s="5" t="s">
        <v>560</v>
      </c>
      <c r="H28" s="5"/>
      <c r="I28" s="5"/>
    </row>
    <row r="29" spans="2:9" ht="15" customHeight="1">
      <c r="B29" s="17">
        <f t="shared" si="0"/>
        <v>25</v>
      </c>
      <c r="C29" s="35" t="s">
        <v>480</v>
      </c>
      <c r="D29" s="17" t="s">
        <v>456</v>
      </c>
      <c r="E29" s="17" t="s">
        <v>481</v>
      </c>
      <c r="F29" s="19" t="s">
        <v>10</v>
      </c>
      <c r="G29" s="5" t="s">
        <v>560</v>
      </c>
      <c r="H29" s="5"/>
      <c r="I29" s="5"/>
    </row>
    <row r="30" spans="2:9" ht="15" customHeight="1">
      <c r="B30" s="17">
        <f t="shared" si="0"/>
        <v>26</v>
      </c>
      <c r="C30" s="35" t="s">
        <v>818</v>
      </c>
      <c r="D30" s="17" t="s">
        <v>415</v>
      </c>
      <c r="E30" s="17" t="s">
        <v>414</v>
      </c>
      <c r="F30" s="19" t="s">
        <v>296</v>
      </c>
      <c r="G30" s="5" t="s">
        <v>560</v>
      </c>
      <c r="H30" s="5"/>
      <c r="I30" s="5"/>
    </row>
    <row r="31" spans="2:9" ht="15" customHeight="1">
      <c r="B31" s="17">
        <f t="shared" si="0"/>
        <v>27</v>
      </c>
      <c r="C31" s="35" t="s">
        <v>849</v>
      </c>
      <c r="D31" s="17" t="s">
        <v>420</v>
      </c>
      <c r="E31" s="17" t="s">
        <v>850</v>
      </c>
      <c r="F31" s="19" t="s">
        <v>296</v>
      </c>
      <c r="G31" s="5" t="s">
        <v>560</v>
      </c>
      <c r="H31" s="5"/>
      <c r="I31" s="5"/>
    </row>
    <row r="32" spans="2:9" ht="15" customHeight="1">
      <c r="B32" s="17">
        <f t="shared" si="0"/>
        <v>28</v>
      </c>
      <c r="C32" s="35" t="s">
        <v>854</v>
      </c>
      <c r="D32" s="17" t="s">
        <v>300</v>
      </c>
      <c r="E32" s="17" t="s">
        <v>394</v>
      </c>
      <c r="F32" s="19" t="s">
        <v>296</v>
      </c>
      <c r="G32" s="5" t="s">
        <v>560</v>
      </c>
      <c r="H32" s="5"/>
      <c r="I32" s="5"/>
    </row>
    <row r="33" spans="2:9" ht="15" customHeight="1">
      <c r="B33" s="17">
        <f t="shared" si="0"/>
        <v>29</v>
      </c>
      <c r="C33" s="35" t="s">
        <v>410</v>
      </c>
      <c r="D33" s="17" t="s">
        <v>415</v>
      </c>
      <c r="E33" s="17" t="s">
        <v>414</v>
      </c>
      <c r="F33" s="19" t="s">
        <v>296</v>
      </c>
      <c r="G33" s="5" t="s">
        <v>560</v>
      </c>
      <c r="H33" s="5"/>
      <c r="I33" s="5"/>
    </row>
    <row r="34" spans="2:9" ht="15" customHeight="1">
      <c r="B34" s="17">
        <f t="shared" si="0"/>
        <v>30</v>
      </c>
      <c r="C34" s="35" t="s">
        <v>895</v>
      </c>
      <c r="D34" s="17" t="s">
        <v>456</v>
      </c>
      <c r="E34" s="17" t="s">
        <v>482</v>
      </c>
      <c r="F34" s="19" t="s">
        <v>296</v>
      </c>
      <c r="G34" s="5" t="s">
        <v>560</v>
      </c>
      <c r="H34" s="5"/>
      <c r="I34" s="5"/>
    </row>
    <row r="35" spans="2:9" ht="15" customHeight="1">
      <c r="B35" s="17">
        <f t="shared" si="0"/>
        <v>31</v>
      </c>
      <c r="C35" s="35" t="s">
        <v>753</v>
      </c>
      <c r="D35" s="17" t="s">
        <v>300</v>
      </c>
      <c r="E35" s="17" t="s">
        <v>299</v>
      </c>
      <c r="F35" s="19" t="s">
        <v>296</v>
      </c>
      <c r="G35" s="5" t="s">
        <v>560</v>
      </c>
      <c r="H35" s="5"/>
      <c r="I35" s="5"/>
    </row>
    <row r="36" spans="2:9" ht="15" customHeight="1">
      <c r="B36" s="17">
        <f t="shared" si="0"/>
        <v>32</v>
      </c>
      <c r="C36" s="35" t="s">
        <v>788</v>
      </c>
      <c r="D36" s="17" t="s">
        <v>300</v>
      </c>
      <c r="E36" s="17" t="s">
        <v>551</v>
      </c>
      <c r="F36" s="19" t="s">
        <v>296</v>
      </c>
      <c r="G36" s="5" t="s">
        <v>560</v>
      </c>
      <c r="H36" s="5"/>
      <c r="I36" s="5"/>
    </row>
    <row r="37" spans="2:9" ht="15" customHeight="1">
      <c r="B37" s="17">
        <f t="shared" si="0"/>
        <v>33</v>
      </c>
      <c r="C37" s="35" t="s">
        <v>564</v>
      </c>
      <c r="D37" s="17" t="s">
        <v>440</v>
      </c>
      <c r="E37" s="17" t="s">
        <v>443</v>
      </c>
      <c r="F37" s="19" t="s">
        <v>296</v>
      </c>
      <c r="G37" s="5" t="s">
        <v>560</v>
      </c>
      <c r="H37" s="5"/>
      <c r="I37" s="5"/>
    </row>
    <row r="38" spans="2:9" ht="15" customHeight="1">
      <c r="B38" s="17">
        <f t="shared" si="0"/>
        <v>34</v>
      </c>
      <c r="C38" s="36" t="s">
        <v>602</v>
      </c>
      <c r="D38" s="17" t="s">
        <v>456</v>
      </c>
      <c r="E38" s="17" t="s">
        <v>261</v>
      </c>
      <c r="F38" s="19" t="s">
        <v>296</v>
      </c>
      <c r="G38" s="5" t="s">
        <v>560</v>
      </c>
      <c r="H38" s="5"/>
      <c r="I38" s="5"/>
    </row>
    <row r="39" spans="2:9" ht="15" customHeight="1">
      <c r="B39" s="17">
        <f t="shared" si="0"/>
        <v>35</v>
      </c>
      <c r="C39" s="35" t="s">
        <v>606</v>
      </c>
      <c r="D39" s="17" t="s">
        <v>444</v>
      </c>
      <c r="E39" s="17" t="s">
        <v>449</v>
      </c>
      <c r="F39" s="19" t="s">
        <v>296</v>
      </c>
      <c r="G39" s="5" t="s">
        <v>560</v>
      </c>
      <c r="H39" s="5"/>
      <c r="I39" s="5"/>
    </row>
    <row r="40" spans="2:9" ht="15" customHeight="1">
      <c r="B40" s="17">
        <f t="shared" si="0"/>
        <v>36</v>
      </c>
      <c r="C40" s="35" t="s">
        <v>411</v>
      </c>
      <c r="D40" s="17" t="s">
        <v>415</v>
      </c>
      <c r="E40" s="17" t="s">
        <v>414</v>
      </c>
      <c r="F40" s="19" t="s">
        <v>296</v>
      </c>
      <c r="G40" s="5" t="s">
        <v>560</v>
      </c>
      <c r="H40" s="5"/>
      <c r="I40" s="5"/>
    </row>
    <row r="41" spans="2:9" ht="15" customHeight="1">
      <c r="B41" s="17">
        <f t="shared" si="0"/>
        <v>37</v>
      </c>
      <c r="C41" s="35" t="s">
        <v>475</v>
      </c>
      <c r="D41" s="17" t="s">
        <v>456</v>
      </c>
      <c r="E41" s="17" t="s">
        <v>482</v>
      </c>
      <c r="F41" s="19" t="s">
        <v>296</v>
      </c>
      <c r="G41" s="5" t="s">
        <v>560</v>
      </c>
      <c r="H41" s="5"/>
      <c r="I41" s="5"/>
    </row>
    <row r="42" spans="2:9" ht="15" customHeight="1">
      <c r="B42" s="16"/>
      <c r="C42" s="23"/>
      <c r="D42" s="16"/>
      <c r="E42" s="16"/>
      <c r="F42" s="20"/>
    </row>
    <row r="43" spans="2:9" ht="15" customHeight="1">
      <c r="B43" s="16"/>
      <c r="C43" s="23"/>
      <c r="D43" s="16"/>
      <c r="E43" s="16"/>
      <c r="F43" s="20"/>
    </row>
    <row r="44" spans="2:9" ht="15" customHeight="1">
      <c r="B44" s="16"/>
      <c r="C44" s="22" t="s">
        <v>909</v>
      </c>
      <c r="D44" s="16"/>
      <c r="E44" s="16"/>
      <c r="F44" s="20"/>
    </row>
    <row r="45" spans="2:9" ht="15" customHeight="1">
      <c r="B45" s="54" t="s">
        <v>1</v>
      </c>
      <c r="C45" s="54" t="s">
        <v>3</v>
      </c>
      <c r="D45" s="54" t="s">
        <v>4</v>
      </c>
      <c r="E45" s="54" t="s">
        <v>5</v>
      </c>
      <c r="F45" s="53" t="s">
        <v>6</v>
      </c>
      <c r="G45" s="54" t="s">
        <v>560</v>
      </c>
      <c r="H45" s="54" t="s">
        <v>553</v>
      </c>
      <c r="I45" s="54" t="s">
        <v>549</v>
      </c>
    </row>
    <row r="46" spans="2:9" ht="15" customHeight="1">
      <c r="B46" s="54"/>
      <c r="C46" s="54"/>
      <c r="D46" s="54"/>
      <c r="E46" s="54"/>
      <c r="F46" s="65"/>
      <c r="G46" s="54"/>
      <c r="H46" s="54"/>
      <c r="I46" s="54"/>
    </row>
    <row r="47" spans="2:9" ht="15" customHeight="1">
      <c r="B47" s="17">
        <v>1</v>
      </c>
      <c r="C47" s="35" t="s">
        <v>596</v>
      </c>
      <c r="D47" s="17" t="s">
        <v>415</v>
      </c>
      <c r="E47" s="17" t="s">
        <v>597</v>
      </c>
      <c r="F47" s="19" t="s">
        <v>10</v>
      </c>
      <c r="G47" s="5"/>
      <c r="H47" s="5" t="s">
        <v>553</v>
      </c>
      <c r="I47" s="5"/>
    </row>
    <row r="48" spans="2:9" ht="15" customHeight="1">
      <c r="B48" s="17">
        <f t="shared" ref="B48:B93" si="1">B47+1</f>
        <v>2</v>
      </c>
      <c r="C48" s="35" t="s">
        <v>332</v>
      </c>
      <c r="D48" s="17" t="s">
        <v>300</v>
      </c>
      <c r="E48" s="17" t="s">
        <v>330</v>
      </c>
      <c r="F48" s="19" t="s">
        <v>10</v>
      </c>
      <c r="G48" s="5"/>
      <c r="H48" s="5" t="s">
        <v>553</v>
      </c>
      <c r="I48" s="5"/>
    </row>
    <row r="49" spans="2:9" ht="15" customHeight="1">
      <c r="B49" s="17">
        <f t="shared" si="1"/>
        <v>3</v>
      </c>
      <c r="C49" s="35" t="s">
        <v>52</v>
      </c>
      <c r="D49" s="17" t="s">
        <v>9</v>
      </c>
      <c r="E49" s="17" t="s">
        <v>50</v>
      </c>
      <c r="F49" s="19" t="s">
        <v>10</v>
      </c>
      <c r="G49" s="5"/>
      <c r="H49" s="5" t="s">
        <v>553</v>
      </c>
      <c r="I49" s="5"/>
    </row>
    <row r="50" spans="2:9" ht="15" customHeight="1">
      <c r="B50" s="17">
        <f t="shared" si="1"/>
        <v>4</v>
      </c>
      <c r="C50" s="35" t="s">
        <v>150</v>
      </c>
      <c r="D50" s="17" t="s">
        <v>300</v>
      </c>
      <c r="E50" s="17" t="s">
        <v>349</v>
      </c>
      <c r="F50" s="19" t="s">
        <v>10</v>
      </c>
      <c r="G50" s="5"/>
      <c r="H50" s="5" t="s">
        <v>553</v>
      </c>
      <c r="I50" s="5"/>
    </row>
    <row r="51" spans="2:9" ht="15" customHeight="1">
      <c r="B51" s="17">
        <f t="shared" si="1"/>
        <v>5</v>
      </c>
      <c r="C51" s="35" t="s">
        <v>688</v>
      </c>
      <c r="D51" s="17" t="s">
        <v>9</v>
      </c>
      <c r="E51" s="17" t="s">
        <v>292</v>
      </c>
      <c r="F51" s="19" t="s">
        <v>10</v>
      </c>
      <c r="G51" s="5"/>
      <c r="H51" s="5" t="s">
        <v>553</v>
      </c>
      <c r="I51" s="5"/>
    </row>
    <row r="52" spans="2:9" ht="15" customHeight="1">
      <c r="B52" s="17">
        <f t="shared" si="1"/>
        <v>6</v>
      </c>
      <c r="C52" s="35" t="s">
        <v>188</v>
      </c>
      <c r="D52" s="17" t="s">
        <v>9</v>
      </c>
      <c r="E52" s="17" t="s">
        <v>123</v>
      </c>
      <c r="F52" s="19" t="s">
        <v>10</v>
      </c>
      <c r="G52" s="5"/>
      <c r="H52" s="5" t="s">
        <v>553</v>
      </c>
      <c r="I52" s="5"/>
    </row>
    <row r="53" spans="2:9" ht="15" customHeight="1">
      <c r="B53" s="17">
        <f t="shared" si="1"/>
        <v>7</v>
      </c>
      <c r="C53" s="35" t="s">
        <v>127</v>
      </c>
      <c r="D53" s="17" t="s">
        <v>9</v>
      </c>
      <c r="E53" s="17" t="s">
        <v>123</v>
      </c>
      <c r="F53" s="19" t="s">
        <v>10</v>
      </c>
      <c r="G53" s="5"/>
      <c r="H53" s="5" t="s">
        <v>553</v>
      </c>
      <c r="I53" s="5"/>
    </row>
    <row r="54" spans="2:9" ht="15" customHeight="1">
      <c r="B54" s="17">
        <f t="shared" si="1"/>
        <v>8</v>
      </c>
      <c r="C54" s="35" t="s">
        <v>371</v>
      </c>
      <c r="D54" s="17" t="s">
        <v>300</v>
      </c>
      <c r="E54" s="17" t="s">
        <v>372</v>
      </c>
      <c r="F54" s="19" t="s">
        <v>10</v>
      </c>
      <c r="G54" s="5"/>
      <c r="H54" s="5" t="s">
        <v>553</v>
      </c>
      <c r="I54" s="5"/>
    </row>
    <row r="55" spans="2:9" ht="15" customHeight="1">
      <c r="B55" s="17">
        <f t="shared" si="1"/>
        <v>9</v>
      </c>
      <c r="C55" s="35" t="s">
        <v>168</v>
      </c>
      <c r="D55" s="17" t="s">
        <v>9</v>
      </c>
      <c r="E55" s="17" t="s">
        <v>123</v>
      </c>
      <c r="F55" s="19" t="s">
        <v>10</v>
      </c>
      <c r="G55" s="5"/>
      <c r="H55" s="5" t="s">
        <v>553</v>
      </c>
      <c r="I55" s="5"/>
    </row>
    <row r="56" spans="2:9" ht="15" customHeight="1">
      <c r="B56" s="17">
        <f t="shared" si="1"/>
        <v>10</v>
      </c>
      <c r="C56" s="35" t="s">
        <v>800</v>
      </c>
      <c r="D56" s="17" t="s">
        <v>415</v>
      </c>
      <c r="E56" s="17" t="s">
        <v>404</v>
      </c>
      <c r="F56" s="19" t="s">
        <v>10</v>
      </c>
      <c r="G56" s="5"/>
      <c r="H56" s="5" t="s">
        <v>553</v>
      </c>
      <c r="I56" s="5"/>
    </row>
    <row r="57" spans="2:9" ht="15" customHeight="1">
      <c r="B57" s="17">
        <f t="shared" si="1"/>
        <v>11</v>
      </c>
      <c r="C57" s="35" t="s">
        <v>110</v>
      </c>
      <c r="D57" s="17" t="s">
        <v>9</v>
      </c>
      <c r="E57" s="17" t="s">
        <v>111</v>
      </c>
      <c r="F57" s="19" t="s">
        <v>10</v>
      </c>
      <c r="G57" s="5"/>
      <c r="H57" s="5" t="s">
        <v>553</v>
      </c>
      <c r="I57" s="5"/>
    </row>
    <row r="58" spans="2:9" ht="15" customHeight="1">
      <c r="B58" s="17">
        <f t="shared" si="1"/>
        <v>12</v>
      </c>
      <c r="C58" s="35" t="s">
        <v>843</v>
      </c>
      <c r="D58" s="17" t="s">
        <v>300</v>
      </c>
      <c r="E58" s="17" t="s">
        <v>656</v>
      </c>
      <c r="F58" s="19" t="s">
        <v>10</v>
      </c>
      <c r="G58" s="5"/>
      <c r="H58" s="5" t="s">
        <v>553</v>
      </c>
      <c r="I58" s="5"/>
    </row>
    <row r="59" spans="2:9" ht="15" customHeight="1">
      <c r="B59" s="17">
        <f t="shared" si="1"/>
        <v>13</v>
      </c>
      <c r="C59" s="35" t="s">
        <v>156</v>
      </c>
      <c r="D59" s="17" t="s">
        <v>9</v>
      </c>
      <c r="E59" s="17" t="s">
        <v>123</v>
      </c>
      <c r="F59" s="19" t="s">
        <v>10</v>
      </c>
      <c r="G59" s="5"/>
      <c r="H59" s="5" t="s">
        <v>553</v>
      </c>
      <c r="I59" s="5"/>
    </row>
    <row r="60" spans="2:9" ht="15" customHeight="1">
      <c r="B60" s="17">
        <f t="shared" si="1"/>
        <v>14</v>
      </c>
      <c r="C60" s="35" t="s">
        <v>348</v>
      </c>
      <c r="D60" s="17" t="s">
        <v>300</v>
      </c>
      <c r="E60" s="17" t="s">
        <v>349</v>
      </c>
      <c r="F60" s="19" t="s">
        <v>10</v>
      </c>
      <c r="G60" s="5"/>
      <c r="H60" s="5" t="s">
        <v>553</v>
      </c>
      <c r="I60" s="5"/>
    </row>
    <row r="61" spans="2:9" ht="15" customHeight="1">
      <c r="B61" s="17">
        <f t="shared" si="1"/>
        <v>15</v>
      </c>
      <c r="C61" s="36" t="s">
        <v>63</v>
      </c>
      <c r="D61" s="17" t="s">
        <v>9</v>
      </c>
      <c r="E61" s="17" t="s">
        <v>64</v>
      </c>
      <c r="F61" s="19" t="s">
        <v>10</v>
      </c>
      <c r="G61" s="5"/>
      <c r="H61" s="5" t="s">
        <v>553</v>
      </c>
      <c r="I61" s="5"/>
    </row>
    <row r="62" spans="2:9" ht="15" customHeight="1">
      <c r="B62" s="17">
        <f t="shared" si="1"/>
        <v>16</v>
      </c>
      <c r="C62" s="35" t="s">
        <v>142</v>
      </c>
      <c r="D62" s="17" t="s">
        <v>9</v>
      </c>
      <c r="E62" s="17" t="s">
        <v>123</v>
      </c>
      <c r="F62" s="19" t="s">
        <v>10</v>
      </c>
      <c r="G62" s="5"/>
      <c r="H62" s="5" t="s">
        <v>553</v>
      </c>
      <c r="I62" s="5"/>
    </row>
    <row r="63" spans="2:9" ht="15" customHeight="1">
      <c r="B63" s="17">
        <f t="shared" si="1"/>
        <v>17</v>
      </c>
      <c r="C63" s="35" t="s">
        <v>158</v>
      </c>
      <c r="D63" s="17" t="s">
        <v>9</v>
      </c>
      <c r="E63" s="17" t="s">
        <v>123</v>
      </c>
      <c r="F63" s="19" t="s">
        <v>10</v>
      </c>
      <c r="G63" s="5"/>
      <c r="H63" s="5" t="s">
        <v>553</v>
      </c>
      <c r="I63" s="5"/>
    </row>
    <row r="64" spans="2:9" ht="15" customHeight="1">
      <c r="B64" s="17">
        <f t="shared" si="1"/>
        <v>18</v>
      </c>
      <c r="C64" s="35" t="s">
        <v>242</v>
      </c>
      <c r="D64" s="17" t="s">
        <v>9</v>
      </c>
      <c r="E64" s="17" t="s">
        <v>910</v>
      </c>
      <c r="F64" s="19" t="s">
        <v>10</v>
      </c>
      <c r="G64" s="5"/>
      <c r="H64" s="5" t="s">
        <v>553</v>
      </c>
      <c r="I64" s="5"/>
    </row>
    <row r="65" spans="2:9" ht="15" customHeight="1">
      <c r="B65" s="17">
        <f t="shared" si="1"/>
        <v>19</v>
      </c>
      <c r="C65" s="35" t="s">
        <v>709</v>
      </c>
      <c r="D65" s="17" t="s">
        <v>9</v>
      </c>
      <c r="E65" s="17" t="s">
        <v>64</v>
      </c>
      <c r="F65" s="19" t="s">
        <v>10</v>
      </c>
      <c r="G65" s="5"/>
      <c r="H65" s="5" t="s">
        <v>553</v>
      </c>
      <c r="I65" s="5"/>
    </row>
    <row r="66" spans="2:9" ht="15" customHeight="1">
      <c r="B66" s="17">
        <f t="shared" si="1"/>
        <v>20</v>
      </c>
      <c r="C66" s="35" t="s">
        <v>724</v>
      </c>
      <c r="D66" s="17" t="s">
        <v>483</v>
      </c>
      <c r="E66" s="17" t="s">
        <v>497</v>
      </c>
      <c r="F66" s="19" t="s">
        <v>10</v>
      </c>
      <c r="G66" s="5"/>
      <c r="H66" s="5" t="s">
        <v>553</v>
      </c>
      <c r="I66" s="5"/>
    </row>
    <row r="67" spans="2:9" ht="15" customHeight="1">
      <c r="B67" s="17">
        <f t="shared" si="1"/>
        <v>21</v>
      </c>
      <c r="C67" s="35" t="s">
        <v>69</v>
      </c>
      <c r="D67" s="17" t="s">
        <v>9</v>
      </c>
      <c r="E67" s="17" t="s">
        <v>67</v>
      </c>
      <c r="F67" s="19" t="s">
        <v>10</v>
      </c>
      <c r="G67" s="5"/>
      <c r="H67" s="5" t="s">
        <v>553</v>
      </c>
      <c r="I67" s="5"/>
    </row>
    <row r="68" spans="2:9" ht="15" customHeight="1">
      <c r="B68" s="17">
        <f t="shared" si="1"/>
        <v>22</v>
      </c>
      <c r="C68" s="35" t="s">
        <v>761</v>
      </c>
      <c r="D68" s="17" t="s">
        <v>9</v>
      </c>
      <c r="E68" s="17" t="s">
        <v>265</v>
      </c>
      <c r="F68" s="19" t="s">
        <v>10</v>
      </c>
      <c r="G68" s="5"/>
      <c r="H68" s="5" t="s">
        <v>553</v>
      </c>
      <c r="I68" s="5"/>
    </row>
    <row r="69" spans="2:9" ht="15" customHeight="1">
      <c r="B69" s="17">
        <f t="shared" si="1"/>
        <v>23</v>
      </c>
      <c r="C69" s="35" t="s">
        <v>781</v>
      </c>
      <c r="D69" s="17" t="s">
        <v>300</v>
      </c>
      <c r="E69" s="17" t="s">
        <v>355</v>
      </c>
      <c r="F69" s="19" t="s">
        <v>10</v>
      </c>
      <c r="G69" s="5"/>
      <c r="H69" s="5" t="s">
        <v>553</v>
      </c>
      <c r="I69" s="5"/>
    </row>
    <row r="70" spans="2:9" ht="15" customHeight="1">
      <c r="B70" s="17">
        <f t="shared" si="1"/>
        <v>24</v>
      </c>
      <c r="C70" s="35" t="s">
        <v>830</v>
      </c>
      <c r="D70" s="17" t="s">
        <v>9</v>
      </c>
      <c r="E70" s="17" t="s">
        <v>67</v>
      </c>
      <c r="F70" s="19" t="s">
        <v>10</v>
      </c>
      <c r="G70" s="5"/>
      <c r="H70" s="5" t="s">
        <v>553</v>
      </c>
      <c r="I70" s="5"/>
    </row>
    <row r="71" spans="2:9" ht="15" customHeight="1">
      <c r="B71" s="17">
        <f t="shared" si="1"/>
        <v>25</v>
      </c>
      <c r="C71" s="35" t="s">
        <v>857</v>
      </c>
      <c r="D71" s="17" t="s">
        <v>9</v>
      </c>
      <c r="E71" s="17" t="s">
        <v>123</v>
      </c>
      <c r="F71" s="19" t="s">
        <v>10</v>
      </c>
      <c r="G71" s="5"/>
      <c r="H71" s="5" t="s">
        <v>553</v>
      </c>
      <c r="I71" s="5"/>
    </row>
    <row r="72" spans="2:9" ht="15" customHeight="1">
      <c r="B72" s="17">
        <f t="shared" si="1"/>
        <v>26</v>
      </c>
      <c r="C72" s="35" t="s">
        <v>403</v>
      </c>
      <c r="D72" s="17" t="s">
        <v>415</v>
      </c>
      <c r="E72" s="17" t="s">
        <v>404</v>
      </c>
      <c r="F72" s="19" t="s">
        <v>10</v>
      </c>
      <c r="G72" s="5"/>
      <c r="H72" s="5" t="s">
        <v>553</v>
      </c>
      <c r="I72" s="5"/>
    </row>
    <row r="73" spans="2:9" ht="15" customHeight="1">
      <c r="B73" s="17">
        <f t="shared" si="1"/>
        <v>27</v>
      </c>
      <c r="C73" s="35" t="s">
        <v>433</v>
      </c>
      <c r="D73" s="17" t="s">
        <v>420</v>
      </c>
      <c r="E73" s="17" t="s">
        <v>439</v>
      </c>
      <c r="F73" s="19" t="s">
        <v>296</v>
      </c>
      <c r="G73" s="5"/>
      <c r="H73" s="5" t="s">
        <v>553</v>
      </c>
      <c r="I73" s="5"/>
    </row>
    <row r="74" spans="2:9" ht="15" customHeight="1">
      <c r="B74" s="17">
        <f t="shared" si="1"/>
        <v>28</v>
      </c>
      <c r="C74" s="35" t="s">
        <v>640</v>
      </c>
      <c r="D74" s="17" t="s">
        <v>300</v>
      </c>
      <c r="E74" s="17" t="s">
        <v>399</v>
      </c>
      <c r="F74" s="19" t="s">
        <v>296</v>
      </c>
      <c r="G74" s="5"/>
      <c r="H74" s="5" t="s">
        <v>553</v>
      </c>
      <c r="I74" s="5"/>
    </row>
    <row r="75" spans="2:9" ht="15" customHeight="1">
      <c r="B75" s="17">
        <f t="shared" si="1"/>
        <v>29</v>
      </c>
      <c r="C75" s="35" t="s">
        <v>672</v>
      </c>
      <c r="D75" s="17" t="s">
        <v>300</v>
      </c>
      <c r="E75" s="17" t="s">
        <v>400</v>
      </c>
      <c r="F75" s="19" t="s">
        <v>296</v>
      </c>
      <c r="G75" s="5"/>
      <c r="H75" s="5" t="s">
        <v>553</v>
      </c>
      <c r="I75" s="5"/>
    </row>
    <row r="76" spans="2:9" ht="15" customHeight="1">
      <c r="B76" s="17">
        <f t="shared" si="1"/>
        <v>30</v>
      </c>
      <c r="C76" s="35" t="s">
        <v>722</v>
      </c>
      <c r="D76" s="17" t="s">
        <v>300</v>
      </c>
      <c r="E76" s="17" t="s">
        <v>400</v>
      </c>
      <c r="F76" s="19" t="s">
        <v>296</v>
      </c>
      <c r="G76" s="5"/>
      <c r="H76" s="5" t="s">
        <v>553</v>
      </c>
      <c r="I76" s="5"/>
    </row>
    <row r="77" spans="2:9" ht="15" customHeight="1">
      <c r="B77" s="17">
        <f t="shared" si="1"/>
        <v>31</v>
      </c>
      <c r="C77" s="35" t="s">
        <v>737</v>
      </c>
      <c r="D77" s="17" t="s">
        <v>300</v>
      </c>
      <c r="E77" s="17" t="s">
        <v>399</v>
      </c>
      <c r="F77" s="19" t="s">
        <v>296</v>
      </c>
      <c r="G77" s="5"/>
      <c r="H77" s="5" t="s">
        <v>553</v>
      </c>
      <c r="I77" s="5"/>
    </row>
    <row r="78" spans="2:9" ht="15" customHeight="1">
      <c r="B78" s="17">
        <f t="shared" si="1"/>
        <v>32</v>
      </c>
      <c r="C78" s="35" t="s">
        <v>776</v>
      </c>
      <c r="D78" s="17" t="s">
        <v>420</v>
      </c>
      <c r="E78" s="17" t="s">
        <v>439</v>
      </c>
      <c r="F78" s="19" t="s">
        <v>296</v>
      </c>
      <c r="G78" s="5"/>
      <c r="H78" s="5" t="s">
        <v>553</v>
      </c>
      <c r="I78" s="5"/>
    </row>
    <row r="79" spans="2:9" ht="15" customHeight="1">
      <c r="B79" s="17">
        <f t="shared" si="1"/>
        <v>33</v>
      </c>
      <c r="C79" s="35" t="s">
        <v>393</v>
      </c>
      <c r="D79" s="17" t="s">
        <v>300</v>
      </c>
      <c r="E79" s="17" t="s">
        <v>556</v>
      </c>
      <c r="F79" s="19" t="s">
        <v>296</v>
      </c>
      <c r="G79" s="5"/>
      <c r="H79" s="5" t="s">
        <v>553</v>
      </c>
      <c r="I79" s="5"/>
    </row>
    <row r="80" spans="2:9" ht="15" customHeight="1">
      <c r="B80" s="17">
        <f t="shared" si="1"/>
        <v>34</v>
      </c>
      <c r="C80" s="35" t="s">
        <v>790</v>
      </c>
      <c r="D80" s="17" t="s">
        <v>300</v>
      </c>
      <c r="E80" s="17" t="s">
        <v>556</v>
      </c>
      <c r="F80" s="19" t="s">
        <v>296</v>
      </c>
      <c r="G80" s="5"/>
      <c r="H80" s="5" t="s">
        <v>553</v>
      </c>
      <c r="I80" s="5"/>
    </row>
    <row r="81" spans="2:9" ht="15" customHeight="1">
      <c r="B81" s="17">
        <f t="shared" si="1"/>
        <v>35</v>
      </c>
      <c r="C81" s="35" t="s">
        <v>812</v>
      </c>
      <c r="D81" s="17" t="s">
        <v>450</v>
      </c>
      <c r="E81" s="17" t="s">
        <v>454</v>
      </c>
      <c r="F81" s="19" t="s">
        <v>296</v>
      </c>
      <c r="G81" s="5"/>
      <c r="H81" s="5" t="s">
        <v>553</v>
      </c>
      <c r="I81" s="5"/>
    </row>
    <row r="82" spans="2:9" ht="15" customHeight="1">
      <c r="B82" s="17">
        <f t="shared" si="1"/>
        <v>36</v>
      </c>
      <c r="C82" s="35" t="s">
        <v>448</v>
      </c>
      <c r="D82" s="17" t="s">
        <v>440</v>
      </c>
      <c r="E82" s="17" t="s">
        <v>443</v>
      </c>
      <c r="F82" s="19" t="s">
        <v>296</v>
      </c>
      <c r="G82" s="5"/>
      <c r="H82" s="5" t="s">
        <v>553</v>
      </c>
      <c r="I82" s="5"/>
    </row>
    <row r="83" spans="2:9" ht="15" customHeight="1">
      <c r="B83" s="17">
        <f t="shared" si="1"/>
        <v>37</v>
      </c>
      <c r="C83" s="35" t="s">
        <v>438</v>
      </c>
      <c r="D83" s="17" t="s">
        <v>420</v>
      </c>
      <c r="E83" s="17" t="s">
        <v>436</v>
      </c>
      <c r="F83" s="19" t="s">
        <v>296</v>
      </c>
      <c r="G83" s="5"/>
      <c r="H83" s="5" t="s">
        <v>553</v>
      </c>
      <c r="I83" s="5"/>
    </row>
    <row r="84" spans="2:9" ht="15" customHeight="1">
      <c r="B84" s="17">
        <f t="shared" si="1"/>
        <v>38</v>
      </c>
      <c r="C84" s="35" t="s">
        <v>298</v>
      </c>
      <c r="D84" s="17" t="s">
        <v>300</v>
      </c>
      <c r="E84" s="17" t="s">
        <v>299</v>
      </c>
      <c r="F84" s="19" t="s">
        <v>296</v>
      </c>
      <c r="G84" s="5"/>
      <c r="H84" s="5" t="s">
        <v>553</v>
      </c>
      <c r="I84" s="5"/>
    </row>
    <row r="85" spans="2:9" ht="15" customHeight="1">
      <c r="B85" s="17">
        <f t="shared" si="1"/>
        <v>39</v>
      </c>
      <c r="C85" s="35" t="s">
        <v>891</v>
      </c>
      <c r="D85" s="17" t="s">
        <v>300</v>
      </c>
      <c r="E85" s="17" t="s">
        <v>556</v>
      </c>
      <c r="F85" s="19" t="s">
        <v>296</v>
      </c>
      <c r="G85" s="5"/>
      <c r="H85" s="5" t="s">
        <v>553</v>
      </c>
      <c r="I85" s="5"/>
    </row>
    <row r="86" spans="2:9" ht="15" customHeight="1">
      <c r="B86" s="17">
        <f t="shared" si="1"/>
        <v>40</v>
      </c>
      <c r="C86" s="35" t="s">
        <v>562</v>
      </c>
      <c r="D86" s="17" t="s">
        <v>300</v>
      </c>
      <c r="E86" s="17" t="s">
        <v>551</v>
      </c>
      <c r="F86" s="19" t="s">
        <v>296</v>
      </c>
      <c r="G86" s="5"/>
      <c r="H86" s="5" t="s">
        <v>553</v>
      </c>
      <c r="I86" s="5"/>
    </row>
    <row r="87" spans="2:9" ht="15" customHeight="1">
      <c r="B87" s="17">
        <f t="shared" si="1"/>
        <v>41</v>
      </c>
      <c r="C87" s="35" t="s">
        <v>568</v>
      </c>
      <c r="D87" s="17" t="s">
        <v>300</v>
      </c>
      <c r="E87" s="17" t="s">
        <v>400</v>
      </c>
      <c r="F87" s="19" t="s">
        <v>296</v>
      </c>
      <c r="G87" s="5"/>
      <c r="H87" s="5" t="s">
        <v>553</v>
      </c>
      <c r="I87" s="5"/>
    </row>
    <row r="88" spans="2:9" ht="15" customHeight="1">
      <c r="B88" s="17">
        <f t="shared" si="1"/>
        <v>42</v>
      </c>
      <c r="C88" s="35" t="s">
        <v>636</v>
      </c>
      <c r="D88" s="17" t="s">
        <v>300</v>
      </c>
      <c r="E88" s="17" t="s">
        <v>620</v>
      </c>
      <c r="F88" s="19" t="s">
        <v>296</v>
      </c>
      <c r="G88" s="5"/>
      <c r="H88" s="5" t="s">
        <v>553</v>
      </c>
      <c r="I88" s="5"/>
    </row>
    <row r="89" spans="2:9" ht="15" customHeight="1">
      <c r="B89" s="17">
        <f t="shared" si="1"/>
        <v>43</v>
      </c>
      <c r="C89" s="35" t="s">
        <v>646</v>
      </c>
      <c r="D89" s="17" t="s">
        <v>415</v>
      </c>
      <c r="E89" s="17" t="s">
        <v>414</v>
      </c>
      <c r="F89" s="19" t="s">
        <v>296</v>
      </c>
      <c r="G89" s="5"/>
      <c r="H89" s="5" t="s">
        <v>553</v>
      </c>
      <c r="I89" s="5"/>
    </row>
    <row r="90" spans="2:9" ht="15" customHeight="1">
      <c r="B90" s="17">
        <f t="shared" si="1"/>
        <v>44</v>
      </c>
      <c r="C90" s="35" t="s">
        <v>747</v>
      </c>
      <c r="D90" s="17" t="s">
        <v>300</v>
      </c>
      <c r="E90" s="17" t="s">
        <v>399</v>
      </c>
      <c r="F90" s="19" t="s">
        <v>296</v>
      </c>
      <c r="G90" s="5"/>
      <c r="H90" s="5" t="s">
        <v>553</v>
      </c>
      <c r="I90" s="5"/>
    </row>
    <row r="91" spans="2:9" ht="15" customHeight="1">
      <c r="B91" s="17">
        <f t="shared" si="1"/>
        <v>45</v>
      </c>
      <c r="C91" s="35" t="s">
        <v>333</v>
      </c>
      <c r="D91" s="17" t="s">
        <v>300</v>
      </c>
      <c r="E91" s="17" t="s">
        <v>400</v>
      </c>
      <c r="F91" s="19" t="s">
        <v>296</v>
      </c>
      <c r="G91" s="5"/>
      <c r="H91" s="5" t="s">
        <v>553</v>
      </c>
      <c r="I91" s="5"/>
    </row>
    <row r="92" spans="2:9" ht="15" customHeight="1">
      <c r="B92" s="17">
        <f t="shared" si="1"/>
        <v>46</v>
      </c>
      <c r="C92" s="35" t="s">
        <v>566</v>
      </c>
      <c r="D92" s="17" t="s">
        <v>420</v>
      </c>
      <c r="E92" s="17" t="s">
        <v>436</v>
      </c>
      <c r="F92" s="19" t="s">
        <v>296</v>
      </c>
      <c r="G92" s="5"/>
      <c r="H92" s="5" t="s">
        <v>553</v>
      </c>
      <c r="I92" s="5"/>
    </row>
    <row r="93" spans="2:9" ht="15" customHeight="1">
      <c r="B93" s="17">
        <f t="shared" si="1"/>
        <v>47</v>
      </c>
      <c r="C93" s="35" t="s">
        <v>588</v>
      </c>
      <c r="D93" s="17" t="s">
        <v>420</v>
      </c>
      <c r="E93" s="17" t="s">
        <v>436</v>
      </c>
      <c r="F93" s="19" t="s">
        <v>296</v>
      </c>
      <c r="G93" s="5"/>
      <c r="H93" s="5" t="s">
        <v>553</v>
      </c>
      <c r="I93" s="5"/>
    </row>
    <row r="94" spans="2:9" ht="15" customHeight="1">
      <c r="B94" s="16"/>
      <c r="C94" s="23"/>
      <c r="D94" s="16"/>
      <c r="E94" s="16"/>
      <c r="F94" s="20"/>
    </row>
    <row r="95" spans="2:9" ht="15" customHeight="1">
      <c r="C95" s="22" t="s">
        <v>911</v>
      </c>
      <c r="D95" s="22"/>
      <c r="E95" s="22"/>
      <c r="F95" s="37"/>
      <c r="G95" s="38"/>
      <c r="H95" s="38"/>
      <c r="I95" s="38"/>
    </row>
    <row r="96" spans="2:9" ht="15" customHeight="1">
      <c r="B96" s="54" t="s">
        <v>1</v>
      </c>
      <c r="C96" s="54" t="s">
        <v>3</v>
      </c>
      <c r="D96" s="54" t="s">
        <v>4</v>
      </c>
      <c r="E96" s="54" t="s">
        <v>5</v>
      </c>
      <c r="F96" s="53" t="s">
        <v>6</v>
      </c>
      <c r="G96" s="54" t="s">
        <v>560</v>
      </c>
      <c r="H96" s="54" t="s">
        <v>553</v>
      </c>
      <c r="I96" s="54" t="s">
        <v>549</v>
      </c>
    </row>
    <row r="97" spans="2:9" ht="15" customHeight="1">
      <c r="B97" s="54"/>
      <c r="C97" s="54"/>
      <c r="D97" s="54"/>
      <c r="E97" s="54"/>
      <c r="F97" s="65"/>
      <c r="G97" s="54"/>
      <c r="H97" s="54"/>
      <c r="I97" s="54"/>
    </row>
    <row r="98" spans="2:9" ht="15" customHeight="1">
      <c r="B98" s="17">
        <v>1</v>
      </c>
      <c r="C98" s="35" t="s">
        <v>547</v>
      </c>
      <c r="D98" s="17" t="s">
        <v>420</v>
      </c>
      <c r="E98" s="17" t="s">
        <v>548</v>
      </c>
      <c r="F98" s="19" t="s">
        <v>10</v>
      </c>
      <c r="G98" s="5"/>
      <c r="H98" s="5"/>
      <c r="I98" s="5" t="s">
        <v>549</v>
      </c>
    </row>
    <row r="99" spans="2:9" ht="15" customHeight="1">
      <c r="B99" s="17">
        <f>B98+1</f>
        <v>2</v>
      </c>
      <c r="C99" s="35" t="s">
        <v>315</v>
      </c>
      <c r="D99" s="17" t="s">
        <v>300</v>
      </c>
      <c r="E99" s="17" t="s">
        <v>316</v>
      </c>
      <c r="F99" s="19" t="s">
        <v>10</v>
      </c>
      <c r="G99" s="5"/>
      <c r="H99" s="5"/>
      <c r="I99" s="5" t="s">
        <v>549</v>
      </c>
    </row>
    <row r="100" spans="2:9" ht="15" customHeight="1">
      <c r="B100" s="17">
        <f t="shared" ref="B100:B130" si="2">B99+1</f>
        <v>3</v>
      </c>
      <c r="C100" s="35" t="s">
        <v>612</v>
      </c>
      <c r="D100" s="17" t="s">
        <v>415</v>
      </c>
      <c r="E100" s="17" t="s">
        <v>416</v>
      </c>
      <c r="F100" s="19" t="s">
        <v>10</v>
      </c>
      <c r="G100" s="5"/>
      <c r="H100" s="5"/>
      <c r="I100" s="5" t="s">
        <v>549</v>
      </c>
    </row>
    <row r="101" spans="2:9" ht="15" customHeight="1">
      <c r="B101" s="17">
        <f t="shared" si="2"/>
        <v>4</v>
      </c>
      <c r="C101" s="35" t="s">
        <v>357</v>
      </c>
      <c r="D101" s="17" t="s">
        <v>300</v>
      </c>
      <c r="E101" s="17" t="s">
        <v>621</v>
      </c>
      <c r="F101" s="19" t="s">
        <v>10</v>
      </c>
      <c r="G101" s="5"/>
      <c r="H101" s="5"/>
      <c r="I101" s="5" t="s">
        <v>549</v>
      </c>
    </row>
    <row r="102" spans="2:9" ht="15" customHeight="1">
      <c r="B102" s="17">
        <f t="shared" si="2"/>
        <v>5</v>
      </c>
      <c r="C102" s="35" t="s">
        <v>327</v>
      </c>
      <c r="D102" s="17" t="s">
        <v>300</v>
      </c>
      <c r="E102" s="17" t="s">
        <v>330</v>
      </c>
      <c r="F102" s="19" t="s">
        <v>10</v>
      </c>
      <c r="G102" s="5"/>
      <c r="H102" s="5"/>
      <c r="I102" s="5" t="s">
        <v>549</v>
      </c>
    </row>
    <row r="103" spans="2:9" ht="15" customHeight="1">
      <c r="B103" s="17">
        <f t="shared" si="2"/>
        <v>6</v>
      </c>
      <c r="C103" s="35" t="s">
        <v>684</v>
      </c>
      <c r="D103" s="17" t="s">
        <v>456</v>
      </c>
      <c r="E103" s="17" t="s">
        <v>118</v>
      </c>
      <c r="F103" s="19" t="s">
        <v>10</v>
      </c>
      <c r="G103" s="5"/>
      <c r="H103" s="5"/>
      <c r="I103" s="5" t="s">
        <v>549</v>
      </c>
    </row>
    <row r="104" spans="2:9" ht="15" customHeight="1">
      <c r="B104" s="17">
        <f t="shared" si="2"/>
        <v>7</v>
      </c>
      <c r="C104" s="35" t="s">
        <v>702</v>
      </c>
      <c r="D104" s="17" t="s">
        <v>420</v>
      </c>
      <c r="E104" s="17" t="s">
        <v>429</v>
      </c>
      <c r="F104" s="19" t="s">
        <v>10</v>
      </c>
      <c r="G104" s="5"/>
      <c r="H104" s="5"/>
      <c r="I104" s="5" t="s">
        <v>549</v>
      </c>
    </row>
    <row r="105" spans="2:9" ht="15" customHeight="1">
      <c r="B105" s="17">
        <f t="shared" si="2"/>
        <v>8</v>
      </c>
      <c r="C105" s="35" t="s">
        <v>504</v>
      </c>
      <c r="D105" s="17" t="s">
        <v>483</v>
      </c>
      <c r="E105" s="17" t="s">
        <v>497</v>
      </c>
      <c r="F105" s="19" t="s">
        <v>10</v>
      </c>
      <c r="G105" s="5"/>
      <c r="H105" s="5"/>
      <c r="I105" s="5" t="s">
        <v>549</v>
      </c>
    </row>
    <row r="106" spans="2:9" ht="15" customHeight="1">
      <c r="B106" s="17">
        <f t="shared" si="2"/>
        <v>9</v>
      </c>
      <c r="C106" s="35" t="s">
        <v>368</v>
      </c>
      <c r="D106" s="17" t="s">
        <v>300</v>
      </c>
      <c r="E106" s="17" t="s">
        <v>369</v>
      </c>
      <c r="F106" s="19" t="s">
        <v>10</v>
      </c>
      <c r="G106" s="5"/>
      <c r="H106" s="5"/>
      <c r="I106" s="5" t="s">
        <v>549</v>
      </c>
    </row>
    <row r="107" spans="2:9" ht="15" customHeight="1">
      <c r="B107" s="17">
        <f t="shared" si="2"/>
        <v>10</v>
      </c>
      <c r="C107" s="35" t="s">
        <v>422</v>
      </c>
      <c r="D107" s="17" t="s">
        <v>420</v>
      </c>
      <c r="E107" s="17" t="s">
        <v>423</v>
      </c>
      <c r="F107" s="19" t="s">
        <v>10</v>
      </c>
      <c r="G107" s="5"/>
      <c r="H107" s="5"/>
      <c r="I107" s="5" t="s">
        <v>549</v>
      </c>
    </row>
    <row r="108" spans="2:9" ht="15" customHeight="1">
      <c r="B108" s="17">
        <f t="shared" si="2"/>
        <v>11</v>
      </c>
      <c r="C108" s="35" t="s">
        <v>749</v>
      </c>
      <c r="D108" s="17" t="s">
        <v>300</v>
      </c>
      <c r="E108" s="17" t="s">
        <v>316</v>
      </c>
      <c r="F108" s="19" t="s">
        <v>10</v>
      </c>
      <c r="G108" s="5"/>
      <c r="H108" s="5"/>
      <c r="I108" s="5" t="s">
        <v>549</v>
      </c>
    </row>
    <row r="109" spans="2:9" ht="15" customHeight="1">
      <c r="B109" s="17">
        <f t="shared" si="2"/>
        <v>12</v>
      </c>
      <c r="C109" s="35" t="s">
        <v>837</v>
      </c>
      <c r="D109" s="17" t="s">
        <v>483</v>
      </c>
      <c r="E109" s="17" t="s">
        <v>497</v>
      </c>
      <c r="F109" s="19" t="s">
        <v>10</v>
      </c>
      <c r="G109" s="5"/>
      <c r="H109" s="5"/>
      <c r="I109" s="5" t="s">
        <v>549</v>
      </c>
    </row>
    <row r="110" spans="2:9" ht="15" customHeight="1">
      <c r="B110" s="17">
        <f t="shared" si="2"/>
        <v>13</v>
      </c>
      <c r="C110" s="35" t="s">
        <v>431</v>
      </c>
      <c r="D110" s="17" t="s">
        <v>420</v>
      </c>
      <c r="E110" s="17" t="s">
        <v>899</v>
      </c>
      <c r="F110" s="19" t="s">
        <v>10</v>
      </c>
      <c r="G110" s="5"/>
      <c r="H110" s="5"/>
      <c r="I110" s="5" t="s">
        <v>549</v>
      </c>
    </row>
    <row r="111" spans="2:9" ht="15" customHeight="1">
      <c r="B111" s="17">
        <f t="shared" si="2"/>
        <v>14</v>
      </c>
      <c r="C111" s="35" t="s">
        <v>608</v>
      </c>
      <c r="D111" s="17" t="s">
        <v>440</v>
      </c>
      <c r="E111" s="17" t="s">
        <v>443</v>
      </c>
      <c r="F111" s="19" t="s">
        <v>296</v>
      </c>
      <c r="G111" s="5"/>
      <c r="H111" s="5"/>
      <c r="I111" s="5" t="s">
        <v>549</v>
      </c>
    </row>
    <row r="112" spans="2:9" ht="15" customHeight="1">
      <c r="B112" s="17">
        <f t="shared" si="2"/>
        <v>15</v>
      </c>
      <c r="C112" s="35" t="s">
        <v>614</v>
      </c>
      <c r="D112" s="17" t="s">
        <v>450</v>
      </c>
      <c r="E112" s="17" t="s">
        <v>615</v>
      </c>
      <c r="F112" s="19" t="s">
        <v>296</v>
      </c>
      <c r="G112" s="5"/>
      <c r="H112" s="5"/>
      <c r="I112" s="5" t="s">
        <v>549</v>
      </c>
    </row>
    <row r="113" spans="2:9" ht="15" customHeight="1">
      <c r="B113" s="17">
        <f t="shared" si="2"/>
        <v>16</v>
      </c>
      <c r="C113" s="35" t="s">
        <v>361</v>
      </c>
      <c r="D113" s="17" t="s">
        <v>300</v>
      </c>
      <c r="E113" s="17" t="s">
        <v>400</v>
      </c>
      <c r="F113" s="19" t="s">
        <v>296</v>
      </c>
      <c r="G113" s="5"/>
      <c r="H113" s="5"/>
      <c r="I113" s="5" t="s">
        <v>549</v>
      </c>
    </row>
    <row r="114" spans="2:9" ht="15" customHeight="1">
      <c r="B114" s="17">
        <f t="shared" si="2"/>
        <v>17</v>
      </c>
      <c r="C114" s="35" t="s">
        <v>658</v>
      </c>
      <c r="D114" s="17" t="s">
        <v>450</v>
      </c>
      <c r="E114" s="17" t="s">
        <v>454</v>
      </c>
      <c r="F114" s="19" t="s">
        <v>296</v>
      </c>
      <c r="G114" s="5"/>
      <c r="H114" s="5"/>
      <c r="I114" s="5" t="s">
        <v>549</v>
      </c>
    </row>
    <row r="115" spans="2:9" ht="15" customHeight="1">
      <c r="B115" s="17">
        <f t="shared" si="2"/>
        <v>18</v>
      </c>
      <c r="C115" s="35" t="s">
        <v>668</v>
      </c>
      <c r="D115" s="17" t="s">
        <v>300</v>
      </c>
      <c r="E115" s="17" t="s">
        <v>556</v>
      </c>
      <c r="F115" s="19" t="s">
        <v>296</v>
      </c>
      <c r="G115" s="5"/>
      <c r="H115" s="5"/>
      <c r="I115" s="5" t="s">
        <v>549</v>
      </c>
    </row>
    <row r="116" spans="2:9" ht="15" customHeight="1">
      <c r="B116" s="17">
        <f t="shared" si="2"/>
        <v>19</v>
      </c>
      <c r="C116" s="35" t="s">
        <v>432</v>
      </c>
      <c r="D116" s="17" t="s">
        <v>420</v>
      </c>
      <c r="E116" s="17" t="s">
        <v>439</v>
      </c>
      <c r="F116" s="19" t="s">
        <v>296</v>
      </c>
      <c r="G116" s="5"/>
      <c r="H116" s="5"/>
      <c r="I116" s="5" t="s">
        <v>549</v>
      </c>
    </row>
    <row r="117" spans="2:9" ht="15" customHeight="1">
      <c r="B117" s="17">
        <f t="shared" si="2"/>
        <v>20</v>
      </c>
      <c r="C117" s="35" t="s">
        <v>382</v>
      </c>
      <c r="D117" s="17" t="s">
        <v>300</v>
      </c>
      <c r="E117" s="17" t="s">
        <v>556</v>
      </c>
      <c r="F117" s="19" t="s">
        <v>296</v>
      </c>
      <c r="G117" s="5"/>
      <c r="H117" s="5"/>
      <c r="I117" s="5" t="s">
        <v>549</v>
      </c>
    </row>
    <row r="118" spans="2:9" ht="15" customHeight="1">
      <c r="B118" s="17">
        <f t="shared" si="2"/>
        <v>21</v>
      </c>
      <c r="C118" s="35" t="s">
        <v>379</v>
      </c>
      <c r="D118" s="17" t="s">
        <v>300</v>
      </c>
      <c r="E118" s="17" t="s">
        <v>400</v>
      </c>
      <c r="F118" s="19" t="s">
        <v>296</v>
      </c>
      <c r="G118" s="5"/>
      <c r="H118" s="5"/>
      <c r="I118" s="5" t="s">
        <v>549</v>
      </c>
    </row>
    <row r="119" spans="2:9" ht="15" customHeight="1">
      <c r="B119" s="17">
        <f t="shared" si="2"/>
        <v>22</v>
      </c>
      <c r="C119" s="35" t="s">
        <v>755</v>
      </c>
      <c r="D119" s="17" t="s">
        <v>300</v>
      </c>
      <c r="E119" s="17" t="s">
        <v>400</v>
      </c>
      <c r="F119" s="19" t="s">
        <v>296</v>
      </c>
      <c r="G119" s="5"/>
      <c r="H119" s="5"/>
      <c r="I119" s="5" t="s">
        <v>549</v>
      </c>
    </row>
    <row r="120" spans="2:9" ht="15" customHeight="1">
      <c r="B120" s="17">
        <f t="shared" si="2"/>
        <v>23</v>
      </c>
      <c r="C120" s="35" t="s">
        <v>765</v>
      </c>
      <c r="D120" s="17" t="s">
        <v>300</v>
      </c>
      <c r="E120" s="17" t="s">
        <v>556</v>
      </c>
      <c r="F120" s="19" t="s">
        <v>296</v>
      </c>
      <c r="G120" s="5"/>
      <c r="H120" s="5"/>
      <c r="I120" s="5" t="s">
        <v>549</v>
      </c>
    </row>
    <row r="121" spans="2:9" ht="15" customHeight="1">
      <c r="B121" s="17">
        <f t="shared" si="2"/>
        <v>24</v>
      </c>
      <c r="C121" s="35" t="s">
        <v>785</v>
      </c>
      <c r="D121" s="17" t="s">
        <v>420</v>
      </c>
      <c r="E121" s="17" t="s">
        <v>786</v>
      </c>
      <c r="F121" s="19" t="s">
        <v>296</v>
      </c>
      <c r="G121" s="5"/>
      <c r="H121" s="5"/>
      <c r="I121" s="5" t="s">
        <v>549</v>
      </c>
    </row>
    <row r="122" spans="2:9" ht="15" customHeight="1">
      <c r="B122" s="17">
        <f t="shared" si="2"/>
        <v>25</v>
      </c>
      <c r="C122" s="35" t="s">
        <v>366</v>
      </c>
      <c r="D122" s="17" t="s">
        <v>300</v>
      </c>
      <c r="E122" s="17" t="s">
        <v>814</v>
      </c>
      <c r="F122" s="19" t="s">
        <v>296</v>
      </c>
      <c r="G122" s="5"/>
      <c r="H122" s="5"/>
      <c r="I122" s="5" t="s">
        <v>549</v>
      </c>
    </row>
    <row r="123" spans="2:9" ht="15" customHeight="1">
      <c r="B123" s="17">
        <f t="shared" si="2"/>
        <v>26</v>
      </c>
      <c r="C123" s="35" t="s">
        <v>816</v>
      </c>
      <c r="D123" s="17" t="s">
        <v>300</v>
      </c>
      <c r="E123" s="17" t="s">
        <v>399</v>
      </c>
      <c r="F123" s="19" t="s">
        <v>296</v>
      </c>
      <c r="G123" s="5"/>
      <c r="H123" s="5"/>
      <c r="I123" s="5" t="s">
        <v>549</v>
      </c>
    </row>
    <row r="124" spans="2:9" ht="15" customHeight="1">
      <c r="B124" s="17">
        <f t="shared" si="2"/>
        <v>27</v>
      </c>
      <c r="C124" s="35" t="s">
        <v>834</v>
      </c>
      <c r="D124" s="17" t="s">
        <v>420</v>
      </c>
      <c r="E124" s="17" t="s">
        <v>835</v>
      </c>
      <c r="F124" s="19" t="s">
        <v>296</v>
      </c>
      <c r="G124" s="5"/>
      <c r="H124" s="5"/>
      <c r="I124" s="5" t="s">
        <v>549</v>
      </c>
    </row>
    <row r="125" spans="2:9" ht="15" customHeight="1">
      <c r="B125" s="17">
        <f t="shared" si="2"/>
        <v>28</v>
      </c>
      <c r="C125" s="35" t="s">
        <v>413</v>
      </c>
      <c r="D125" s="17" t="s">
        <v>415</v>
      </c>
      <c r="E125" s="17" t="s">
        <v>414</v>
      </c>
      <c r="F125" s="19" t="s">
        <v>296</v>
      </c>
      <c r="G125" s="5"/>
      <c r="H125" s="5"/>
      <c r="I125" s="5" t="s">
        <v>549</v>
      </c>
    </row>
    <row r="126" spans="2:9" ht="15" customHeight="1">
      <c r="B126" s="17">
        <f t="shared" si="2"/>
        <v>29</v>
      </c>
      <c r="C126" s="35" t="s">
        <v>206</v>
      </c>
      <c r="D126" s="17" t="s">
        <v>300</v>
      </c>
      <c r="E126" s="17" t="s">
        <v>299</v>
      </c>
      <c r="F126" s="19" t="s">
        <v>296</v>
      </c>
      <c r="G126" s="5"/>
      <c r="H126" s="5"/>
      <c r="I126" s="5" t="s">
        <v>549</v>
      </c>
    </row>
    <row r="127" spans="2:9" ht="15" customHeight="1">
      <c r="B127" s="17">
        <f t="shared" si="2"/>
        <v>30</v>
      </c>
      <c r="C127" s="35" t="s">
        <v>592</v>
      </c>
      <c r="D127" s="17" t="s">
        <v>420</v>
      </c>
      <c r="E127" s="17" t="s">
        <v>439</v>
      </c>
      <c r="F127" s="19" t="s">
        <v>296</v>
      </c>
      <c r="G127" s="5"/>
      <c r="H127" s="5"/>
      <c r="I127" s="5" t="s">
        <v>549</v>
      </c>
    </row>
    <row r="128" spans="2:9" ht="15" customHeight="1">
      <c r="B128" s="17">
        <f t="shared" si="2"/>
        <v>31</v>
      </c>
      <c r="C128" s="35" t="s">
        <v>604</v>
      </c>
      <c r="D128" s="17" t="s">
        <v>300</v>
      </c>
      <c r="E128" s="17" t="s">
        <v>556</v>
      </c>
      <c r="F128" s="19" t="s">
        <v>296</v>
      </c>
      <c r="G128" s="5"/>
      <c r="H128" s="5"/>
      <c r="I128" s="5" t="s">
        <v>549</v>
      </c>
    </row>
    <row r="129" spans="2:9" ht="15" customHeight="1">
      <c r="B129" s="17">
        <f t="shared" si="2"/>
        <v>32</v>
      </c>
      <c r="C129" s="35" t="s">
        <v>385</v>
      </c>
      <c r="D129" s="17" t="s">
        <v>300</v>
      </c>
      <c r="E129" s="17" t="s">
        <v>556</v>
      </c>
      <c r="F129" s="19" t="s">
        <v>296</v>
      </c>
      <c r="G129" s="5"/>
      <c r="H129" s="5"/>
      <c r="I129" s="5" t="s">
        <v>549</v>
      </c>
    </row>
    <row r="130" spans="2:9" ht="15" customHeight="1">
      <c r="B130" s="17">
        <f t="shared" si="2"/>
        <v>33</v>
      </c>
      <c r="C130" s="35" t="s">
        <v>861</v>
      </c>
      <c r="D130" s="17" t="s">
        <v>300</v>
      </c>
      <c r="E130" s="17" t="s">
        <v>556</v>
      </c>
      <c r="F130" s="19" t="s">
        <v>296</v>
      </c>
      <c r="G130" s="5"/>
      <c r="H130" s="5"/>
      <c r="I130" s="5" t="s">
        <v>549</v>
      </c>
    </row>
    <row r="131" spans="2:9" ht="15" customHeight="1">
      <c r="B131" s="16"/>
      <c r="C131" s="23"/>
      <c r="D131" s="16"/>
      <c r="E131" s="16"/>
      <c r="F131" s="20"/>
    </row>
    <row r="132" spans="2:9" ht="15" customHeight="1">
      <c r="B132" s="16"/>
      <c r="C132" s="23"/>
      <c r="D132" s="16"/>
      <c r="E132" s="16"/>
      <c r="F132" s="20"/>
    </row>
    <row r="133" spans="2:9" ht="15" customHeight="1">
      <c r="B133" s="68" t="s">
        <v>912</v>
      </c>
      <c r="C133" s="68"/>
      <c r="D133" s="68"/>
      <c r="E133" s="68"/>
      <c r="F133" s="68"/>
      <c r="G133" s="68"/>
      <c r="H133" s="68"/>
      <c r="I133" s="68"/>
    </row>
    <row r="134" spans="2:9" ht="15" customHeight="1">
      <c r="B134" s="54" t="s">
        <v>1</v>
      </c>
      <c r="C134" s="54" t="s">
        <v>3</v>
      </c>
      <c r="D134" s="54" t="s">
        <v>4</v>
      </c>
      <c r="E134" s="54" t="s">
        <v>5</v>
      </c>
      <c r="F134" s="53" t="s">
        <v>6</v>
      </c>
      <c r="G134" s="54" t="s">
        <v>560</v>
      </c>
      <c r="H134" s="54" t="s">
        <v>553</v>
      </c>
      <c r="I134" s="54" t="s">
        <v>549</v>
      </c>
    </row>
    <row r="135" spans="2:9" ht="15" customHeight="1">
      <c r="B135" s="54"/>
      <c r="C135" s="54"/>
      <c r="D135" s="54"/>
      <c r="E135" s="54"/>
      <c r="F135" s="65"/>
      <c r="G135" s="54"/>
      <c r="H135" s="54"/>
      <c r="I135" s="54"/>
    </row>
    <row r="136" spans="2:9" ht="15" customHeight="1">
      <c r="B136" s="17">
        <v>1</v>
      </c>
      <c r="C136" s="35" t="s">
        <v>37</v>
      </c>
      <c r="D136" s="17" t="s">
        <v>9</v>
      </c>
      <c r="E136" s="17" t="s">
        <v>35</v>
      </c>
      <c r="F136" s="19" t="s">
        <v>10</v>
      </c>
      <c r="G136" s="10"/>
      <c r="H136" s="10"/>
      <c r="I136" s="10"/>
    </row>
    <row r="137" spans="2:9" ht="15" customHeight="1">
      <c r="B137" s="17">
        <f>B136+1</f>
        <v>2</v>
      </c>
      <c r="C137" s="35" t="s">
        <v>544</v>
      </c>
      <c r="D137" s="17" t="s">
        <v>300</v>
      </c>
      <c r="E137" s="17" t="s">
        <v>545</v>
      </c>
      <c r="F137" s="19" t="s">
        <v>10</v>
      </c>
      <c r="G137" s="10"/>
      <c r="H137" s="10"/>
      <c r="I137" s="10"/>
    </row>
    <row r="138" spans="2:9" ht="15" customHeight="1">
      <c r="B138" s="17">
        <f t="shared" ref="B138:B201" si="3">B137+1</f>
        <v>3</v>
      </c>
      <c r="C138" s="35" t="s">
        <v>472</v>
      </c>
      <c r="D138" s="17" t="s">
        <v>456</v>
      </c>
      <c r="E138" s="17" t="s">
        <v>470</v>
      </c>
      <c r="F138" s="19" t="s">
        <v>10</v>
      </c>
      <c r="G138" s="10"/>
      <c r="H138" s="10"/>
      <c r="I138" s="10"/>
    </row>
    <row r="139" spans="2:9" ht="15" customHeight="1">
      <c r="B139" s="17">
        <f t="shared" si="3"/>
        <v>4</v>
      </c>
      <c r="C139" s="35" t="s">
        <v>468</v>
      </c>
      <c r="D139" s="17" t="s">
        <v>456</v>
      </c>
      <c r="E139" s="17" t="s">
        <v>344</v>
      </c>
      <c r="F139" s="19" t="s">
        <v>10</v>
      </c>
      <c r="G139" s="10"/>
      <c r="H139" s="10"/>
      <c r="I139" s="10"/>
    </row>
    <row r="140" spans="2:9" ht="15" customHeight="1">
      <c r="B140" s="17">
        <f t="shared" si="3"/>
        <v>5</v>
      </c>
      <c r="C140" s="35" t="s">
        <v>477</v>
      </c>
      <c r="D140" s="17" t="s">
        <v>456</v>
      </c>
      <c r="E140" s="17" t="s">
        <v>478</v>
      </c>
      <c r="F140" s="19" t="s">
        <v>10</v>
      </c>
      <c r="G140" s="10"/>
      <c r="H140" s="10"/>
      <c r="I140" s="10"/>
    </row>
    <row r="141" spans="2:9" ht="15" customHeight="1">
      <c r="B141" s="17">
        <f t="shared" si="3"/>
        <v>6</v>
      </c>
      <c r="C141" s="35" t="s">
        <v>488</v>
      </c>
      <c r="D141" s="17" t="s">
        <v>483</v>
      </c>
      <c r="E141" s="17" t="s">
        <v>489</v>
      </c>
      <c r="F141" s="19" t="s">
        <v>10</v>
      </c>
      <c r="G141" s="10"/>
      <c r="H141" s="10"/>
      <c r="I141" s="10"/>
    </row>
    <row r="142" spans="2:9" ht="15" customHeight="1">
      <c r="B142" s="17">
        <f t="shared" si="3"/>
        <v>7</v>
      </c>
      <c r="C142" s="35" t="s">
        <v>541</v>
      </c>
      <c r="D142" s="17" t="s">
        <v>300</v>
      </c>
      <c r="E142" s="17" t="s">
        <v>309</v>
      </c>
      <c r="F142" s="19" t="s">
        <v>10</v>
      </c>
      <c r="G142" s="10"/>
      <c r="H142" s="10"/>
      <c r="I142" s="10"/>
    </row>
    <row r="143" spans="2:9" ht="15" customHeight="1">
      <c r="B143" s="17">
        <f t="shared" si="3"/>
        <v>8</v>
      </c>
      <c r="C143" s="35" t="s">
        <v>559</v>
      </c>
      <c r="D143" s="17" t="s">
        <v>300</v>
      </c>
      <c r="E143" s="17" t="s">
        <v>360</v>
      </c>
      <c r="F143" s="19" t="s">
        <v>10</v>
      </c>
      <c r="G143" s="10"/>
      <c r="H143" s="10"/>
      <c r="I143" s="10"/>
    </row>
    <row r="144" spans="2:9" ht="15" customHeight="1">
      <c r="B144" s="17">
        <f t="shared" si="3"/>
        <v>9</v>
      </c>
      <c r="C144" s="35" t="s">
        <v>496</v>
      </c>
      <c r="D144" s="17" t="s">
        <v>483</v>
      </c>
      <c r="E144" s="17" t="s">
        <v>497</v>
      </c>
      <c r="F144" s="19" t="s">
        <v>10</v>
      </c>
      <c r="G144" s="10"/>
      <c r="H144" s="10"/>
      <c r="I144" s="10"/>
    </row>
    <row r="145" spans="2:9" ht="15" customHeight="1">
      <c r="B145" s="17">
        <f t="shared" si="3"/>
        <v>10</v>
      </c>
      <c r="C145" s="35" t="s">
        <v>536</v>
      </c>
      <c r="D145" s="17" t="s">
        <v>9</v>
      </c>
      <c r="E145" s="17" t="s">
        <v>123</v>
      </c>
      <c r="F145" s="19" t="s">
        <v>10</v>
      </c>
      <c r="G145" s="10"/>
      <c r="H145" s="10"/>
      <c r="I145" s="10"/>
    </row>
    <row r="146" spans="2:9" ht="15" customHeight="1">
      <c r="B146" s="17">
        <f t="shared" si="3"/>
        <v>11</v>
      </c>
      <c r="C146" s="35" t="s">
        <v>341</v>
      </c>
      <c r="D146" s="17" t="s">
        <v>300</v>
      </c>
      <c r="E146" s="17" t="s">
        <v>349</v>
      </c>
      <c r="F146" s="19" t="s">
        <v>10</v>
      </c>
      <c r="G146" s="10"/>
      <c r="H146" s="10"/>
      <c r="I146" s="10"/>
    </row>
    <row r="147" spans="2:9" ht="15" customHeight="1">
      <c r="B147" s="17">
        <f t="shared" si="3"/>
        <v>12</v>
      </c>
      <c r="C147" s="35" t="s">
        <v>41</v>
      </c>
      <c r="D147" s="17" t="s">
        <v>9</v>
      </c>
      <c r="E147" s="17" t="s">
        <v>35</v>
      </c>
      <c r="F147" s="19" t="s">
        <v>10</v>
      </c>
      <c r="G147" s="10"/>
      <c r="H147" s="10"/>
      <c r="I147" s="10"/>
    </row>
    <row r="148" spans="2:9" ht="15" customHeight="1">
      <c r="B148" s="17">
        <f t="shared" si="3"/>
        <v>13</v>
      </c>
      <c r="C148" s="35" t="s">
        <v>256</v>
      </c>
      <c r="D148" s="17" t="s">
        <v>9</v>
      </c>
      <c r="E148" s="17" t="s">
        <v>576</v>
      </c>
      <c r="F148" s="19" t="s">
        <v>10</v>
      </c>
      <c r="G148" s="10"/>
      <c r="H148" s="10"/>
      <c r="I148" s="10"/>
    </row>
    <row r="149" spans="2:9" ht="15" customHeight="1">
      <c r="B149" s="17">
        <f t="shared" si="3"/>
        <v>14</v>
      </c>
      <c r="C149" s="35" t="s">
        <v>104</v>
      </c>
      <c r="D149" s="17" t="s">
        <v>9</v>
      </c>
      <c r="E149" s="17" t="s">
        <v>111</v>
      </c>
      <c r="F149" s="19" t="s">
        <v>10</v>
      </c>
      <c r="G149" s="10"/>
      <c r="H149" s="10"/>
      <c r="I149" s="10"/>
    </row>
    <row r="150" spans="2:9" ht="15" customHeight="1">
      <c r="B150" s="17">
        <f t="shared" si="3"/>
        <v>15</v>
      </c>
      <c r="C150" s="35" t="s">
        <v>374</v>
      </c>
      <c r="D150" s="17" t="s">
        <v>300</v>
      </c>
      <c r="E150" s="17" t="s">
        <v>372</v>
      </c>
      <c r="F150" s="19" t="s">
        <v>10</v>
      </c>
      <c r="G150" s="10"/>
      <c r="H150" s="10"/>
      <c r="I150" s="10"/>
    </row>
    <row r="151" spans="2:9" ht="15" customHeight="1">
      <c r="B151" s="17">
        <f t="shared" si="3"/>
        <v>16</v>
      </c>
      <c r="C151" s="35" t="s">
        <v>579</v>
      </c>
      <c r="D151" s="17" t="s">
        <v>9</v>
      </c>
      <c r="E151" s="17" t="s">
        <v>67</v>
      </c>
      <c r="F151" s="19" t="s">
        <v>10</v>
      </c>
      <c r="G151" s="10"/>
      <c r="H151" s="10"/>
      <c r="I151" s="10"/>
    </row>
    <row r="152" spans="2:9" ht="15" customHeight="1">
      <c r="B152" s="17">
        <f t="shared" si="3"/>
        <v>17</v>
      </c>
      <c r="C152" s="35" t="s">
        <v>71</v>
      </c>
      <c r="D152" s="17" t="s">
        <v>9</v>
      </c>
      <c r="E152" s="17" t="s">
        <v>67</v>
      </c>
      <c r="F152" s="19" t="s">
        <v>10</v>
      </c>
      <c r="G152" s="10"/>
      <c r="H152" s="10"/>
      <c r="I152" s="10"/>
    </row>
    <row r="153" spans="2:9" ht="15" customHeight="1">
      <c r="B153" s="17">
        <f t="shared" si="3"/>
        <v>18</v>
      </c>
      <c r="C153" s="35" t="s">
        <v>152</v>
      </c>
      <c r="D153" s="17" t="s">
        <v>9</v>
      </c>
      <c r="E153" s="17" t="s">
        <v>123</v>
      </c>
      <c r="F153" s="19" t="s">
        <v>10</v>
      </c>
      <c r="G153" s="10"/>
      <c r="H153" s="10"/>
      <c r="I153" s="10"/>
    </row>
    <row r="154" spans="2:9" ht="15" customHeight="1">
      <c r="B154" s="17">
        <f t="shared" si="3"/>
        <v>19</v>
      </c>
      <c r="C154" s="35" t="s">
        <v>583</v>
      </c>
      <c r="D154" s="17" t="s">
        <v>300</v>
      </c>
      <c r="E154" s="17" t="s">
        <v>355</v>
      </c>
      <c r="F154" s="19" t="s">
        <v>10</v>
      </c>
      <c r="G154" s="10"/>
      <c r="H154" s="10"/>
      <c r="I154" s="10"/>
    </row>
    <row r="155" spans="2:9" ht="15" customHeight="1">
      <c r="B155" s="17">
        <f t="shared" si="3"/>
        <v>20</v>
      </c>
      <c r="C155" s="35" t="s">
        <v>585</v>
      </c>
      <c r="D155" s="17" t="s">
        <v>420</v>
      </c>
      <c r="E155" s="17" t="s">
        <v>586</v>
      </c>
      <c r="F155" s="19" t="s">
        <v>10</v>
      </c>
      <c r="G155" s="10"/>
      <c r="H155" s="10"/>
      <c r="I155" s="10"/>
    </row>
    <row r="156" spans="2:9" ht="15" customHeight="1">
      <c r="B156" s="17">
        <f t="shared" si="3"/>
        <v>21</v>
      </c>
      <c r="C156" s="35" t="s">
        <v>343</v>
      </c>
      <c r="D156" s="17" t="s">
        <v>300</v>
      </c>
      <c r="E156" s="17" t="s">
        <v>344</v>
      </c>
      <c r="F156" s="19" t="s">
        <v>10</v>
      </c>
      <c r="G156" s="10"/>
      <c r="H156" s="10"/>
      <c r="I156" s="10"/>
    </row>
    <row r="157" spans="2:9" ht="15" customHeight="1">
      <c r="B157" s="17">
        <f t="shared" si="3"/>
        <v>22</v>
      </c>
      <c r="C157" s="35" t="s">
        <v>140</v>
      </c>
      <c r="D157" s="17" t="s">
        <v>9</v>
      </c>
      <c r="E157" s="17" t="s">
        <v>123</v>
      </c>
      <c r="F157" s="19" t="s">
        <v>10</v>
      </c>
      <c r="G157" s="10"/>
      <c r="H157" s="10"/>
      <c r="I157" s="10"/>
    </row>
    <row r="158" spans="2:9" ht="15" customHeight="1">
      <c r="B158" s="17">
        <f t="shared" si="3"/>
        <v>23</v>
      </c>
      <c r="C158" s="35" t="s">
        <v>599</v>
      </c>
      <c r="D158" s="17" t="s">
        <v>9</v>
      </c>
      <c r="E158" s="17" t="s">
        <v>265</v>
      </c>
      <c r="F158" s="19" t="s">
        <v>10</v>
      </c>
      <c r="G158" s="10"/>
      <c r="H158" s="10"/>
      <c r="I158" s="10"/>
    </row>
    <row r="159" spans="2:9" ht="15" customHeight="1">
      <c r="B159" s="17">
        <f t="shared" si="3"/>
        <v>24</v>
      </c>
      <c r="C159" s="35" t="s">
        <v>406</v>
      </c>
      <c r="D159" s="17" t="s">
        <v>415</v>
      </c>
      <c r="E159" s="17" t="s">
        <v>404</v>
      </c>
      <c r="F159" s="19" t="s">
        <v>10</v>
      </c>
      <c r="G159" s="10"/>
      <c r="H159" s="10"/>
      <c r="I159" s="10"/>
    </row>
    <row r="160" spans="2:9" ht="15" customHeight="1">
      <c r="B160" s="17">
        <f t="shared" si="3"/>
        <v>25</v>
      </c>
      <c r="C160" s="35" t="s">
        <v>629</v>
      </c>
      <c r="D160" s="17" t="s">
        <v>300</v>
      </c>
      <c r="E160" s="17" t="s">
        <v>630</v>
      </c>
      <c r="F160" s="19" t="s">
        <v>10</v>
      </c>
      <c r="G160" s="10"/>
      <c r="H160" s="10"/>
      <c r="I160" s="10"/>
    </row>
    <row r="161" spans="2:9" ht="15" customHeight="1">
      <c r="B161" s="17">
        <f t="shared" si="3"/>
        <v>26</v>
      </c>
      <c r="C161" s="35" t="s">
        <v>643</v>
      </c>
      <c r="D161" s="17" t="s">
        <v>450</v>
      </c>
      <c r="E161" s="17" t="s">
        <v>644</v>
      </c>
      <c r="F161" s="19" t="s">
        <v>10</v>
      </c>
      <c r="G161" s="10"/>
      <c r="H161" s="10"/>
      <c r="I161" s="10"/>
    </row>
    <row r="162" spans="2:9" ht="15" customHeight="1">
      <c r="B162" s="17">
        <f t="shared" si="3"/>
        <v>27</v>
      </c>
      <c r="C162" s="35" t="s">
        <v>648</v>
      </c>
      <c r="D162" s="17" t="s">
        <v>9</v>
      </c>
      <c r="E162" s="17" t="s">
        <v>265</v>
      </c>
      <c r="F162" s="19" t="s">
        <v>10</v>
      </c>
      <c r="G162" s="10"/>
      <c r="H162" s="10"/>
      <c r="I162" s="10"/>
    </row>
    <row r="163" spans="2:9" ht="15" customHeight="1">
      <c r="B163" s="17">
        <f t="shared" si="3"/>
        <v>28</v>
      </c>
      <c r="C163" s="35" t="s">
        <v>150</v>
      </c>
      <c r="D163" s="17" t="s">
        <v>9</v>
      </c>
      <c r="E163" s="17" t="s">
        <v>123</v>
      </c>
      <c r="F163" s="19" t="s">
        <v>10</v>
      </c>
      <c r="G163" s="10"/>
      <c r="H163" s="10"/>
      <c r="I163" s="10"/>
    </row>
    <row r="164" spans="2:9" ht="15" customHeight="1">
      <c r="B164" s="17">
        <f t="shared" si="3"/>
        <v>29</v>
      </c>
      <c r="C164" s="35" t="s">
        <v>653</v>
      </c>
      <c r="D164" s="17" t="s">
        <v>9</v>
      </c>
      <c r="E164" s="17" t="s">
        <v>265</v>
      </c>
      <c r="F164" s="19" t="s">
        <v>10</v>
      </c>
      <c r="G164" s="10"/>
      <c r="H164" s="10"/>
      <c r="I164" s="10"/>
    </row>
    <row r="165" spans="2:9" ht="15" customHeight="1">
      <c r="B165" s="17">
        <f t="shared" si="3"/>
        <v>30</v>
      </c>
      <c r="C165" s="35" t="s">
        <v>305</v>
      </c>
      <c r="D165" s="17" t="s">
        <v>300</v>
      </c>
      <c r="E165" s="17" t="s">
        <v>656</v>
      </c>
      <c r="F165" s="19" t="s">
        <v>10</v>
      </c>
      <c r="G165" s="10"/>
      <c r="H165" s="10"/>
      <c r="I165" s="10"/>
    </row>
    <row r="166" spans="2:9" ht="15" customHeight="1">
      <c r="B166" s="17">
        <f t="shared" si="3"/>
        <v>31</v>
      </c>
      <c r="C166" s="35" t="s">
        <v>60</v>
      </c>
      <c r="D166" s="17" t="s">
        <v>9</v>
      </c>
      <c r="E166" s="17" t="s">
        <v>61</v>
      </c>
      <c r="F166" s="19" t="s">
        <v>10</v>
      </c>
      <c r="G166" s="10"/>
      <c r="H166" s="10"/>
      <c r="I166" s="10"/>
    </row>
    <row r="167" spans="2:9" ht="15" customHeight="1">
      <c r="B167" s="17">
        <f t="shared" si="3"/>
        <v>32</v>
      </c>
      <c r="C167" s="35" t="s">
        <v>87</v>
      </c>
      <c r="D167" s="17" t="s">
        <v>9</v>
      </c>
      <c r="E167" s="17" t="s">
        <v>100</v>
      </c>
      <c r="F167" s="19" t="s">
        <v>10</v>
      </c>
      <c r="G167" s="10"/>
      <c r="H167" s="10"/>
      <c r="I167" s="10"/>
    </row>
    <row r="168" spans="2:9" ht="15" customHeight="1">
      <c r="B168" s="17">
        <f t="shared" si="3"/>
        <v>33</v>
      </c>
      <c r="C168" s="35" t="s">
        <v>346</v>
      </c>
      <c r="D168" s="17" t="s">
        <v>300</v>
      </c>
      <c r="E168" s="17" t="s">
        <v>349</v>
      </c>
      <c r="F168" s="19" t="s">
        <v>10</v>
      </c>
      <c r="G168" s="10"/>
      <c r="H168" s="10"/>
      <c r="I168" s="10"/>
    </row>
    <row r="169" spans="2:9" ht="15" customHeight="1">
      <c r="B169" s="17">
        <f t="shared" si="3"/>
        <v>34</v>
      </c>
      <c r="C169" s="35" t="s">
        <v>666</v>
      </c>
      <c r="D169" s="17" t="s">
        <v>456</v>
      </c>
      <c r="E169" s="17" t="s">
        <v>118</v>
      </c>
      <c r="F169" s="19" t="s">
        <v>10</v>
      </c>
      <c r="G169" s="10"/>
      <c r="H169" s="10"/>
      <c r="I169" s="10"/>
    </row>
    <row r="170" spans="2:9" ht="15" customHeight="1">
      <c r="B170" s="17">
        <f t="shared" si="3"/>
        <v>35</v>
      </c>
      <c r="C170" s="35" t="s">
        <v>311</v>
      </c>
      <c r="D170" s="17" t="s">
        <v>300</v>
      </c>
      <c r="E170" s="17" t="s">
        <v>309</v>
      </c>
      <c r="F170" s="19" t="s">
        <v>10</v>
      </c>
      <c r="G170" s="10"/>
      <c r="H170" s="10"/>
      <c r="I170" s="10"/>
    </row>
    <row r="171" spans="2:9" ht="15" customHeight="1">
      <c r="B171" s="17">
        <f t="shared" si="3"/>
        <v>36</v>
      </c>
      <c r="C171" s="35" t="s">
        <v>674</v>
      </c>
      <c r="D171" s="17" t="s">
        <v>9</v>
      </c>
      <c r="E171" s="17" t="s">
        <v>265</v>
      </c>
      <c r="F171" s="19" t="s">
        <v>10</v>
      </c>
      <c r="G171" s="10"/>
      <c r="H171" s="10"/>
      <c r="I171" s="10"/>
    </row>
    <row r="172" spans="2:9" ht="15" customHeight="1">
      <c r="B172" s="17">
        <f t="shared" si="3"/>
        <v>37</v>
      </c>
      <c r="C172" s="35" t="s">
        <v>677</v>
      </c>
      <c r="D172" s="17" t="s">
        <v>9</v>
      </c>
      <c r="E172" s="17" t="s">
        <v>265</v>
      </c>
      <c r="F172" s="19" t="s">
        <v>10</v>
      </c>
      <c r="G172" s="10"/>
      <c r="H172" s="10"/>
      <c r="I172" s="10"/>
    </row>
    <row r="173" spans="2:9" ht="15" customHeight="1">
      <c r="B173" s="17">
        <f t="shared" si="3"/>
        <v>38</v>
      </c>
      <c r="C173" s="35" t="s">
        <v>682</v>
      </c>
      <c r="D173" s="17" t="s">
        <v>456</v>
      </c>
      <c r="E173" s="17" t="s">
        <v>261</v>
      </c>
      <c r="F173" s="19" t="s">
        <v>10</v>
      </c>
      <c r="G173" s="10"/>
      <c r="H173" s="10"/>
      <c r="I173" s="10"/>
    </row>
    <row r="174" spans="2:9" ht="15" customHeight="1">
      <c r="B174" s="17">
        <f t="shared" si="3"/>
        <v>39</v>
      </c>
      <c r="C174" s="35" t="s">
        <v>146</v>
      </c>
      <c r="D174" s="17" t="s">
        <v>9</v>
      </c>
      <c r="E174" s="17" t="s">
        <v>123</v>
      </c>
      <c r="F174" s="19" t="s">
        <v>10</v>
      </c>
      <c r="G174" s="10"/>
      <c r="H174" s="10"/>
      <c r="I174" s="10"/>
    </row>
    <row r="175" spans="2:9" ht="15" customHeight="1">
      <c r="B175" s="17">
        <f t="shared" si="3"/>
        <v>40</v>
      </c>
      <c r="C175" s="35" t="s">
        <v>690</v>
      </c>
      <c r="D175" s="17" t="s">
        <v>300</v>
      </c>
      <c r="E175" s="17" t="s">
        <v>355</v>
      </c>
      <c r="F175" s="19" t="s">
        <v>10</v>
      </c>
      <c r="G175" s="10"/>
      <c r="H175" s="10"/>
      <c r="I175" s="10"/>
    </row>
    <row r="176" spans="2:9" ht="15" customHeight="1">
      <c r="B176" s="17">
        <f t="shared" si="3"/>
        <v>41</v>
      </c>
      <c r="C176" s="35" t="s">
        <v>337</v>
      </c>
      <c r="D176" s="17" t="s">
        <v>300</v>
      </c>
      <c r="E176" s="17" t="s">
        <v>330</v>
      </c>
      <c r="F176" s="19" t="s">
        <v>10</v>
      </c>
      <c r="G176" s="10"/>
      <c r="H176" s="10"/>
      <c r="I176" s="10"/>
    </row>
    <row r="177" spans="2:9" ht="15" customHeight="1">
      <c r="B177" s="17">
        <f t="shared" si="3"/>
        <v>42</v>
      </c>
      <c r="C177" s="35" t="s">
        <v>692</v>
      </c>
      <c r="D177" s="17" t="s">
        <v>9</v>
      </c>
      <c r="E177" s="17" t="s">
        <v>123</v>
      </c>
      <c r="F177" s="19" t="s">
        <v>10</v>
      </c>
      <c r="G177" s="10"/>
      <c r="H177" s="10"/>
      <c r="I177" s="10"/>
    </row>
    <row r="178" spans="2:9" ht="15" customHeight="1">
      <c r="B178" s="17">
        <f t="shared" si="3"/>
        <v>43</v>
      </c>
      <c r="C178" s="35" t="s">
        <v>271</v>
      </c>
      <c r="D178" s="17" t="s">
        <v>9</v>
      </c>
      <c r="E178" s="17" t="s">
        <v>265</v>
      </c>
      <c r="F178" s="19" t="s">
        <v>10</v>
      </c>
      <c r="G178" s="10"/>
      <c r="H178" s="10"/>
      <c r="I178" s="10"/>
    </row>
    <row r="179" spans="2:9" ht="15" customHeight="1">
      <c r="B179" s="17">
        <f t="shared" si="3"/>
        <v>44</v>
      </c>
      <c r="C179" s="35" t="s">
        <v>236</v>
      </c>
      <c r="D179" s="17" t="s">
        <v>456</v>
      </c>
      <c r="E179" s="17" t="s">
        <v>470</v>
      </c>
      <c r="F179" s="19" t="s">
        <v>10</v>
      </c>
      <c r="G179" s="10"/>
      <c r="H179" s="10"/>
      <c r="I179" s="10"/>
    </row>
    <row r="180" spans="2:9" ht="15" customHeight="1">
      <c r="B180" s="17">
        <f t="shared" si="3"/>
        <v>45</v>
      </c>
      <c r="C180" s="35" t="s">
        <v>294</v>
      </c>
      <c r="D180" s="17" t="s">
        <v>9</v>
      </c>
      <c r="E180" s="17" t="s">
        <v>295</v>
      </c>
      <c r="F180" s="19" t="s">
        <v>10</v>
      </c>
      <c r="G180" s="10"/>
      <c r="H180" s="10"/>
      <c r="I180" s="10"/>
    </row>
    <row r="181" spans="2:9" ht="15" customHeight="1">
      <c r="B181" s="17">
        <f t="shared" si="3"/>
        <v>46</v>
      </c>
      <c r="C181" s="35" t="s">
        <v>324</v>
      </c>
      <c r="D181" s="17" t="s">
        <v>300</v>
      </c>
      <c r="E181" s="17" t="s">
        <v>325</v>
      </c>
      <c r="F181" s="19" t="s">
        <v>10</v>
      </c>
      <c r="G181" s="10"/>
      <c r="H181" s="10"/>
      <c r="I181" s="10"/>
    </row>
    <row r="182" spans="2:9" ht="15" customHeight="1">
      <c r="B182" s="17">
        <f t="shared" si="3"/>
        <v>47</v>
      </c>
      <c r="C182" s="35" t="s">
        <v>318</v>
      </c>
      <c r="D182" s="17" t="s">
        <v>300</v>
      </c>
      <c r="E182" s="17" t="s">
        <v>316</v>
      </c>
      <c r="F182" s="19" t="s">
        <v>10</v>
      </c>
      <c r="G182" s="10"/>
      <c r="H182" s="10"/>
      <c r="I182" s="10"/>
    </row>
    <row r="183" spans="2:9" ht="15" customHeight="1">
      <c r="B183" s="17">
        <f t="shared" si="3"/>
        <v>48</v>
      </c>
      <c r="C183" s="35" t="s">
        <v>539</v>
      </c>
      <c r="D183" s="17" t="s">
        <v>483</v>
      </c>
      <c r="E183" s="17" t="s">
        <v>497</v>
      </c>
      <c r="F183" s="19" t="s">
        <v>10</v>
      </c>
      <c r="G183" s="10"/>
      <c r="H183" s="10"/>
      <c r="I183" s="10"/>
    </row>
    <row r="184" spans="2:9" ht="15" customHeight="1">
      <c r="B184" s="17">
        <f t="shared" si="3"/>
        <v>49</v>
      </c>
      <c r="C184" s="35" t="s">
        <v>329</v>
      </c>
      <c r="D184" s="17" t="s">
        <v>300</v>
      </c>
      <c r="E184" s="17" t="s">
        <v>330</v>
      </c>
      <c r="F184" s="19" t="s">
        <v>10</v>
      </c>
      <c r="G184" s="10"/>
      <c r="H184" s="10"/>
      <c r="I184" s="10"/>
    </row>
    <row r="185" spans="2:9" ht="15" customHeight="1">
      <c r="B185" s="17">
        <f t="shared" si="3"/>
        <v>50</v>
      </c>
      <c r="C185" s="35" t="s">
        <v>307</v>
      </c>
      <c r="D185" s="17" t="s">
        <v>300</v>
      </c>
      <c r="E185" s="17" t="s">
        <v>308</v>
      </c>
      <c r="F185" s="19" t="s">
        <v>10</v>
      </c>
      <c r="G185" s="10"/>
      <c r="H185" s="10"/>
      <c r="I185" s="10"/>
    </row>
    <row r="186" spans="2:9" ht="15" customHeight="1">
      <c r="B186" s="17">
        <f t="shared" si="3"/>
        <v>51</v>
      </c>
      <c r="C186" s="35" t="s">
        <v>720</v>
      </c>
      <c r="D186" s="17" t="s">
        <v>9</v>
      </c>
      <c r="E186" s="17" t="s">
        <v>123</v>
      </c>
      <c r="F186" s="19" t="s">
        <v>10</v>
      </c>
      <c r="G186" s="10"/>
      <c r="H186" s="10"/>
      <c r="I186" s="10"/>
    </row>
    <row r="187" spans="2:9" ht="15" customHeight="1">
      <c r="B187" s="17">
        <f t="shared" si="3"/>
        <v>52</v>
      </c>
      <c r="C187" s="35" t="s">
        <v>726</v>
      </c>
      <c r="D187" s="17" t="s">
        <v>483</v>
      </c>
      <c r="E187" s="17" t="s">
        <v>497</v>
      </c>
      <c r="F187" s="19" t="s">
        <v>10</v>
      </c>
      <c r="G187" s="10"/>
      <c r="H187" s="10"/>
      <c r="I187" s="10"/>
    </row>
    <row r="188" spans="2:9" ht="15" customHeight="1">
      <c r="B188" s="17">
        <f t="shared" si="3"/>
        <v>53</v>
      </c>
      <c r="C188" s="35" t="s">
        <v>408</v>
      </c>
      <c r="D188" s="17" t="s">
        <v>415</v>
      </c>
      <c r="E188" s="17" t="s">
        <v>409</v>
      </c>
      <c r="F188" s="19" t="s">
        <v>10</v>
      </c>
      <c r="G188" s="10"/>
      <c r="H188" s="10"/>
      <c r="I188" s="10"/>
    </row>
    <row r="189" spans="2:9" ht="15" customHeight="1">
      <c r="B189" s="17">
        <f t="shared" si="3"/>
        <v>54</v>
      </c>
      <c r="C189" s="35" t="s">
        <v>460</v>
      </c>
      <c r="D189" s="17" t="s">
        <v>456</v>
      </c>
      <c r="E189" s="17" t="s">
        <v>118</v>
      </c>
      <c r="F189" s="19" t="s">
        <v>10</v>
      </c>
      <c r="G189" s="10"/>
      <c r="H189" s="10"/>
      <c r="I189" s="10"/>
    </row>
    <row r="190" spans="2:9" ht="15" customHeight="1">
      <c r="B190" s="17">
        <f t="shared" si="3"/>
        <v>55</v>
      </c>
      <c r="C190" s="35" t="s">
        <v>427</v>
      </c>
      <c r="D190" s="17" t="s">
        <v>420</v>
      </c>
      <c r="E190" s="17" t="s">
        <v>428</v>
      </c>
      <c r="F190" s="19" t="s">
        <v>10</v>
      </c>
      <c r="G190" s="10"/>
      <c r="H190" s="10"/>
      <c r="I190" s="10"/>
    </row>
    <row r="191" spans="2:9" ht="15" customHeight="1">
      <c r="B191" s="17">
        <f t="shared" si="3"/>
        <v>56</v>
      </c>
      <c r="C191" s="35" t="s">
        <v>466</v>
      </c>
      <c r="D191" s="17" t="s">
        <v>456</v>
      </c>
      <c r="E191" s="17" t="s">
        <v>330</v>
      </c>
      <c r="F191" s="19" t="s">
        <v>10</v>
      </c>
      <c r="G191" s="10"/>
      <c r="H191" s="10"/>
      <c r="I191" s="10"/>
    </row>
    <row r="192" spans="2:9" ht="15" customHeight="1">
      <c r="B192" s="17">
        <f t="shared" si="3"/>
        <v>57</v>
      </c>
      <c r="C192" s="35" t="s">
        <v>335</v>
      </c>
      <c r="D192" s="17" t="s">
        <v>300</v>
      </c>
      <c r="E192" s="17" t="s">
        <v>330</v>
      </c>
      <c r="F192" s="19" t="s">
        <v>10</v>
      </c>
      <c r="G192" s="10"/>
      <c r="H192" s="10"/>
      <c r="I192" s="10"/>
    </row>
    <row r="193" spans="2:9" ht="15" customHeight="1">
      <c r="B193" s="17">
        <f t="shared" si="3"/>
        <v>58</v>
      </c>
      <c r="C193" s="35" t="s">
        <v>66</v>
      </c>
      <c r="D193" s="17" t="s">
        <v>9</v>
      </c>
      <c r="E193" s="17" t="s">
        <v>67</v>
      </c>
      <c r="F193" s="19" t="s">
        <v>10</v>
      </c>
      <c r="G193" s="10"/>
      <c r="H193" s="10"/>
      <c r="I193" s="10"/>
    </row>
    <row r="194" spans="2:9" ht="15" customHeight="1">
      <c r="B194" s="17">
        <f t="shared" si="3"/>
        <v>59</v>
      </c>
      <c r="C194" s="35" t="s">
        <v>732</v>
      </c>
      <c r="D194" s="17" t="s">
        <v>9</v>
      </c>
      <c r="E194" s="17" t="s">
        <v>123</v>
      </c>
      <c r="F194" s="19" t="s">
        <v>10</v>
      </c>
      <c r="G194" s="10"/>
      <c r="H194" s="10"/>
      <c r="I194" s="10"/>
    </row>
    <row r="195" spans="2:9" ht="15" customHeight="1">
      <c r="B195" s="17">
        <f t="shared" si="3"/>
        <v>60</v>
      </c>
      <c r="C195" s="35" t="s">
        <v>734</v>
      </c>
      <c r="D195" s="17" t="s">
        <v>300</v>
      </c>
      <c r="E195" s="17" t="s">
        <v>375</v>
      </c>
      <c r="F195" s="19" t="s">
        <v>10</v>
      </c>
      <c r="G195" s="10"/>
      <c r="H195" s="10"/>
      <c r="I195" s="10"/>
    </row>
    <row r="196" spans="2:9" ht="15" customHeight="1">
      <c r="B196" s="17">
        <f t="shared" si="3"/>
        <v>61</v>
      </c>
      <c r="C196" s="35" t="s">
        <v>474</v>
      </c>
      <c r="D196" s="17" t="s">
        <v>456</v>
      </c>
      <c r="E196" s="17" t="s">
        <v>470</v>
      </c>
      <c r="F196" s="19" t="s">
        <v>10</v>
      </c>
      <c r="G196" s="10"/>
      <c r="H196" s="10"/>
      <c r="I196" s="10"/>
    </row>
    <row r="197" spans="2:9" ht="15" customHeight="1">
      <c r="B197" s="17">
        <f t="shared" si="3"/>
        <v>62</v>
      </c>
      <c r="C197" s="35" t="s">
        <v>763</v>
      </c>
      <c r="D197" s="17" t="s">
        <v>300</v>
      </c>
      <c r="E197" s="17" t="s">
        <v>377</v>
      </c>
      <c r="F197" s="19" t="s">
        <v>10</v>
      </c>
      <c r="G197" s="10"/>
      <c r="H197" s="10"/>
      <c r="I197" s="10"/>
    </row>
    <row r="198" spans="2:9" ht="15" customHeight="1">
      <c r="B198" s="17">
        <f t="shared" si="3"/>
        <v>63</v>
      </c>
      <c r="C198" s="35" t="s">
        <v>45</v>
      </c>
      <c r="D198" s="17" t="s">
        <v>9</v>
      </c>
      <c r="E198" s="17" t="s">
        <v>35</v>
      </c>
      <c r="F198" s="19" t="s">
        <v>10</v>
      </c>
      <c r="G198" s="10"/>
      <c r="H198" s="10"/>
      <c r="I198" s="10"/>
    </row>
    <row r="199" spans="2:9" ht="15" customHeight="1">
      <c r="B199" s="17">
        <f t="shared" si="3"/>
        <v>64</v>
      </c>
      <c r="C199" s="35" t="s">
        <v>320</v>
      </c>
      <c r="D199" s="17" t="s">
        <v>300</v>
      </c>
      <c r="E199" s="17" t="s">
        <v>325</v>
      </c>
      <c r="F199" s="19" t="s">
        <v>10</v>
      </c>
      <c r="G199" s="10"/>
      <c r="H199" s="10"/>
      <c r="I199" s="10"/>
    </row>
    <row r="200" spans="2:9" ht="15" customHeight="1">
      <c r="B200" s="17">
        <f t="shared" si="3"/>
        <v>65</v>
      </c>
      <c r="C200" s="35" t="s">
        <v>499</v>
      </c>
      <c r="D200" s="17" t="s">
        <v>483</v>
      </c>
      <c r="E200" s="17" t="s">
        <v>497</v>
      </c>
      <c r="F200" s="19" t="s">
        <v>10</v>
      </c>
      <c r="G200" s="10"/>
      <c r="H200" s="10"/>
      <c r="I200" s="10"/>
    </row>
    <row r="201" spans="2:9" ht="15" customHeight="1">
      <c r="B201" s="17">
        <f t="shared" si="3"/>
        <v>66</v>
      </c>
      <c r="C201" s="35" t="s">
        <v>779</v>
      </c>
      <c r="D201" s="17" t="s">
        <v>300</v>
      </c>
      <c r="E201" s="17" t="s">
        <v>372</v>
      </c>
      <c r="F201" s="19" t="s">
        <v>10</v>
      </c>
      <c r="G201" s="10"/>
      <c r="H201" s="10"/>
      <c r="I201" s="10"/>
    </row>
    <row r="202" spans="2:9" ht="15" customHeight="1">
      <c r="B202" s="17">
        <f t="shared" ref="B202:B265" si="4">B201+1</f>
        <v>67</v>
      </c>
      <c r="C202" s="35" t="s">
        <v>797</v>
      </c>
      <c r="D202" s="17" t="s">
        <v>9</v>
      </c>
      <c r="E202" s="17" t="s">
        <v>798</v>
      </c>
      <c r="F202" s="19" t="s">
        <v>10</v>
      </c>
      <c r="G202" s="10"/>
      <c r="H202" s="10"/>
      <c r="I202" s="10"/>
    </row>
    <row r="203" spans="2:9" ht="15" customHeight="1">
      <c r="B203" s="17">
        <f t="shared" si="4"/>
        <v>68</v>
      </c>
      <c r="C203" s="35" t="s">
        <v>313</v>
      </c>
      <c r="D203" s="17" t="s">
        <v>300</v>
      </c>
      <c r="E203" s="17" t="s">
        <v>316</v>
      </c>
      <c r="F203" s="19" t="s">
        <v>10</v>
      </c>
      <c r="G203" s="10"/>
      <c r="H203" s="10"/>
      <c r="I203" s="10"/>
    </row>
    <row r="204" spans="2:9" ht="15" customHeight="1">
      <c r="B204" s="17">
        <f t="shared" si="4"/>
        <v>69</v>
      </c>
      <c r="C204" s="35" t="s">
        <v>252</v>
      </c>
      <c r="D204" s="17" t="s">
        <v>9</v>
      </c>
      <c r="E204" s="17" t="s">
        <v>576</v>
      </c>
      <c r="F204" s="19" t="s">
        <v>10</v>
      </c>
      <c r="G204" s="10"/>
      <c r="H204" s="10"/>
      <c r="I204" s="10"/>
    </row>
    <row r="205" spans="2:9" ht="15" customHeight="1">
      <c r="B205" s="17">
        <f t="shared" si="4"/>
        <v>70</v>
      </c>
      <c r="C205" s="35" t="s">
        <v>148</v>
      </c>
      <c r="D205" s="17" t="s">
        <v>9</v>
      </c>
      <c r="E205" s="17" t="s">
        <v>123</v>
      </c>
      <c r="F205" s="19" t="s">
        <v>10</v>
      </c>
      <c r="G205" s="10"/>
      <c r="H205" s="10"/>
      <c r="I205" s="10"/>
    </row>
    <row r="206" spans="2:9" ht="15" customHeight="1">
      <c r="B206" s="17">
        <f t="shared" si="4"/>
        <v>71</v>
      </c>
      <c r="C206" s="35" t="s">
        <v>462</v>
      </c>
      <c r="D206" s="17" t="s">
        <v>456</v>
      </c>
      <c r="E206" s="17" t="s">
        <v>118</v>
      </c>
      <c r="F206" s="19" t="s">
        <v>10</v>
      </c>
      <c r="G206" s="10"/>
      <c r="H206" s="10"/>
      <c r="I206" s="10"/>
    </row>
    <row r="207" spans="2:9" ht="15" customHeight="1">
      <c r="B207" s="17">
        <f t="shared" si="4"/>
        <v>72</v>
      </c>
      <c r="C207" s="36" t="s">
        <v>359</v>
      </c>
      <c r="D207" s="17" t="s">
        <v>300</v>
      </c>
      <c r="E207" s="17" t="s">
        <v>360</v>
      </c>
      <c r="F207" s="19" t="s">
        <v>10</v>
      </c>
      <c r="G207" s="10"/>
      <c r="H207" s="10"/>
      <c r="I207" s="10"/>
    </row>
    <row r="208" spans="2:9" ht="15" customHeight="1">
      <c r="B208" s="17">
        <f t="shared" si="4"/>
        <v>73</v>
      </c>
      <c r="C208" s="35" t="s">
        <v>184</v>
      </c>
      <c r="D208" s="17" t="s">
        <v>9</v>
      </c>
      <c r="E208" s="17" t="s">
        <v>123</v>
      </c>
      <c r="F208" s="19" t="s">
        <v>10</v>
      </c>
      <c r="G208" s="10"/>
      <c r="H208" s="10"/>
      <c r="I208" s="10"/>
    </row>
    <row r="209" spans="2:9" ht="15" customHeight="1">
      <c r="B209" s="17">
        <f t="shared" si="4"/>
        <v>74</v>
      </c>
      <c r="C209" s="35" t="s">
        <v>354</v>
      </c>
      <c r="D209" s="17" t="s">
        <v>300</v>
      </c>
      <c r="E209" s="17" t="s">
        <v>822</v>
      </c>
      <c r="F209" s="19" t="s">
        <v>10</v>
      </c>
      <c r="G209" s="10"/>
      <c r="H209" s="10"/>
      <c r="I209" s="10"/>
    </row>
    <row r="210" spans="2:9" ht="15" customHeight="1">
      <c r="B210" s="17">
        <f t="shared" si="4"/>
        <v>75</v>
      </c>
      <c r="C210" s="35" t="s">
        <v>491</v>
      </c>
      <c r="D210" s="17" t="s">
        <v>483</v>
      </c>
      <c r="E210" s="17" t="s">
        <v>489</v>
      </c>
      <c r="F210" s="19" t="s">
        <v>10</v>
      </c>
      <c r="G210" s="10"/>
      <c r="H210" s="10"/>
      <c r="I210" s="10"/>
    </row>
    <row r="211" spans="2:9" ht="15" customHeight="1">
      <c r="B211" s="17">
        <f t="shared" si="4"/>
        <v>76</v>
      </c>
      <c r="C211" s="35" t="s">
        <v>832</v>
      </c>
      <c r="D211" s="17" t="s">
        <v>9</v>
      </c>
      <c r="E211" s="17" t="s">
        <v>35</v>
      </c>
      <c r="F211" s="19" t="s">
        <v>10</v>
      </c>
      <c r="G211" s="10"/>
      <c r="H211" s="10"/>
      <c r="I211" s="10"/>
    </row>
    <row r="212" spans="2:9" ht="15" customHeight="1">
      <c r="B212" s="17">
        <f t="shared" si="4"/>
        <v>77</v>
      </c>
      <c r="C212" s="35" t="s">
        <v>839</v>
      </c>
      <c r="D212" s="17" t="s">
        <v>420</v>
      </c>
      <c r="E212" s="17" t="s">
        <v>840</v>
      </c>
      <c r="F212" s="19" t="s">
        <v>10</v>
      </c>
      <c r="G212" s="10"/>
      <c r="H212" s="10"/>
      <c r="I212" s="10"/>
    </row>
    <row r="213" spans="2:9" ht="15" customHeight="1">
      <c r="B213" s="17">
        <f t="shared" si="4"/>
        <v>78</v>
      </c>
      <c r="C213" s="35" t="s">
        <v>339</v>
      </c>
      <c r="D213" s="17" t="s">
        <v>300</v>
      </c>
      <c r="E213" s="17" t="s">
        <v>355</v>
      </c>
      <c r="F213" s="19" t="s">
        <v>10</v>
      </c>
      <c r="G213" s="10"/>
      <c r="H213" s="10"/>
      <c r="I213" s="10"/>
    </row>
    <row r="214" spans="2:9" ht="15" customHeight="1">
      <c r="B214" s="17">
        <f t="shared" si="4"/>
        <v>79</v>
      </c>
      <c r="C214" s="35" t="s">
        <v>847</v>
      </c>
      <c r="D214" s="17" t="s">
        <v>9</v>
      </c>
      <c r="E214" s="17" t="s">
        <v>123</v>
      </c>
      <c r="F214" s="19" t="s">
        <v>10</v>
      </c>
      <c r="G214" s="10"/>
      <c r="H214" s="10"/>
      <c r="I214" s="10"/>
    </row>
    <row r="215" spans="2:9" ht="15" customHeight="1">
      <c r="B215" s="17">
        <f t="shared" si="4"/>
        <v>80</v>
      </c>
      <c r="C215" s="35" t="s">
        <v>458</v>
      </c>
      <c r="D215" s="17" t="s">
        <v>456</v>
      </c>
      <c r="E215" s="17" t="s">
        <v>852</v>
      </c>
      <c r="F215" s="19" t="s">
        <v>10</v>
      </c>
      <c r="G215" s="10"/>
      <c r="H215" s="10"/>
      <c r="I215" s="10"/>
    </row>
    <row r="216" spans="2:9" ht="15" customHeight="1">
      <c r="B216" s="17">
        <f t="shared" si="4"/>
        <v>81</v>
      </c>
      <c r="C216" s="35" t="s">
        <v>186</v>
      </c>
      <c r="D216" s="17" t="s">
        <v>9</v>
      </c>
      <c r="E216" s="17" t="s">
        <v>123</v>
      </c>
      <c r="F216" s="19" t="s">
        <v>10</v>
      </c>
      <c r="G216" s="10"/>
      <c r="H216" s="10"/>
      <c r="I216" s="10"/>
    </row>
    <row r="217" spans="2:9" ht="15" customHeight="1">
      <c r="B217" s="17">
        <f t="shared" si="4"/>
        <v>82</v>
      </c>
      <c r="C217" s="35" t="s">
        <v>176</v>
      </c>
      <c r="D217" s="17" t="s">
        <v>9</v>
      </c>
      <c r="E217" s="17" t="s">
        <v>123</v>
      </c>
      <c r="F217" s="19" t="s">
        <v>10</v>
      </c>
      <c r="G217" s="10"/>
      <c r="H217" s="10"/>
      <c r="I217" s="10"/>
    </row>
    <row r="218" spans="2:9" ht="15" customHeight="1">
      <c r="B218" s="17">
        <f t="shared" si="4"/>
        <v>83</v>
      </c>
      <c r="C218" s="35" t="s">
        <v>302</v>
      </c>
      <c r="D218" s="17" t="s">
        <v>300</v>
      </c>
      <c r="E218" s="17" t="s">
        <v>303</v>
      </c>
      <c r="F218" s="19" t="s">
        <v>10</v>
      </c>
      <c r="G218" s="10"/>
      <c r="H218" s="10"/>
      <c r="I218" s="10"/>
    </row>
    <row r="219" spans="2:9" ht="15" customHeight="1">
      <c r="B219" s="17">
        <f t="shared" si="4"/>
        <v>84</v>
      </c>
      <c r="C219" s="35" t="s">
        <v>49</v>
      </c>
      <c r="D219" s="17" t="s">
        <v>9</v>
      </c>
      <c r="E219" s="17" t="s">
        <v>50</v>
      </c>
      <c r="F219" s="19" t="s">
        <v>10</v>
      </c>
      <c r="G219" s="10"/>
      <c r="H219" s="10"/>
      <c r="I219" s="10"/>
    </row>
    <row r="220" spans="2:9" ht="15" customHeight="1">
      <c r="B220" s="17">
        <f t="shared" si="4"/>
        <v>85</v>
      </c>
      <c r="C220" s="35" t="s">
        <v>485</v>
      </c>
      <c r="D220" s="17" t="s">
        <v>483</v>
      </c>
      <c r="E220" s="17" t="s">
        <v>486</v>
      </c>
      <c r="F220" s="19" t="s">
        <v>10</v>
      </c>
      <c r="G220" s="10"/>
      <c r="H220" s="10"/>
      <c r="I220" s="10"/>
    </row>
    <row r="221" spans="2:9" ht="15" customHeight="1">
      <c r="B221" s="17">
        <f t="shared" si="4"/>
        <v>86</v>
      </c>
      <c r="C221" s="35" t="s">
        <v>322</v>
      </c>
      <c r="D221" s="17" t="s">
        <v>300</v>
      </c>
      <c r="E221" s="17" t="s">
        <v>325</v>
      </c>
      <c r="F221" s="19" t="s">
        <v>10</v>
      </c>
      <c r="G221" s="10"/>
      <c r="H221" s="10"/>
      <c r="I221" s="10"/>
    </row>
    <row r="222" spans="2:9" ht="15" customHeight="1">
      <c r="B222" s="17">
        <f t="shared" si="4"/>
        <v>87</v>
      </c>
      <c r="C222" s="35" t="s">
        <v>868</v>
      </c>
      <c r="D222" s="17" t="s">
        <v>9</v>
      </c>
      <c r="E222" s="17" t="s">
        <v>111</v>
      </c>
      <c r="F222" s="19" t="s">
        <v>10</v>
      </c>
      <c r="G222" s="10"/>
      <c r="H222" s="10"/>
      <c r="I222" s="10"/>
    </row>
    <row r="223" spans="2:9" ht="15" customHeight="1">
      <c r="B223" s="17">
        <f t="shared" si="4"/>
        <v>88</v>
      </c>
      <c r="C223" s="35" t="s">
        <v>870</v>
      </c>
      <c r="D223" s="17" t="s">
        <v>9</v>
      </c>
      <c r="E223" s="17" t="s">
        <v>13</v>
      </c>
      <c r="F223" s="19" t="s">
        <v>10</v>
      </c>
      <c r="G223" s="10"/>
      <c r="H223" s="10"/>
      <c r="I223" s="10"/>
    </row>
    <row r="224" spans="2:9" ht="15" customHeight="1">
      <c r="B224" s="17">
        <f t="shared" si="4"/>
        <v>89</v>
      </c>
      <c r="C224" s="35" t="s">
        <v>874</v>
      </c>
      <c r="D224" s="17" t="s">
        <v>456</v>
      </c>
      <c r="E224" s="17" t="s">
        <v>478</v>
      </c>
      <c r="F224" s="19" t="s">
        <v>10</v>
      </c>
      <c r="G224" s="10"/>
      <c r="H224" s="10"/>
      <c r="I224" s="10"/>
    </row>
    <row r="225" spans="2:9" ht="15" customHeight="1">
      <c r="B225" s="17">
        <f t="shared" si="4"/>
        <v>90</v>
      </c>
      <c r="C225" s="35" t="s">
        <v>73</v>
      </c>
      <c r="D225" s="17" t="s">
        <v>9</v>
      </c>
      <c r="E225" s="17" t="s">
        <v>67</v>
      </c>
      <c r="F225" s="19" t="s">
        <v>10</v>
      </c>
      <c r="G225" s="10"/>
      <c r="H225" s="10"/>
      <c r="I225" s="10"/>
    </row>
    <row r="226" spans="2:9" ht="15" customHeight="1">
      <c r="B226" s="17">
        <f t="shared" si="4"/>
        <v>91</v>
      </c>
      <c r="C226" s="35" t="s">
        <v>877</v>
      </c>
      <c r="D226" s="17" t="s">
        <v>300</v>
      </c>
      <c r="E226" s="17" t="s">
        <v>330</v>
      </c>
      <c r="F226" s="19" t="s">
        <v>10</v>
      </c>
      <c r="G226" s="10"/>
      <c r="H226" s="10"/>
      <c r="I226" s="10"/>
    </row>
    <row r="227" spans="2:9" ht="15" customHeight="1">
      <c r="B227" s="17">
        <f t="shared" si="4"/>
        <v>92</v>
      </c>
      <c r="C227" s="35" t="s">
        <v>493</v>
      </c>
      <c r="D227" s="17" t="s">
        <v>420</v>
      </c>
      <c r="E227" s="17" t="s">
        <v>494</v>
      </c>
      <c r="F227" s="19" t="s">
        <v>10</v>
      </c>
      <c r="G227" s="10"/>
      <c r="H227" s="10"/>
      <c r="I227" s="10"/>
    </row>
    <row r="228" spans="2:9" ht="15" customHeight="1">
      <c r="B228" s="17">
        <f t="shared" si="4"/>
        <v>93</v>
      </c>
      <c r="C228" s="35" t="s">
        <v>889</v>
      </c>
      <c r="D228" s="17" t="s">
        <v>9</v>
      </c>
      <c r="E228" s="17" t="s">
        <v>123</v>
      </c>
      <c r="F228" s="19" t="s">
        <v>10</v>
      </c>
      <c r="G228" s="10"/>
      <c r="H228" s="10"/>
      <c r="I228" s="10"/>
    </row>
    <row r="229" spans="2:9" ht="15" customHeight="1">
      <c r="B229" s="17">
        <f t="shared" si="4"/>
        <v>94</v>
      </c>
      <c r="C229" s="35" t="s">
        <v>164</v>
      </c>
      <c r="D229" s="17" t="s">
        <v>9</v>
      </c>
      <c r="E229" s="17" t="s">
        <v>123</v>
      </c>
      <c r="F229" s="19" t="s">
        <v>10</v>
      </c>
      <c r="G229" s="10"/>
      <c r="H229" s="10"/>
      <c r="I229" s="10"/>
    </row>
    <row r="230" spans="2:9" ht="15" customHeight="1">
      <c r="B230" s="17">
        <f t="shared" si="4"/>
        <v>95</v>
      </c>
      <c r="C230" s="35" t="s">
        <v>527</v>
      </c>
      <c r="D230" s="17" t="s">
        <v>483</v>
      </c>
      <c r="E230" s="17" t="s">
        <v>497</v>
      </c>
      <c r="F230" s="19" t="s">
        <v>10</v>
      </c>
      <c r="G230" s="10"/>
      <c r="H230" s="10"/>
      <c r="I230" s="10"/>
    </row>
    <row r="231" spans="2:9" ht="15" customHeight="1">
      <c r="B231" s="17">
        <f t="shared" si="4"/>
        <v>96</v>
      </c>
      <c r="C231" s="35" t="s">
        <v>378</v>
      </c>
      <c r="D231" s="17" t="s">
        <v>300</v>
      </c>
      <c r="E231" s="17" t="s">
        <v>551</v>
      </c>
      <c r="F231" s="19" t="s">
        <v>296</v>
      </c>
      <c r="G231" s="10"/>
      <c r="H231" s="10"/>
      <c r="I231" s="10"/>
    </row>
    <row r="232" spans="2:9" ht="15" customHeight="1">
      <c r="B232" s="17">
        <f t="shared" si="4"/>
        <v>97</v>
      </c>
      <c r="C232" s="35" t="s">
        <v>231</v>
      </c>
      <c r="D232" s="17" t="s">
        <v>300</v>
      </c>
      <c r="E232" s="17" t="s">
        <v>556</v>
      </c>
      <c r="F232" s="19" t="s">
        <v>296</v>
      </c>
      <c r="G232" s="10"/>
      <c r="H232" s="10"/>
      <c r="I232" s="10"/>
    </row>
    <row r="233" spans="2:9" ht="15" customHeight="1">
      <c r="B233" s="17">
        <f t="shared" si="4"/>
        <v>98</v>
      </c>
      <c r="C233" s="35" t="s">
        <v>572</v>
      </c>
      <c r="D233" s="17" t="s">
        <v>300</v>
      </c>
      <c r="E233" s="17" t="s">
        <v>556</v>
      </c>
      <c r="F233" s="19" t="s">
        <v>296</v>
      </c>
      <c r="G233" s="10"/>
      <c r="H233" s="10"/>
      <c r="I233" s="10"/>
    </row>
    <row r="234" spans="2:9" ht="15" customHeight="1">
      <c r="B234" s="17">
        <f t="shared" si="4"/>
        <v>99</v>
      </c>
      <c r="C234" s="35" t="s">
        <v>396</v>
      </c>
      <c r="D234" s="17" t="s">
        <v>300</v>
      </c>
      <c r="E234" s="17" t="s">
        <v>399</v>
      </c>
      <c r="F234" s="19" t="s">
        <v>296</v>
      </c>
      <c r="G234" s="10"/>
      <c r="H234" s="10"/>
      <c r="I234" s="10"/>
    </row>
    <row r="235" spans="2:9" ht="15" customHeight="1">
      <c r="B235" s="17">
        <f t="shared" si="4"/>
        <v>100</v>
      </c>
      <c r="C235" s="35" t="s">
        <v>390</v>
      </c>
      <c r="D235" s="17" t="s">
        <v>300</v>
      </c>
      <c r="E235" s="17" t="s">
        <v>556</v>
      </c>
      <c r="F235" s="19" t="s">
        <v>296</v>
      </c>
      <c r="G235" s="10"/>
      <c r="H235" s="10"/>
      <c r="I235" s="10"/>
    </row>
    <row r="236" spans="2:9" ht="15" customHeight="1">
      <c r="B236" s="17">
        <f t="shared" si="4"/>
        <v>101</v>
      </c>
      <c r="C236" s="35" t="s">
        <v>581</v>
      </c>
      <c r="D236" s="17" t="s">
        <v>415</v>
      </c>
      <c r="E236" s="17" t="s">
        <v>414</v>
      </c>
      <c r="F236" s="19" t="s">
        <v>296</v>
      </c>
      <c r="G236" s="10"/>
      <c r="H236" s="10"/>
      <c r="I236" s="10"/>
    </row>
    <row r="237" spans="2:9" ht="15" customHeight="1">
      <c r="B237" s="17">
        <f t="shared" si="4"/>
        <v>102</v>
      </c>
      <c r="C237" s="35" t="s">
        <v>442</v>
      </c>
      <c r="D237" s="17" t="s">
        <v>440</v>
      </c>
      <c r="E237" s="17" t="s">
        <v>443</v>
      </c>
      <c r="F237" s="19" t="s">
        <v>296</v>
      </c>
      <c r="G237" s="10"/>
      <c r="H237" s="10"/>
      <c r="I237" s="10"/>
    </row>
    <row r="238" spans="2:9" ht="15" customHeight="1">
      <c r="B238" s="17">
        <f t="shared" si="4"/>
        <v>103</v>
      </c>
      <c r="C238" s="35" t="s">
        <v>590</v>
      </c>
      <c r="D238" s="17" t="s">
        <v>456</v>
      </c>
      <c r="E238" s="17" t="s">
        <v>482</v>
      </c>
      <c r="F238" s="19" t="s">
        <v>296</v>
      </c>
      <c r="G238" s="10"/>
      <c r="H238" s="10"/>
      <c r="I238" s="10"/>
    </row>
    <row r="239" spans="2:9" ht="15" customHeight="1">
      <c r="B239" s="17">
        <f t="shared" si="4"/>
        <v>104</v>
      </c>
      <c r="C239" s="35" t="s">
        <v>594</v>
      </c>
      <c r="D239" s="17" t="s">
        <v>420</v>
      </c>
      <c r="E239" s="17" t="s">
        <v>436</v>
      </c>
      <c r="F239" s="19" t="s">
        <v>296</v>
      </c>
      <c r="G239" s="10"/>
      <c r="H239" s="10"/>
      <c r="I239" s="10"/>
    </row>
    <row r="240" spans="2:9" ht="15" customHeight="1">
      <c r="B240" s="17">
        <f t="shared" si="4"/>
        <v>105</v>
      </c>
      <c r="C240" s="35" t="s">
        <v>398</v>
      </c>
      <c r="D240" s="17" t="s">
        <v>300</v>
      </c>
      <c r="E240" s="17" t="s">
        <v>556</v>
      </c>
      <c r="F240" s="19" t="s">
        <v>296</v>
      </c>
      <c r="G240" s="10"/>
      <c r="H240" s="10"/>
      <c r="I240" s="10"/>
    </row>
    <row r="241" spans="2:9" ht="15" customHeight="1">
      <c r="B241" s="17">
        <f t="shared" si="4"/>
        <v>106</v>
      </c>
      <c r="C241" s="35" t="s">
        <v>610</v>
      </c>
      <c r="D241" s="17" t="s">
        <v>300</v>
      </c>
      <c r="E241" s="17" t="s">
        <v>394</v>
      </c>
      <c r="F241" s="19" t="s">
        <v>296</v>
      </c>
      <c r="G241" s="10"/>
      <c r="H241" s="10"/>
      <c r="I241" s="10"/>
    </row>
    <row r="242" spans="2:9" ht="15" customHeight="1">
      <c r="B242" s="17">
        <f t="shared" si="4"/>
        <v>107</v>
      </c>
      <c r="C242" s="35" t="s">
        <v>617</v>
      </c>
      <c r="D242" s="17" t="s">
        <v>300</v>
      </c>
      <c r="E242" s="17" t="s">
        <v>551</v>
      </c>
      <c r="F242" s="19" t="s">
        <v>296</v>
      </c>
      <c r="G242" s="10"/>
      <c r="H242" s="10"/>
      <c r="I242" s="10"/>
    </row>
    <row r="243" spans="2:9" ht="15" customHeight="1">
      <c r="B243" s="17">
        <f t="shared" si="4"/>
        <v>108</v>
      </c>
      <c r="C243" s="35" t="s">
        <v>387</v>
      </c>
      <c r="D243" s="17" t="s">
        <v>300</v>
      </c>
      <c r="E243" s="17" t="s">
        <v>399</v>
      </c>
      <c r="F243" s="19" t="s">
        <v>296</v>
      </c>
      <c r="G243" s="10"/>
      <c r="H243" s="10"/>
      <c r="I243" s="10"/>
    </row>
    <row r="244" spans="2:9" ht="15" customHeight="1">
      <c r="B244" s="17">
        <f t="shared" si="4"/>
        <v>109</v>
      </c>
      <c r="C244" s="35" t="s">
        <v>380</v>
      </c>
      <c r="D244" s="17" t="s">
        <v>300</v>
      </c>
      <c r="E244" s="17" t="s">
        <v>620</v>
      </c>
      <c r="F244" s="19" t="s">
        <v>296</v>
      </c>
      <c r="G244" s="10"/>
      <c r="H244" s="10"/>
      <c r="I244" s="10"/>
    </row>
    <row r="245" spans="2:9" ht="15" customHeight="1">
      <c r="B245" s="17">
        <f t="shared" si="4"/>
        <v>110</v>
      </c>
      <c r="C245" s="35" t="s">
        <v>624</v>
      </c>
      <c r="D245" s="17" t="s">
        <v>300</v>
      </c>
      <c r="E245" s="17" t="s">
        <v>299</v>
      </c>
      <c r="F245" s="19" t="s">
        <v>296</v>
      </c>
      <c r="G245" s="10"/>
      <c r="H245" s="10"/>
      <c r="I245" s="10"/>
    </row>
    <row r="246" spans="2:9" ht="15" customHeight="1">
      <c r="B246" s="17">
        <f t="shared" si="4"/>
        <v>111</v>
      </c>
      <c r="C246" s="35" t="s">
        <v>632</v>
      </c>
      <c r="D246" s="17" t="s">
        <v>456</v>
      </c>
      <c r="E246" s="17" t="s">
        <v>482</v>
      </c>
      <c r="F246" s="19" t="s">
        <v>296</v>
      </c>
      <c r="G246" s="10"/>
      <c r="H246" s="10"/>
      <c r="I246" s="10"/>
    </row>
    <row r="247" spans="2:9" ht="15" customHeight="1">
      <c r="B247" s="17">
        <f t="shared" si="4"/>
        <v>112</v>
      </c>
      <c r="C247" s="35" t="s">
        <v>638</v>
      </c>
      <c r="D247" s="17" t="s">
        <v>300</v>
      </c>
      <c r="E247" s="17" t="s">
        <v>394</v>
      </c>
      <c r="F247" s="19" t="s">
        <v>296</v>
      </c>
      <c r="G247" s="10"/>
      <c r="H247" s="10"/>
      <c r="I247" s="10"/>
    </row>
    <row r="248" spans="2:9" ht="15" customHeight="1">
      <c r="B248" s="17">
        <f t="shared" si="4"/>
        <v>113</v>
      </c>
      <c r="C248" s="35" t="s">
        <v>650</v>
      </c>
      <c r="D248" s="17" t="s">
        <v>300</v>
      </c>
      <c r="E248" s="17" t="s">
        <v>400</v>
      </c>
      <c r="F248" s="19" t="s">
        <v>296</v>
      </c>
      <c r="G248" s="10"/>
      <c r="H248" s="10"/>
      <c r="I248" s="10"/>
    </row>
    <row r="249" spans="2:9" ht="15" customHeight="1">
      <c r="B249" s="17">
        <f t="shared" si="4"/>
        <v>114</v>
      </c>
      <c r="C249" s="35" t="s">
        <v>362</v>
      </c>
      <c r="D249" s="17" t="s">
        <v>300</v>
      </c>
      <c r="E249" s="17" t="s">
        <v>556</v>
      </c>
      <c r="F249" s="19" t="s">
        <v>296</v>
      </c>
      <c r="G249" s="10"/>
      <c r="H249" s="10"/>
      <c r="I249" s="10"/>
    </row>
    <row r="250" spans="2:9" ht="15" customHeight="1">
      <c r="B250" s="17">
        <f t="shared" si="4"/>
        <v>115</v>
      </c>
      <c r="C250" s="35" t="s">
        <v>655</v>
      </c>
      <c r="D250" s="17" t="s">
        <v>420</v>
      </c>
      <c r="E250" s="17" t="s">
        <v>436</v>
      </c>
      <c r="F250" s="19" t="s">
        <v>296</v>
      </c>
      <c r="G250" s="10"/>
      <c r="H250" s="10"/>
      <c r="I250" s="10"/>
    </row>
    <row r="251" spans="2:9" ht="15" customHeight="1">
      <c r="B251" s="17">
        <f t="shared" si="4"/>
        <v>116</v>
      </c>
      <c r="C251" s="35" t="s">
        <v>660</v>
      </c>
      <c r="D251" s="17" t="s">
        <v>300</v>
      </c>
      <c r="E251" s="17" t="s">
        <v>556</v>
      </c>
      <c r="F251" s="19" t="s">
        <v>296</v>
      </c>
      <c r="G251" s="10"/>
      <c r="H251" s="10"/>
      <c r="I251" s="10"/>
    </row>
    <row r="252" spans="2:9" ht="15" customHeight="1">
      <c r="B252" s="17">
        <f t="shared" si="4"/>
        <v>117</v>
      </c>
      <c r="C252" s="35" t="s">
        <v>664</v>
      </c>
      <c r="D252" s="17" t="s">
        <v>456</v>
      </c>
      <c r="E252" s="17" t="s">
        <v>482</v>
      </c>
      <c r="F252" s="19" t="s">
        <v>296</v>
      </c>
      <c r="G252" s="10"/>
      <c r="H252" s="10"/>
      <c r="I252" s="10"/>
    </row>
    <row r="253" spans="2:9" ht="15" customHeight="1">
      <c r="B253" s="17">
        <f t="shared" si="4"/>
        <v>118</v>
      </c>
      <c r="C253" s="35" t="s">
        <v>386</v>
      </c>
      <c r="D253" s="17" t="s">
        <v>300</v>
      </c>
      <c r="E253" s="17" t="s">
        <v>670</v>
      </c>
      <c r="F253" s="19" t="s">
        <v>296</v>
      </c>
      <c r="G253" s="10"/>
      <c r="H253" s="10"/>
      <c r="I253" s="10"/>
    </row>
    <row r="254" spans="2:9" ht="15" customHeight="1">
      <c r="B254" s="17">
        <f t="shared" si="4"/>
        <v>119</v>
      </c>
      <c r="C254" s="35" t="s">
        <v>679</v>
      </c>
      <c r="D254" s="17" t="s">
        <v>420</v>
      </c>
      <c r="E254" s="17" t="s">
        <v>439</v>
      </c>
      <c r="F254" s="19" t="s">
        <v>296</v>
      </c>
      <c r="G254" s="10"/>
      <c r="H254" s="10"/>
      <c r="I254" s="10"/>
    </row>
    <row r="255" spans="2:9" ht="15" customHeight="1">
      <c r="B255" s="17">
        <f t="shared" si="4"/>
        <v>120</v>
      </c>
      <c r="C255" s="35" t="s">
        <v>686</v>
      </c>
      <c r="D255" s="17" t="s">
        <v>420</v>
      </c>
      <c r="E255" s="17" t="s">
        <v>439</v>
      </c>
      <c r="F255" s="19" t="s">
        <v>296</v>
      </c>
      <c r="G255" s="10"/>
      <c r="H255" s="10"/>
      <c r="I255" s="10"/>
    </row>
    <row r="256" spans="2:9" ht="15" customHeight="1">
      <c r="B256" s="17">
        <f t="shared" si="4"/>
        <v>121</v>
      </c>
      <c r="C256" s="35" t="s">
        <v>426</v>
      </c>
      <c r="D256" s="17" t="s">
        <v>420</v>
      </c>
      <c r="E256" s="17" t="s">
        <v>439</v>
      </c>
      <c r="F256" s="19" t="s">
        <v>296</v>
      </c>
      <c r="G256" s="10"/>
      <c r="H256" s="10"/>
      <c r="I256" s="10"/>
    </row>
    <row r="257" spans="2:9" ht="15" customHeight="1">
      <c r="B257" s="17">
        <f t="shared" si="4"/>
        <v>122</v>
      </c>
      <c r="C257" s="35" t="s">
        <v>698</v>
      </c>
      <c r="D257" s="17" t="s">
        <v>300</v>
      </c>
      <c r="E257" s="17" t="s">
        <v>556</v>
      </c>
      <c r="F257" s="19" t="s">
        <v>296</v>
      </c>
      <c r="G257" s="10"/>
      <c r="H257" s="10"/>
      <c r="I257" s="10"/>
    </row>
    <row r="258" spans="2:9" ht="15" customHeight="1">
      <c r="B258" s="17">
        <f t="shared" si="4"/>
        <v>123</v>
      </c>
      <c r="C258" s="35" t="s">
        <v>700</v>
      </c>
      <c r="D258" s="17" t="s">
        <v>456</v>
      </c>
      <c r="E258" s="17" t="s">
        <v>482</v>
      </c>
      <c r="F258" s="19" t="s">
        <v>296</v>
      </c>
      <c r="G258" s="10"/>
      <c r="H258" s="10"/>
      <c r="I258" s="10"/>
    </row>
    <row r="259" spans="2:9" ht="15" customHeight="1">
      <c r="B259" s="17">
        <f t="shared" si="4"/>
        <v>124</v>
      </c>
      <c r="C259" s="35" t="s">
        <v>706</v>
      </c>
      <c r="D259" s="17" t="s">
        <v>300</v>
      </c>
      <c r="E259" s="17" t="s">
        <v>556</v>
      </c>
      <c r="F259" s="19" t="s">
        <v>296</v>
      </c>
      <c r="G259" s="10"/>
      <c r="H259" s="10"/>
      <c r="I259" s="10"/>
    </row>
    <row r="260" spans="2:9" ht="15" customHeight="1">
      <c r="B260" s="17">
        <f t="shared" si="4"/>
        <v>125</v>
      </c>
      <c r="C260" s="35" t="s">
        <v>712</v>
      </c>
      <c r="D260" s="17" t="s">
        <v>300</v>
      </c>
      <c r="E260" s="17" t="s">
        <v>556</v>
      </c>
      <c r="F260" s="19" t="s">
        <v>296</v>
      </c>
      <c r="G260" s="10"/>
      <c r="H260" s="10"/>
      <c r="I260" s="10"/>
    </row>
    <row r="261" spans="2:9" ht="15" customHeight="1">
      <c r="B261" s="17">
        <f t="shared" si="4"/>
        <v>126</v>
      </c>
      <c r="C261" s="35" t="s">
        <v>715</v>
      </c>
      <c r="D261" s="17" t="s">
        <v>415</v>
      </c>
      <c r="E261" s="17" t="s">
        <v>414</v>
      </c>
      <c r="F261" s="19" t="s">
        <v>296</v>
      </c>
      <c r="G261" s="10"/>
      <c r="H261" s="10"/>
      <c r="I261" s="10"/>
    </row>
    <row r="262" spans="2:9" ht="15" customHeight="1">
      <c r="B262" s="17">
        <f t="shared" si="4"/>
        <v>127</v>
      </c>
      <c r="C262" s="35" t="s">
        <v>718</v>
      </c>
      <c r="D262" s="17" t="s">
        <v>420</v>
      </c>
      <c r="E262" s="17" t="s">
        <v>439</v>
      </c>
      <c r="F262" s="19" t="s">
        <v>296</v>
      </c>
      <c r="G262" s="10"/>
      <c r="H262" s="10"/>
      <c r="I262" s="10"/>
    </row>
    <row r="263" spans="2:9" ht="15" customHeight="1">
      <c r="B263" s="17">
        <f t="shared" si="4"/>
        <v>128</v>
      </c>
      <c r="C263" s="35" t="s">
        <v>743</v>
      </c>
      <c r="D263" s="17" t="s">
        <v>300</v>
      </c>
      <c r="E263" s="17" t="s">
        <v>299</v>
      </c>
      <c r="F263" s="19" t="s">
        <v>296</v>
      </c>
      <c r="G263" s="10"/>
      <c r="H263" s="10"/>
      <c r="I263" s="10"/>
    </row>
    <row r="264" spans="2:9" ht="15" customHeight="1">
      <c r="B264" s="17">
        <f t="shared" si="4"/>
        <v>129</v>
      </c>
      <c r="C264" s="35" t="s">
        <v>745</v>
      </c>
      <c r="D264" s="17" t="s">
        <v>415</v>
      </c>
      <c r="E264" s="17" t="s">
        <v>414</v>
      </c>
      <c r="F264" s="19" t="s">
        <v>296</v>
      </c>
      <c r="G264" s="10"/>
      <c r="H264" s="10"/>
      <c r="I264" s="10"/>
    </row>
    <row r="265" spans="2:9" ht="15" customHeight="1">
      <c r="B265" s="17">
        <f t="shared" si="4"/>
        <v>130</v>
      </c>
      <c r="C265" s="35" t="s">
        <v>751</v>
      </c>
      <c r="D265" s="17" t="s">
        <v>300</v>
      </c>
      <c r="E265" s="17" t="s">
        <v>400</v>
      </c>
      <c r="F265" s="19" t="s">
        <v>296</v>
      </c>
      <c r="G265" s="10"/>
      <c r="H265" s="10"/>
      <c r="I265" s="10"/>
    </row>
    <row r="266" spans="2:9" ht="15" customHeight="1">
      <c r="B266" s="17">
        <f t="shared" ref="B266:B299" si="5">B265+1</f>
        <v>131</v>
      </c>
      <c r="C266" s="35" t="s">
        <v>757</v>
      </c>
      <c r="D266" s="17" t="s">
        <v>300</v>
      </c>
      <c r="E266" s="17" t="s">
        <v>394</v>
      </c>
      <c r="F266" s="19" t="s">
        <v>296</v>
      </c>
      <c r="G266" s="10"/>
      <c r="H266" s="10"/>
      <c r="I266" s="10"/>
    </row>
    <row r="267" spans="2:9" ht="15" customHeight="1">
      <c r="B267" s="17">
        <f t="shared" si="5"/>
        <v>132</v>
      </c>
      <c r="C267" s="35" t="s">
        <v>759</v>
      </c>
      <c r="D267" s="17" t="s">
        <v>456</v>
      </c>
      <c r="E267" s="17" t="s">
        <v>482</v>
      </c>
      <c r="F267" s="19" t="s">
        <v>296</v>
      </c>
      <c r="G267" s="10"/>
      <c r="H267" s="10"/>
      <c r="I267" s="10"/>
    </row>
    <row r="268" spans="2:9" ht="15" customHeight="1">
      <c r="B268" s="17">
        <f t="shared" si="5"/>
        <v>133</v>
      </c>
      <c r="C268" s="35" t="s">
        <v>364</v>
      </c>
      <c r="D268" s="17" t="s">
        <v>300</v>
      </c>
      <c r="E268" s="17" t="s">
        <v>767</v>
      </c>
      <c r="F268" s="19" t="s">
        <v>296</v>
      </c>
      <c r="G268" s="10"/>
      <c r="H268" s="10"/>
      <c r="I268" s="10"/>
    </row>
    <row r="269" spans="2:9" ht="15" customHeight="1">
      <c r="B269" s="17">
        <f t="shared" si="5"/>
        <v>134</v>
      </c>
      <c r="C269" s="35" t="s">
        <v>401</v>
      </c>
      <c r="D269" s="17" t="s">
        <v>300</v>
      </c>
      <c r="E269" s="17" t="s">
        <v>299</v>
      </c>
      <c r="F269" s="19" t="s">
        <v>296</v>
      </c>
      <c r="G269" s="10"/>
      <c r="H269" s="10"/>
      <c r="I269" s="10"/>
    </row>
    <row r="270" spans="2:9" ht="15" customHeight="1">
      <c r="B270" s="17">
        <f t="shared" si="5"/>
        <v>135</v>
      </c>
      <c r="C270" s="35" t="s">
        <v>770</v>
      </c>
      <c r="D270" s="17" t="s">
        <v>300</v>
      </c>
      <c r="E270" s="17" t="s">
        <v>394</v>
      </c>
      <c r="F270" s="19" t="s">
        <v>296</v>
      </c>
      <c r="G270" s="10"/>
      <c r="H270" s="10"/>
      <c r="I270" s="10"/>
    </row>
    <row r="271" spans="2:9" ht="15" customHeight="1">
      <c r="B271" s="17">
        <f t="shared" si="5"/>
        <v>136</v>
      </c>
      <c r="C271" s="35" t="s">
        <v>772</v>
      </c>
      <c r="D271" s="17" t="s">
        <v>450</v>
      </c>
      <c r="E271" s="17" t="s">
        <v>454</v>
      </c>
      <c r="F271" s="19" t="s">
        <v>296</v>
      </c>
      <c r="G271" s="10"/>
      <c r="H271" s="10"/>
      <c r="I271" s="10"/>
    </row>
    <row r="272" spans="2:9" ht="15" customHeight="1">
      <c r="B272" s="17">
        <f t="shared" si="5"/>
        <v>137</v>
      </c>
      <c r="C272" s="35" t="s">
        <v>384</v>
      </c>
      <c r="D272" s="17" t="s">
        <v>300</v>
      </c>
      <c r="E272" s="17" t="s">
        <v>556</v>
      </c>
      <c r="F272" s="19" t="s">
        <v>296</v>
      </c>
      <c r="G272" s="10"/>
      <c r="H272" s="10"/>
      <c r="I272" s="10"/>
    </row>
    <row r="273" spans="2:9" ht="15" customHeight="1">
      <c r="B273" s="17">
        <f t="shared" si="5"/>
        <v>138</v>
      </c>
      <c r="C273" s="35" t="s">
        <v>783</v>
      </c>
      <c r="D273" s="17" t="s">
        <v>300</v>
      </c>
      <c r="E273" s="17" t="s">
        <v>399</v>
      </c>
      <c r="F273" s="19" t="s">
        <v>296</v>
      </c>
      <c r="G273" s="10"/>
      <c r="H273" s="10"/>
      <c r="I273" s="10"/>
    </row>
    <row r="274" spans="2:9" ht="15" customHeight="1">
      <c r="B274" s="17">
        <f t="shared" si="5"/>
        <v>139</v>
      </c>
      <c r="C274" s="35" t="s">
        <v>792</v>
      </c>
      <c r="D274" s="17" t="s">
        <v>300</v>
      </c>
      <c r="E274" s="17" t="s">
        <v>556</v>
      </c>
      <c r="F274" s="19" t="s">
        <v>296</v>
      </c>
      <c r="G274" s="10"/>
      <c r="H274" s="10"/>
      <c r="I274" s="10"/>
    </row>
    <row r="275" spans="2:9" ht="15" customHeight="1">
      <c r="B275" s="17">
        <f t="shared" si="5"/>
        <v>140</v>
      </c>
      <c r="C275" s="35" t="s">
        <v>795</v>
      </c>
      <c r="D275" s="17" t="s">
        <v>444</v>
      </c>
      <c r="E275" s="17" t="s">
        <v>449</v>
      </c>
      <c r="F275" s="19" t="s">
        <v>296</v>
      </c>
      <c r="G275" s="10"/>
      <c r="H275" s="10"/>
      <c r="I275" s="10"/>
    </row>
    <row r="276" spans="2:9" ht="15" customHeight="1">
      <c r="B276" s="17">
        <f t="shared" si="5"/>
        <v>141</v>
      </c>
      <c r="C276" s="35" t="s">
        <v>804</v>
      </c>
      <c r="D276" s="17" t="s">
        <v>300</v>
      </c>
      <c r="E276" s="17" t="s">
        <v>399</v>
      </c>
      <c r="F276" s="19" t="s">
        <v>296</v>
      </c>
      <c r="G276" s="10"/>
      <c r="H276" s="10"/>
      <c r="I276" s="10"/>
    </row>
    <row r="277" spans="2:9" ht="15" customHeight="1">
      <c r="B277" s="17">
        <f t="shared" si="5"/>
        <v>142</v>
      </c>
      <c r="C277" s="35" t="s">
        <v>365</v>
      </c>
      <c r="D277" s="17" t="s">
        <v>300</v>
      </c>
      <c r="E277" s="17" t="s">
        <v>399</v>
      </c>
      <c r="F277" s="19" t="s">
        <v>296</v>
      </c>
      <c r="G277" s="10"/>
      <c r="H277" s="10"/>
      <c r="I277" s="10"/>
    </row>
    <row r="278" spans="2:9" ht="15" customHeight="1">
      <c r="B278" s="17">
        <f t="shared" si="5"/>
        <v>143</v>
      </c>
      <c r="C278" s="35" t="s">
        <v>808</v>
      </c>
      <c r="D278" s="17" t="s">
        <v>456</v>
      </c>
      <c r="E278" s="17" t="s">
        <v>482</v>
      </c>
      <c r="F278" s="19" t="s">
        <v>296</v>
      </c>
      <c r="G278" s="10"/>
      <c r="H278" s="10"/>
      <c r="I278" s="10"/>
    </row>
    <row r="279" spans="2:9" ht="15" customHeight="1">
      <c r="B279" s="17">
        <f t="shared" si="5"/>
        <v>144</v>
      </c>
      <c r="C279" s="35" t="s">
        <v>383</v>
      </c>
      <c r="D279" s="17" t="s">
        <v>300</v>
      </c>
      <c r="E279" s="17" t="s">
        <v>551</v>
      </c>
      <c r="F279" s="19" t="s">
        <v>296</v>
      </c>
      <c r="G279" s="10"/>
      <c r="H279" s="10"/>
      <c r="I279" s="10"/>
    </row>
    <row r="280" spans="2:9" ht="15" customHeight="1">
      <c r="B280" s="17">
        <f t="shared" si="5"/>
        <v>145</v>
      </c>
      <c r="C280" s="35" t="s">
        <v>412</v>
      </c>
      <c r="D280" s="17" t="s">
        <v>415</v>
      </c>
      <c r="E280" s="17" t="s">
        <v>414</v>
      </c>
      <c r="F280" s="19" t="s">
        <v>296</v>
      </c>
      <c r="G280" s="10"/>
      <c r="H280" s="10"/>
      <c r="I280" s="10"/>
    </row>
    <row r="281" spans="2:9" ht="15" customHeight="1">
      <c r="B281" s="17">
        <f t="shared" si="5"/>
        <v>146</v>
      </c>
      <c r="C281" s="35" t="s">
        <v>363</v>
      </c>
      <c r="D281" s="17" t="s">
        <v>300</v>
      </c>
      <c r="E281" s="17" t="s">
        <v>556</v>
      </c>
      <c r="F281" s="19" t="s">
        <v>296</v>
      </c>
      <c r="G281" s="10"/>
      <c r="H281" s="10"/>
      <c r="I281" s="10"/>
    </row>
    <row r="282" spans="2:9" ht="15" customHeight="1">
      <c r="B282" s="17">
        <f t="shared" si="5"/>
        <v>147</v>
      </c>
      <c r="C282" s="35" t="s">
        <v>528</v>
      </c>
      <c r="D282" s="17" t="s">
        <v>300</v>
      </c>
      <c r="E282" s="17" t="s">
        <v>299</v>
      </c>
      <c r="F282" s="19" t="s">
        <v>296</v>
      </c>
      <c r="G282" s="10"/>
      <c r="H282" s="10"/>
      <c r="I282" s="10"/>
    </row>
    <row r="283" spans="2:9" ht="15" customHeight="1">
      <c r="B283" s="17">
        <f t="shared" si="5"/>
        <v>148</v>
      </c>
      <c r="C283" s="35" t="s">
        <v>824</v>
      </c>
      <c r="D283" s="17" t="s">
        <v>420</v>
      </c>
      <c r="E283" s="17" t="s">
        <v>825</v>
      </c>
      <c r="F283" s="19" t="s">
        <v>296</v>
      </c>
      <c r="G283" s="10"/>
      <c r="H283" s="10"/>
      <c r="I283" s="10"/>
    </row>
    <row r="284" spans="2:9" ht="15" customHeight="1">
      <c r="B284" s="17">
        <f t="shared" si="5"/>
        <v>149</v>
      </c>
      <c r="C284" s="35" t="s">
        <v>824</v>
      </c>
      <c r="D284" s="17" t="s">
        <v>415</v>
      </c>
      <c r="E284" s="17" t="s">
        <v>418</v>
      </c>
      <c r="F284" s="19" t="s">
        <v>296</v>
      </c>
      <c r="G284" s="10"/>
      <c r="H284" s="10"/>
      <c r="I284" s="10"/>
    </row>
    <row r="285" spans="2:9" ht="15" customHeight="1">
      <c r="B285" s="17">
        <f t="shared" si="5"/>
        <v>150</v>
      </c>
      <c r="C285" s="35" t="s">
        <v>828</v>
      </c>
      <c r="D285" s="17" t="s">
        <v>300</v>
      </c>
      <c r="E285" s="17" t="s">
        <v>400</v>
      </c>
      <c r="F285" s="19" t="s">
        <v>296</v>
      </c>
      <c r="G285" s="10"/>
      <c r="H285" s="10"/>
      <c r="I285" s="10"/>
    </row>
    <row r="286" spans="2:9" ht="15" customHeight="1">
      <c r="B286" s="17">
        <f t="shared" si="5"/>
        <v>151</v>
      </c>
      <c r="C286" s="35" t="s">
        <v>845</v>
      </c>
      <c r="D286" s="17" t="s">
        <v>450</v>
      </c>
      <c r="E286" s="17" t="s">
        <v>454</v>
      </c>
      <c r="F286" s="19" t="s">
        <v>296</v>
      </c>
      <c r="G286" s="10"/>
      <c r="H286" s="10"/>
      <c r="I286" s="10"/>
    </row>
    <row r="287" spans="2:9" ht="15" customHeight="1">
      <c r="B287" s="17">
        <f t="shared" si="5"/>
        <v>152</v>
      </c>
      <c r="C287" s="35" t="s">
        <v>417</v>
      </c>
      <c r="D287" s="17" t="s">
        <v>415</v>
      </c>
      <c r="E287" s="17" t="s">
        <v>418</v>
      </c>
      <c r="F287" s="19" t="s">
        <v>296</v>
      </c>
      <c r="G287" s="10"/>
      <c r="H287" s="10"/>
      <c r="I287" s="10"/>
    </row>
    <row r="288" spans="2:9" ht="15" customHeight="1">
      <c r="B288" s="17">
        <f t="shared" si="5"/>
        <v>153</v>
      </c>
      <c r="C288" s="35" t="s">
        <v>859</v>
      </c>
      <c r="D288" s="17" t="s">
        <v>420</v>
      </c>
      <c r="E288" s="17" t="s">
        <v>436</v>
      </c>
      <c r="F288" s="19" t="s">
        <v>296</v>
      </c>
      <c r="G288" s="10"/>
      <c r="H288" s="10"/>
      <c r="I288" s="10"/>
    </row>
    <row r="289" spans="2:9" ht="15" customHeight="1">
      <c r="B289" s="17">
        <f t="shared" si="5"/>
        <v>154</v>
      </c>
      <c r="C289" s="35" t="s">
        <v>864</v>
      </c>
      <c r="D289" s="17" t="s">
        <v>415</v>
      </c>
      <c r="E289" s="17" t="s">
        <v>418</v>
      </c>
      <c r="F289" s="19" t="s">
        <v>296</v>
      </c>
      <c r="G289" s="10"/>
      <c r="H289" s="10"/>
      <c r="I289" s="10"/>
    </row>
    <row r="290" spans="2:9" ht="15" customHeight="1">
      <c r="B290" s="17">
        <f t="shared" si="5"/>
        <v>155</v>
      </c>
      <c r="C290" s="35" t="s">
        <v>872</v>
      </c>
      <c r="D290" s="17" t="s">
        <v>420</v>
      </c>
      <c r="E290" s="17" t="s">
        <v>439</v>
      </c>
      <c r="F290" s="19" t="s">
        <v>296</v>
      </c>
      <c r="G290" s="10"/>
      <c r="H290" s="10"/>
      <c r="I290" s="10"/>
    </row>
    <row r="291" spans="2:9" ht="15" customHeight="1">
      <c r="B291" s="17">
        <f t="shared" si="5"/>
        <v>156</v>
      </c>
      <c r="C291" s="35" t="s">
        <v>880</v>
      </c>
      <c r="D291" s="17" t="s">
        <v>415</v>
      </c>
      <c r="E291" s="17" t="s">
        <v>414</v>
      </c>
      <c r="F291" s="19" t="s">
        <v>296</v>
      </c>
      <c r="G291" s="10"/>
      <c r="H291" s="10"/>
      <c r="I291" s="10"/>
    </row>
    <row r="292" spans="2:9" ht="15" customHeight="1">
      <c r="B292" s="17">
        <f t="shared" si="5"/>
        <v>157</v>
      </c>
      <c r="C292" s="35" t="s">
        <v>882</v>
      </c>
      <c r="D292" s="17" t="s">
        <v>456</v>
      </c>
      <c r="E292" s="17" t="s">
        <v>482</v>
      </c>
      <c r="F292" s="19" t="s">
        <v>296</v>
      </c>
      <c r="G292" s="10"/>
      <c r="H292" s="10"/>
      <c r="I292" s="10"/>
    </row>
    <row r="293" spans="2:9" ht="15" customHeight="1">
      <c r="B293" s="17">
        <f t="shared" si="5"/>
        <v>158</v>
      </c>
      <c r="C293" s="35" t="s">
        <v>381</v>
      </c>
      <c r="D293" s="17" t="s">
        <v>300</v>
      </c>
      <c r="E293" s="17" t="s">
        <v>884</v>
      </c>
      <c r="F293" s="19" t="s">
        <v>296</v>
      </c>
      <c r="G293" s="10"/>
      <c r="H293" s="10"/>
      <c r="I293" s="10"/>
    </row>
    <row r="294" spans="2:9" ht="15" customHeight="1">
      <c r="B294" s="17">
        <f t="shared" si="5"/>
        <v>159</v>
      </c>
      <c r="C294" s="35" t="s">
        <v>886</v>
      </c>
      <c r="D294" s="17" t="s">
        <v>420</v>
      </c>
      <c r="E294" s="17" t="s">
        <v>850</v>
      </c>
      <c r="F294" s="19" t="s">
        <v>296</v>
      </c>
      <c r="G294" s="10"/>
      <c r="H294" s="10"/>
      <c r="I294" s="10"/>
    </row>
    <row r="295" spans="2:9" ht="15" customHeight="1">
      <c r="B295" s="17">
        <f t="shared" si="5"/>
        <v>160</v>
      </c>
      <c r="C295" s="35" t="s">
        <v>435</v>
      </c>
      <c r="D295" s="17" t="s">
        <v>420</v>
      </c>
      <c r="E295" s="17" t="s">
        <v>436</v>
      </c>
      <c r="F295" s="19" t="s">
        <v>296</v>
      </c>
      <c r="G295" s="10"/>
      <c r="H295" s="10"/>
      <c r="I295" s="10"/>
    </row>
    <row r="296" spans="2:9" ht="15" customHeight="1">
      <c r="B296" s="17">
        <f t="shared" si="5"/>
        <v>161</v>
      </c>
      <c r="C296" s="35" t="s">
        <v>388</v>
      </c>
      <c r="D296" s="17" t="s">
        <v>300</v>
      </c>
      <c r="E296" s="17" t="s">
        <v>556</v>
      </c>
      <c r="F296" s="19" t="s">
        <v>296</v>
      </c>
      <c r="G296" s="10"/>
      <c r="H296" s="10"/>
      <c r="I296" s="10"/>
    </row>
    <row r="297" spans="2:9" ht="15" customHeight="1">
      <c r="B297" s="17">
        <f t="shared" si="5"/>
        <v>162</v>
      </c>
      <c r="C297" s="35" t="s">
        <v>893</v>
      </c>
      <c r="D297" s="17" t="s">
        <v>450</v>
      </c>
      <c r="E297" s="17" t="s">
        <v>454</v>
      </c>
      <c r="F297" s="19" t="s">
        <v>296</v>
      </c>
      <c r="G297" s="10"/>
      <c r="H297" s="10"/>
      <c r="I297" s="10"/>
    </row>
    <row r="298" spans="2:9" ht="15" customHeight="1">
      <c r="B298" s="17">
        <f t="shared" si="5"/>
        <v>163</v>
      </c>
      <c r="C298" s="35" t="s">
        <v>897</v>
      </c>
      <c r="D298" s="17" t="s">
        <v>300</v>
      </c>
      <c r="E298" s="17" t="s">
        <v>551</v>
      </c>
      <c r="F298" s="19" t="s">
        <v>296</v>
      </c>
      <c r="G298" s="10"/>
      <c r="H298" s="10"/>
      <c r="I298" s="10"/>
    </row>
    <row r="299" spans="2:9" ht="15" customHeight="1">
      <c r="B299" s="17">
        <f t="shared" si="5"/>
        <v>164</v>
      </c>
      <c r="C299" s="35" t="s">
        <v>901</v>
      </c>
      <c r="D299" s="17" t="s">
        <v>300</v>
      </c>
      <c r="E299" s="17" t="s">
        <v>400</v>
      </c>
      <c r="F299" s="19" t="s">
        <v>296</v>
      </c>
      <c r="G299" s="10"/>
      <c r="H299" s="10"/>
      <c r="I299" s="10"/>
    </row>
    <row r="301" spans="2:9">
      <c r="B301" s="16"/>
      <c r="C301" s="23"/>
    </row>
    <row r="302" spans="2:9">
      <c r="B302" s="16"/>
      <c r="C302" s="16" t="s">
        <v>902</v>
      </c>
      <c r="D302" s="23" t="s">
        <v>549</v>
      </c>
    </row>
    <row r="303" spans="2:9">
      <c r="B303" s="16"/>
      <c r="C303" s="16" t="s">
        <v>903</v>
      </c>
      <c r="D303" s="23" t="s">
        <v>553</v>
      </c>
    </row>
    <row r="304" spans="2:9" ht="15.75">
      <c r="B304" s="21"/>
      <c r="C304" s="21" t="s">
        <v>904</v>
      </c>
      <c r="D304" s="23" t="s">
        <v>553</v>
      </c>
    </row>
    <row r="305" spans="2:4">
      <c r="B305" s="16"/>
      <c r="C305" s="16" t="s">
        <v>905</v>
      </c>
      <c r="D305" s="23" t="s">
        <v>553</v>
      </c>
    </row>
    <row r="306" spans="2:4">
      <c r="B306" s="16"/>
      <c r="C306" s="16" t="s">
        <v>906</v>
      </c>
      <c r="D306" s="23" t="s">
        <v>553</v>
      </c>
    </row>
    <row r="307" spans="2:4">
      <c r="B307" s="16"/>
      <c r="C307" s="16" t="s">
        <v>907</v>
      </c>
      <c r="D307" s="23" t="s">
        <v>553</v>
      </c>
    </row>
    <row r="308" spans="2:4">
      <c r="C308" s="16" t="s">
        <v>913</v>
      </c>
      <c r="D308" s="23" t="s">
        <v>560</v>
      </c>
    </row>
    <row r="309" spans="2:4">
      <c r="C309" s="16" t="s">
        <v>914</v>
      </c>
      <c r="D309" s="23" t="s">
        <v>560</v>
      </c>
    </row>
    <row r="310" spans="2:4">
      <c r="C310" s="16" t="s">
        <v>915</v>
      </c>
      <c r="D310" s="23" t="s">
        <v>553</v>
      </c>
    </row>
    <row r="311" spans="2:4">
      <c r="C311" s="16" t="s">
        <v>916</v>
      </c>
      <c r="D311" s="23" t="s">
        <v>560</v>
      </c>
    </row>
    <row r="312" spans="2:4">
      <c r="C312" s="16" t="s">
        <v>917</v>
      </c>
      <c r="D312" s="23" t="s">
        <v>560</v>
      </c>
    </row>
    <row r="313" spans="2:4">
      <c r="C313" s="16" t="s">
        <v>918</v>
      </c>
      <c r="D313" s="23" t="s">
        <v>560</v>
      </c>
    </row>
  </sheetData>
  <autoFilter ref="B134:I299">
    <sortState ref="B134:I299">
      <sortCondition descending="1" ref="F134:F135"/>
    </sortState>
  </autoFilter>
  <sortState ref="B3:I41">
    <sortCondition ref="C5"/>
  </sortState>
  <mergeCells count="33">
    <mergeCell ref="D96:D97"/>
    <mergeCell ref="D134:D135"/>
    <mergeCell ref="E3:E4"/>
    <mergeCell ref="E45:E46"/>
    <mergeCell ref="E96:E97"/>
    <mergeCell ref="E134:E135"/>
    <mergeCell ref="F3:F4"/>
    <mergeCell ref="F45:F46"/>
    <mergeCell ref="F96:F97"/>
    <mergeCell ref="F134:F135"/>
    <mergeCell ref="B133:I133"/>
    <mergeCell ref="B3:B4"/>
    <mergeCell ref="B45:B46"/>
    <mergeCell ref="B96:B97"/>
    <mergeCell ref="B134:B135"/>
    <mergeCell ref="C3:C4"/>
    <mergeCell ref="C45:C46"/>
    <mergeCell ref="C96:C97"/>
    <mergeCell ref="C134:C135"/>
    <mergeCell ref="D3:D4"/>
    <mergeCell ref="D45:D46"/>
    <mergeCell ref="I3:I4"/>
    <mergeCell ref="I45:I46"/>
    <mergeCell ref="I96:I97"/>
    <mergeCell ref="I134:I135"/>
    <mergeCell ref="G3:G4"/>
    <mergeCell ref="G45:G46"/>
    <mergeCell ref="G96:G97"/>
    <mergeCell ref="G134:G135"/>
    <mergeCell ref="H3:H4"/>
    <mergeCell ref="H45:H46"/>
    <mergeCell ref="H96:H97"/>
    <mergeCell ref="H134:H135"/>
  </mergeCells>
  <conditionalFormatting sqref="C2">
    <cfRule type="duplicateValues" dxfId="7" priority="1"/>
    <cfRule type="duplicateValues" dxfId="6" priority="2"/>
  </conditionalFormatting>
  <conditionalFormatting sqref="C44">
    <cfRule type="duplicateValues" dxfId="5" priority="3"/>
    <cfRule type="duplicateValues" dxfId="4" priority="4"/>
  </conditionalFormatting>
  <conditionalFormatting sqref="C95">
    <cfRule type="duplicateValues" dxfId="3" priority="12"/>
    <cfRule type="duplicateValues" dxfId="2" priority="6353"/>
  </conditionalFormatting>
  <conditionalFormatting sqref="F5:F44 F47:F95 F98:F132 F136:F299">
    <cfRule type="containsText" dxfId="1" priority="6" operator="containsText" text="PHL">
      <formula>NOT(ISERROR(SEARCH("PHL",F5)))</formula>
    </cfRule>
  </conditionalFormatting>
  <conditionalFormatting sqref="C302:C303 C305:C313">
    <cfRule type="duplicateValues" dxfId="0" priority="5"/>
  </conditionalFormatting>
  <pageMargins left="0.41" right="0.25" top="0" bottom="0" header="0.3" footer="0.3"/>
  <pageSetup paperSize="9" scale="77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F36"/>
  <sheetViews>
    <sheetView workbookViewId="0">
      <selection activeCell="B2" sqref="B2:F36"/>
    </sheetView>
  </sheetViews>
  <sheetFormatPr defaultColWidth="9" defaultRowHeight="15"/>
  <cols>
    <col min="2" max="2" width="3.85546875" customWidth="1"/>
    <col min="3" max="3" width="18.85546875" customWidth="1"/>
    <col min="4" max="4" width="23.140625" customWidth="1"/>
    <col min="5" max="5" width="9.28515625" customWidth="1"/>
    <col min="6" max="6" width="20.5703125" customWidth="1"/>
  </cols>
  <sheetData>
    <row r="2" spans="2:6">
      <c r="B2" s="24" t="s">
        <v>919</v>
      </c>
      <c r="C2" s="25" t="s">
        <v>920</v>
      </c>
      <c r="D2" s="25" t="s">
        <v>921</v>
      </c>
      <c r="E2" s="25" t="s">
        <v>922</v>
      </c>
      <c r="F2" s="25" t="s">
        <v>923</v>
      </c>
    </row>
    <row r="3" spans="2:6" ht="15.75">
      <c r="B3" s="26">
        <f>B122+1</f>
        <v>1</v>
      </c>
      <c r="C3" s="24" t="s">
        <v>924</v>
      </c>
      <c r="D3" s="27" t="s">
        <v>925</v>
      </c>
      <c r="E3" s="25" t="s">
        <v>926</v>
      </c>
      <c r="F3" s="24" t="s">
        <v>927</v>
      </c>
    </row>
    <row r="4" spans="2:6" ht="15.75">
      <c r="B4" s="28">
        <f>B3+1</f>
        <v>2</v>
      </c>
      <c r="C4" s="29" t="s">
        <v>484</v>
      </c>
      <c r="D4" s="30" t="s">
        <v>485</v>
      </c>
      <c r="E4" s="25" t="s">
        <v>926</v>
      </c>
      <c r="F4" s="25" t="s">
        <v>486</v>
      </c>
    </row>
    <row r="5" spans="2:6" ht="15.75">
      <c r="B5" s="28">
        <f t="shared" ref="B5:B36" si="0">B4+1</f>
        <v>3</v>
      </c>
      <c r="C5" s="29" t="s">
        <v>928</v>
      </c>
      <c r="D5" s="30" t="s">
        <v>929</v>
      </c>
      <c r="E5" s="25" t="s">
        <v>926</v>
      </c>
      <c r="F5" s="25" t="s">
        <v>486</v>
      </c>
    </row>
    <row r="6" spans="2:6" ht="15.75">
      <c r="B6" s="28">
        <f t="shared" si="0"/>
        <v>4</v>
      </c>
      <c r="C6" s="29" t="s">
        <v>487</v>
      </c>
      <c r="D6" s="30" t="s">
        <v>488</v>
      </c>
      <c r="E6" s="25" t="s">
        <v>926</v>
      </c>
      <c r="F6" s="25" t="s">
        <v>489</v>
      </c>
    </row>
    <row r="7" spans="2:6" ht="15.75">
      <c r="B7" s="28">
        <f t="shared" si="0"/>
        <v>5</v>
      </c>
      <c r="C7" s="29" t="s">
        <v>490</v>
      </c>
      <c r="D7" s="30" t="s">
        <v>491</v>
      </c>
      <c r="E7" s="25" t="s">
        <v>926</v>
      </c>
      <c r="F7" s="25" t="s">
        <v>489</v>
      </c>
    </row>
    <row r="8" spans="2:6" ht="15.75">
      <c r="B8" s="28">
        <f t="shared" si="0"/>
        <v>6</v>
      </c>
      <c r="C8" s="29" t="s">
        <v>930</v>
      </c>
      <c r="D8" s="30" t="s">
        <v>931</v>
      </c>
      <c r="E8" s="25" t="s">
        <v>926</v>
      </c>
      <c r="F8" s="25" t="s">
        <v>489</v>
      </c>
    </row>
    <row r="9" spans="2:6" ht="15.75">
      <c r="B9" s="28">
        <f t="shared" si="0"/>
        <v>7</v>
      </c>
      <c r="C9" s="29" t="s">
        <v>495</v>
      </c>
      <c r="D9" s="30" t="s">
        <v>932</v>
      </c>
      <c r="E9" s="25" t="s">
        <v>926</v>
      </c>
      <c r="F9" s="25" t="s">
        <v>497</v>
      </c>
    </row>
    <row r="10" spans="2:6" ht="15.75">
      <c r="B10" s="28">
        <f t="shared" si="0"/>
        <v>8</v>
      </c>
      <c r="C10" s="29" t="s">
        <v>933</v>
      </c>
      <c r="D10" s="30" t="s">
        <v>934</v>
      </c>
      <c r="E10" s="25" t="s">
        <v>926</v>
      </c>
      <c r="F10" s="25" t="s">
        <v>497</v>
      </c>
    </row>
    <row r="11" spans="2:6" ht="15.75">
      <c r="B11" s="28">
        <f t="shared" si="0"/>
        <v>9</v>
      </c>
      <c r="C11" s="29" t="s">
        <v>498</v>
      </c>
      <c r="D11" s="30" t="s">
        <v>499</v>
      </c>
      <c r="E11" s="25" t="s">
        <v>926</v>
      </c>
      <c r="F11" s="25" t="s">
        <v>497</v>
      </c>
    </row>
    <row r="12" spans="2:6" ht="15.75">
      <c r="B12" s="28">
        <f t="shared" si="0"/>
        <v>10</v>
      </c>
      <c r="C12" s="29" t="s">
        <v>500</v>
      </c>
      <c r="D12" s="30" t="s">
        <v>935</v>
      </c>
      <c r="E12" s="25" t="s">
        <v>926</v>
      </c>
      <c r="F12" s="25" t="s">
        <v>497</v>
      </c>
    </row>
    <row r="13" spans="2:6" ht="15.75">
      <c r="B13" s="28">
        <f t="shared" si="0"/>
        <v>11</v>
      </c>
      <c r="C13" s="29" t="s">
        <v>836</v>
      </c>
      <c r="D13" s="30" t="s">
        <v>936</v>
      </c>
      <c r="E13" s="25" t="s">
        <v>926</v>
      </c>
      <c r="F13" s="25" t="s">
        <v>497</v>
      </c>
    </row>
    <row r="14" spans="2:6" ht="15.75">
      <c r="B14" s="28">
        <f t="shared" si="0"/>
        <v>12</v>
      </c>
      <c r="C14" s="29" t="s">
        <v>501</v>
      </c>
      <c r="D14" s="30" t="s">
        <v>502</v>
      </c>
      <c r="E14" s="25" t="s">
        <v>926</v>
      </c>
      <c r="F14" s="25" t="s">
        <v>497</v>
      </c>
    </row>
    <row r="15" spans="2:6" ht="15.75">
      <c r="B15" s="28">
        <f t="shared" si="0"/>
        <v>13</v>
      </c>
      <c r="C15" s="29" t="s">
        <v>937</v>
      </c>
      <c r="D15" s="30" t="s">
        <v>938</v>
      </c>
      <c r="E15" s="25" t="s">
        <v>926</v>
      </c>
      <c r="F15" s="25" t="s">
        <v>497</v>
      </c>
    </row>
    <row r="16" spans="2:6" ht="15.75">
      <c r="B16" s="28">
        <f t="shared" si="0"/>
        <v>14</v>
      </c>
      <c r="C16" s="29" t="s">
        <v>503</v>
      </c>
      <c r="D16" s="30" t="s">
        <v>504</v>
      </c>
      <c r="E16" s="25" t="s">
        <v>926</v>
      </c>
      <c r="F16" s="25" t="s">
        <v>497</v>
      </c>
    </row>
    <row r="17" spans="2:6" ht="15.75">
      <c r="B17" s="28">
        <f t="shared" si="0"/>
        <v>15</v>
      </c>
      <c r="C17" s="29" t="s">
        <v>538</v>
      </c>
      <c r="D17" s="30" t="s">
        <v>539</v>
      </c>
      <c r="E17" s="25" t="s">
        <v>926</v>
      </c>
      <c r="F17" s="25" t="s">
        <v>497</v>
      </c>
    </row>
    <row r="18" spans="2:6" ht="15.75">
      <c r="B18" s="28">
        <f t="shared" si="0"/>
        <v>16</v>
      </c>
      <c r="C18" s="29" t="s">
        <v>505</v>
      </c>
      <c r="D18" s="30" t="s">
        <v>506</v>
      </c>
      <c r="E18" s="25" t="s">
        <v>926</v>
      </c>
      <c r="F18" s="25" t="s">
        <v>497</v>
      </c>
    </row>
    <row r="19" spans="2:6" ht="15.75">
      <c r="B19" s="28">
        <f t="shared" si="0"/>
        <v>17</v>
      </c>
      <c r="C19" s="31" t="s">
        <v>939</v>
      </c>
      <c r="D19" s="32" t="s">
        <v>940</v>
      </c>
      <c r="E19" s="25" t="s">
        <v>926</v>
      </c>
      <c r="F19" s="25" t="s">
        <v>497</v>
      </c>
    </row>
    <row r="20" spans="2:6" ht="15.75">
      <c r="B20" s="28">
        <f t="shared" si="0"/>
        <v>18</v>
      </c>
      <c r="C20" s="31" t="s">
        <v>507</v>
      </c>
      <c r="D20" s="32" t="s">
        <v>508</v>
      </c>
      <c r="E20" s="25" t="s">
        <v>926</v>
      </c>
      <c r="F20" s="25" t="s">
        <v>497</v>
      </c>
    </row>
    <row r="21" spans="2:6">
      <c r="B21" s="28">
        <f t="shared" si="0"/>
        <v>19</v>
      </c>
      <c r="C21" s="24" t="s">
        <v>941</v>
      </c>
      <c r="D21" s="27" t="s">
        <v>942</v>
      </c>
      <c r="E21" s="25" t="s">
        <v>926</v>
      </c>
      <c r="F21" s="25" t="s">
        <v>497</v>
      </c>
    </row>
    <row r="22" spans="2:6">
      <c r="B22" s="28">
        <f t="shared" si="0"/>
        <v>20</v>
      </c>
      <c r="C22" s="24" t="s">
        <v>509</v>
      </c>
      <c r="D22" s="27" t="s">
        <v>510</v>
      </c>
      <c r="E22" s="25" t="s">
        <v>926</v>
      </c>
      <c r="F22" s="25" t="s">
        <v>497</v>
      </c>
    </row>
    <row r="23" spans="2:6" ht="15.75">
      <c r="B23" s="28">
        <f t="shared" si="0"/>
        <v>21</v>
      </c>
      <c r="C23" s="33" t="s">
        <v>511</v>
      </c>
      <c r="D23" s="34" t="s">
        <v>943</v>
      </c>
      <c r="E23" s="25" t="s">
        <v>926</v>
      </c>
      <c r="F23" s="25" t="s">
        <v>497</v>
      </c>
    </row>
    <row r="24" spans="2:6" ht="15.75">
      <c r="B24" s="28">
        <f t="shared" si="0"/>
        <v>22</v>
      </c>
      <c r="C24" s="33" t="s">
        <v>512</v>
      </c>
      <c r="D24" s="34" t="s">
        <v>513</v>
      </c>
      <c r="E24" s="25" t="s">
        <v>926</v>
      </c>
      <c r="F24" s="25" t="s">
        <v>497</v>
      </c>
    </row>
    <row r="25" spans="2:6" ht="15.75">
      <c r="B25" s="28">
        <f t="shared" si="0"/>
        <v>23</v>
      </c>
      <c r="C25" s="33" t="s">
        <v>514</v>
      </c>
      <c r="D25" s="34" t="s">
        <v>515</v>
      </c>
      <c r="E25" s="25" t="s">
        <v>926</v>
      </c>
      <c r="F25" s="25" t="s">
        <v>497</v>
      </c>
    </row>
    <row r="26" spans="2:6" ht="15.75">
      <c r="B26" s="28">
        <f t="shared" si="0"/>
        <v>24</v>
      </c>
      <c r="C26" s="33" t="s">
        <v>516</v>
      </c>
      <c r="D26" s="34" t="s">
        <v>517</v>
      </c>
      <c r="E26" s="25" t="s">
        <v>926</v>
      </c>
      <c r="F26" s="25" t="s">
        <v>497</v>
      </c>
    </row>
    <row r="27" spans="2:6" ht="15.75">
      <c r="B27" s="28">
        <f t="shared" si="0"/>
        <v>25</v>
      </c>
      <c r="C27" s="33" t="s">
        <v>944</v>
      </c>
      <c r="D27" s="34" t="s">
        <v>945</v>
      </c>
      <c r="E27" s="25" t="s">
        <v>926</v>
      </c>
      <c r="F27" s="25" t="s">
        <v>497</v>
      </c>
    </row>
    <row r="28" spans="2:6" ht="15.75">
      <c r="B28" s="28">
        <f t="shared" si="0"/>
        <v>26</v>
      </c>
      <c r="C28" s="33" t="s">
        <v>946</v>
      </c>
      <c r="D28" s="34" t="s">
        <v>947</v>
      </c>
      <c r="E28" s="25" t="s">
        <v>926</v>
      </c>
      <c r="F28" s="25" t="s">
        <v>497</v>
      </c>
    </row>
    <row r="29" spans="2:6" ht="15.75">
      <c r="B29" s="28">
        <f t="shared" si="0"/>
        <v>27</v>
      </c>
      <c r="C29" s="33" t="s">
        <v>519</v>
      </c>
      <c r="D29" s="34" t="s">
        <v>948</v>
      </c>
      <c r="E29" s="25" t="s">
        <v>926</v>
      </c>
      <c r="F29" s="25" t="s">
        <v>497</v>
      </c>
    </row>
    <row r="30" spans="2:6" ht="15.75">
      <c r="B30" s="28">
        <f t="shared" si="0"/>
        <v>28</v>
      </c>
      <c r="C30" s="33" t="s">
        <v>518</v>
      </c>
      <c r="D30" s="34" t="s">
        <v>949</v>
      </c>
      <c r="E30" s="25" t="s">
        <v>926</v>
      </c>
      <c r="F30" s="25" t="s">
        <v>497</v>
      </c>
    </row>
    <row r="31" spans="2:6" ht="15.75">
      <c r="B31" s="28">
        <f t="shared" si="0"/>
        <v>29</v>
      </c>
      <c r="C31" s="33" t="s">
        <v>532</v>
      </c>
      <c r="D31" s="34" t="s">
        <v>533</v>
      </c>
      <c r="E31" s="25" t="s">
        <v>926</v>
      </c>
      <c r="F31" s="25" t="s">
        <v>497</v>
      </c>
    </row>
    <row r="32" spans="2:6" ht="15.75">
      <c r="B32" s="28">
        <f t="shared" si="0"/>
        <v>30</v>
      </c>
      <c r="C32" s="33" t="s">
        <v>520</v>
      </c>
      <c r="D32" s="34" t="s">
        <v>521</v>
      </c>
      <c r="E32" s="25" t="s">
        <v>926</v>
      </c>
      <c r="F32" s="25" t="s">
        <v>497</v>
      </c>
    </row>
    <row r="33" spans="2:6" ht="15.75">
      <c r="B33" s="28">
        <f t="shared" si="0"/>
        <v>31</v>
      </c>
      <c r="C33" s="33" t="s">
        <v>950</v>
      </c>
      <c r="D33" s="34" t="s">
        <v>951</v>
      </c>
      <c r="E33" s="25" t="s">
        <v>926</v>
      </c>
      <c r="F33" s="25" t="s">
        <v>497</v>
      </c>
    </row>
    <row r="34" spans="2:6" ht="15.75">
      <c r="B34" s="28">
        <f t="shared" si="0"/>
        <v>32</v>
      </c>
      <c r="C34" s="33" t="s">
        <v>522</v>
      </c>
      <c r="D34" s="34" t="s">
        <v>952</v>
      </c>
      <c r="E34" s="25" t="s">
        <v>926</v>
      </c>
      <c r="F34" s="25" t="s">
        <v>497</v>
      </c>
    </row>
    <row r="35" spans="2:6" ht="15.75">
      <c r="B35" s="28">
        <f t="shared" si="0"/>
        <v>33</v>
      </c>
      <c r="C35" s="33" t="s">
        <v>524</v>
      </c>
      <c r="D35" s="34" t="s">
        <v>525</v>
      </c>
      <c r="E35" s="25" t="s">
        <v>926</v>
      </c>
      <c r="F35" s="25" t="s">
        <v>497</v>
      </c>
    </row>
    <row r="36" spans="2:6" ht="15.75">
      <c r="B36" s="28">
        <f t="shared" si="0"/>
        <v>34</v>
      </c>
      <c r="C36" s="33" t="s">
        <v>523</v>
      </c>
      <c r="D36" s="34" t="s">
        <v>953</v>
      </c>
      <c r="E36" s="25" t="s">
        <v>926</v>
      </c>
      <c r="F36" s="25" t="s">
        <v>497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3:N35"/>
  <sheetViews>
    <sheetView workbookViewId="0">
      <selection activeCell="E70" sqref="E70"/>
    </sheetView>
  </sheetViews>
  <sheetFormatPr defaultColWidth="9" defaultRowHeight="15"/>
  <cols>
    <col min="3" max="3" width="13.140625" customWidth="1"/>
    <col min="4" max="4" width="8" customWidth="1"/>
    <col min="5" max="5" width="13.42578125" customWidth="1"/>
    <col min="6" max="6" width="11.5703125" customWidth="1"/>
    <col min="8" max="8" width="8.28515625" customWidth="1"/>
    <col min="9" max="9" width="8.5703125" customWidth="1"/>
    <col min="10" max="10" width="13" customWidth="1"/>
    <col min="11" max="11" width="11" customWidth="1"/>
    <col min="12" max="12" width="5.7109375" customWidth="1"/>
    <col min="13" max="13" width="8.85546875" customWidth="1"/>
  </cols>
  <sheetData>
    <row r="3" spans="3:14" ht="31.5" customHeight="1">
      <c r="C3" s="85" t="s">
        <v>963</v>
      </c>
      <c r="D3" s="85"/>
      <c r="E3" s="85"/>
      <c r="F3" s="85"/>
      <c r="G3" s="85"/>
      <c r="H3" s="85"/>
      <c r="I3" s="85"/>
      <c r="J3" s="85"/>
      <c r="K3" s="85"/>
      <c r="L3" s="85"/>
      <c r="M3" s="85"/>
    </row>
    <row r="4" spans="3:14">
      <c r="C4" s="59" t="s">
        <v>4</v>
      </c>
      <c r="D4" s="86" t="s">
        <v>296</v>
      </c>
      <c r="E4" s="87"/>
      <c r="F4" s="87"/>
      <c r="G4" s="87"/>
      <c r="H4" s="88"/>
      <c r="I4" s="89" t="s">
        <v>10</v>
      </c>
      <c r="J4" s="90"/>
      <c r="K4" s="90"/>
      <c r="L4" s="90"/>
      <c r="M4" s="91"/>
      <c r="N4" s="59" t="s">
        <v>955</v>
      </c>
    </row>
    <row r="5" spans="3:14" ht="30">
      <c r="C5" s="59"/>
      <c r="D5" s="13" t="s">
        <v>530</v>
      </c>
      <c r="E5" s="13" t="s">
        <v>534</v>
      </c>
      <c r="F5" s="13" t="s">
        <v>962</v>
      </c>
      <c r="G5" s="13" t="s">
        <v>531</v>
      </c>
      <c r="H5" s="13" t="s">
        <v>537</v>
      </c>
      <c r="I5" s="14" t="s">
        <v>530</v>
      </c>
      <c r="J5" s="14" t="s">
        <v>534</v>
      </c>
      <c r="K5" s="14" t="s">
        <v>962</v>
      </c>
      <c r="L5" s="14" t="s">
        <v>531</v>
      </c>
      <c r="M5" s="14" t="s">
        <v>537</v>
      </c>
      <c r="N5" s="59"/>
    </row>
    <row r="6" spans="3:14">
      <c r="C6" s="6" t="s">
        <v>9</v>
      </c>
      <c r="D6" s="3" t="e">
        <f t="shared" ref="D6:D16" si="0">COUNTIFS(DEPAROUTSHEET,$C$6:$C$16,STATUSOUTSHEET,$D$4,ALASANOUTSHEET,$D$5)</f>
        <v>#NAME?</v>
      </c>
      <c r="E6" s="3" t="e">
        <f t="shared" ref="E6:E16" si="1">COUNTIFS(DEPAROUTSHEET,$C$6:$C$16,STATUSOUTSHEET,$D$4,ALASANOUTSHEET,$E$5)</f>
        <v>#NAME?</v>
      </c>
      <c r="F6" s="3" t="e">
        <f t="shared" ref="F6:F16" si="2">COUNTIFS(DEPAROUTSHEET,$C$6:$C$16,STATUSOUTSHEET,$D$4,ALASANOUTSHEET,$F$5)</f>
        <v>#NAME?</v>
      </c>
      <c r="G6" s="3" t="e">
        <f t="shared" ref="G6:G16" si="3">COUNTIFS(DEPAROUTSHEET,$C$6:$C$16,STATUSOUTSHEET,$D$4,ALASANOUTSHEET,$G$5)</f>
        <v>#NAME?</v>
      </c>
      <c r="H6" s="3" t="e">
        <f t="shared" ref="H6:H16" si="4">COUNTIFS(DEPAROUTSHEET,$C$6:$C$16,STATUSOUTSHEET,$D$4,ALASANOUTSHEET,$H$5)</f>
        <v>#NAME?</v>
      </c>
      <c r="I6" s="3" t="e">
        <f t="shared" ref="I6:I16" si="5">COUNTIFS(DEPAROUTSHEET,$C$6:$C$16,STATUSOUTSHEET,$I$4,ALASANOUTSHEET,$I$5)</f>
        <v>#NAME?</v>
      </c>
      <c r="J6" s="3" t="e">
        <f t="shared" ref="J6:J16" si="6">COUNTIFS(DEPAROUTSHEET,$C$6:$C$16,STATUSOUTSHEET,$I$4,ALASANOUTSHEET,$J$5)</f>
        <v>#NAME?</v>
      </c>
      <c r="K6" s="3" t="e">
        <f t="shared" ref="K6:K16" si="7">COUNTIFS(DEPAROUTSHEET,$C$6:$C$16,STATUSOUTSHEET,$I$4,ALASANOUTSHEET,$K$5)</f>
        <v>#NAME?</v>
      </c>
      <c r="L6" s="3" t="e">
        <f t="shared" ref="L6:L16" si="8">COUNTIFS(DEPAROUTSHEET,$C$6:$C$16,STATUSOUTSHEET,$I$4,ALASANOUTSHEET,$L$5)</f>
        <v>#NAME?</v>
      </c>
      <c r="M6" s="3" t="e">
        <f t="shared" ref="M6:M16" si="9">COUNTIFS(DEPAROUTSHEET,$C$6:$C$16,STATUSOUTSHEET,$I$4,ALASANOUTSHEET,$M$5)</f>
        <v>#NAME?</v>
      </c>
      <c r="N6" s="4" t="e">
        <f>SUM(D6:M6)</f>
        <v>#NAME?</v>
      </c>
    </row>
    <row r="7" spans="3:14">
      <c r="C7" s="6" t="s">
        <v>300</v>
      </c>
      <c r="D7" s="3" t="e">
        <f t="shared" si="0"/>
        <v>#NAME?</v>
      </c>
      <c r="E7" s="3" t="e">
        <f t="shared" si="1"/>
        <v>#NAME?</v>
      </c>
      <c r="F7" s="3" t="e">
        <f t="shared" si="2"/>
        <v>#NAME?</v>
      </c>
      <c r="G7" s="3" t="e">
        <f t="shared" si="3"/>
        <v>#NAME?</v>
      </c>
      <c r="H7" s="3" t="e">
        <f t="shared" si="4"/>
        <v>#NAME?</v>
      </c>
      <c r="I7" s="3" t="e">
        <f t="shared" si="5"/>
        <v>#NAME?</v>
      </c>
      <c r="J7" s="3" t="e">
        <f t="shared" si="6"/>
        <v>#NAME?</v>
      </c>
      <c r="K7" s="3" t="e">
        <f t="shared" si="7"/>
        <v>#NAME?</v>
      </c>
      <c r="L7" s="3" t="e">
        <f t="shared" si="8"/>
        <v>#NAME?</v>
      </c>
      <c r="M7" s="3" t="e">
        <f t="shared" si="9"/>
        <v>#NAME?</v>
      </c>
      <c r="N7" s="4" t="e">
        <f t="shared" ref="N7:N16" si="10">SUM(D7:M7)</f>
        <v>#NAME?</v>
      </c>
    </row>
    <row r="8" spans="3:14">
      <c r="C8" s="6" t="s">
        <v>444</v>
      </c>
      <c r="D8" s="3" t="e">
        <f t="shared" si="0"/>
        <v>#NAME?</v>
      </c>
      <c r="E8" s="3" t="e">
        <f t="shared" si="1"/>
        <v>#NAME?</v>
      </c>
      <c r="F8" s="3" t="e">
        <f t="shared" si="2"/>
        <v>#NAME?</v>
      </c>
      <c r="G8" s="3" t="e">
        <f t="shared" si="3"/>
        <v>#NAME?</v>
      </c>
      <c r="H8" s="3" t="e">
        <f t="shared" si="4"/>
        <v>#NAME?</v>
      </c>
      <c r="I8" s="3" t="e">
        <f t="shared" si="5"/>
        <v>#NAME?</v>
      </c>
      <c r="J8" s="3" t="e">
        <f t="shared" si="6"/>
        <v>#NAME?</v>
      </c>
      <c r="K8" s="3" t="e">
        <f t="shared" si="7"/>
        <v>#NAME?</v>
      </c>
      <c r="L8" s="3" t="e">
        <f t="shared" si="8"/>
        <v>#NAME?</v>
      </c>
      <c r="M8" s="3" t="e">
        <f t="shared" si="9"/>
        <v>#NAME?</v>
      </c>
      <c r="N8" s="4" t="e">
        <f t="shared" si="10"/>
        <v>#NAME?</v>
      </c>
    </row>
    <row r="9" spans="3:14">
      <c r="C9" s="6" t="s">
        <v>450</v>
      </c>
      <c r="D9" s="3" t="e">
        <f t="shared" si="0"/>
        <v>#NAME?</v>
      </c>
      <c r="E9" s="3" t="e">
        <f t="shared" si="1"/>
        <v>#NAME?</v>
      </c>
      <c r="F9" s="3" t="e">
        <f t="shared" si="2"/>
        <v>#NAME?</v>
      </c>
      <c r="G9" s="3" t="e">
        <f t="shared" si="3"/>
        <v>#NAME?</v>
      </c>
      <c r="H9" s="3" t="e">
        <f t="shared" si="4"/>
        <v>#NAME?</v>
      </c>
      <c r="I9" s="3" t="e">
        <f t="shared" si="5"/>
        <v>#NAME?</v>
      </c>
      <c r="J9" s="3" t="e">
        <f t="shared" si="6"/>
        <v>#NAME?</v>
      </c>
      <c r="K9" s="3" t="e">
        <f t="shared" si="7"/>
        <v>#NAME?</v>
      </c>
      <c r="L9" s="3" t="e">
        <f t="shared" si="8"/>
        <v>#NAME?</v>
      </c>
      <c r="M9" s="3" t="e">
        <f t="shared" si="9"/>
        <v>#NAME?</v>
      </c>
      <c r="N9" s="4" t="e">
        <f t="shared" si="10"/>
        <v>#NAME?</v>
      </c>
    </row>
    <row r="10" spans="3:14">
      <c r="C10" s="6" t="s">
        <v>415</v>
      </c>
      <c r="D10" s="3" t="e">
        <f t="shared" si="0"/>
        <v>#NAME?</v>
      </c>
      <c r="E10" s="3" t="e">
        <f t="shared" si="1"/>
        <v>#NAME?</v>
      </c>
      <c r="F10" s="3" t="e">
        <f t="shared" si="2"/>
        <v>#NAME?</v>
      </c>
      <c r="G10" s="3" t="e">
        <f t="shared" si="3"/>
        <v>#NAME?</v>
      </c>
      <c r="H10" s="3" t="e">
        <f t="shared" si="4"/>
        <v>#NAME?</v>
      </c>
      <c r="I10" s="3" t="e">
        <f t="shared" si="5"/>
        <v>#NAME?</v>
      </c>
      <c r="J10" s="3" t="e">
        <f t="shared" si="6"/>
        <v>#NAME?</v>
      </c>
      <c r="K10" s="3" t="e">
        <f t="shared" si="7"/>
        <v>#NAME?</v>
      </c>
      <c r="L10" s="3" t="e">
        <f t="shared" si="8"/>
        <v>#NAME?</v>
      </c>
      <c r="M10" s="3" t="e">
        <f t="shared" si="9"/>
        <v>#NAME?</v>
      </c>
      <c r="N10" s="4" t="e">
        <f t="shared" si="10"/>
        <v>#NAME?</v>
      </c>
    </row>
    <row r="11" spans="3:14">
      <c r="C11" s="6" t="s">
        <v>419</v>
      </c>
      <c r="D11" s="3" t="e">
        <f t="shared" si="0"/>
        <v>#NAME?</v>
      </c>
      <c r="E11" s="3" t="e">
        <f t="shared" si="1"/>
        <v>#NAME?</v>
      </c>
      <c r="F11" s="3" t="e">
        <f t="shared" si="2"/>
        <v>#NAME?</v>
      </c>
      <c r="G11" s="3" t="e">
        <f t="shared" si="3"/>
        <v>#NAME?</v>
      </c>
      <c r="H11" s="3" t="e">
        <f t="shared" si="4"/>
        <v>#NAME?</v>
      </c>
      <c r="I11" s="3" t="e">
        <f t="shared" si="5"/>
        <v>#NAME?</v>
      </c>
      <c r="J11" s="3" t="e">
        <f t="shared" si="6"/>
        <v>#NAME?</v>
      </c>
      <c r="K11" s="3" t="e">
        <f t="shared" si="7"/>
        <v>#NAME?</v>
      </c>
      <c r="L11" s="3" t="e">
        <f t="shared" si="8"/>
        <v>#NAME?</v>
      </c>
      <c r="M11" s="3" t="e">
        <f t="shared" si="9"/>
        <v>#NAME?</v>
      </c>
      <c r="N11" s="4" t="e">
        <f t="shared" si="10"/>
        <v>#NAME?</v>
      </c>
    </row>
    <row r="12" spans="3:14">
      <c r="C12" s="6" t="s">
        <v>420</v>
      </c>
      <c r="D12" s="3" t="e">
        <f t="shared" si="0"/>
        <v>#NAME?</v>
      </c>
      <c r="E12" s="3" t="e">
        <f t="shared" si="1"/>
        <v>#NAME?</v>
      </c>
      <c r="F12" s="3" t="e">
        <f t="shared" si="2"/>
        <v>#NAME?</v>
      </c>
      <c r="G12" s="3" t="e">
        <f t="shared" si="3"/>
        <v>#NAME?</v>
      </c>
      <c r="H12" s="3" t="e">
        <f t="shared" si="4"/>
        <v>#NAME?</v>
      </c>
      <c r="I12" s="3" t="e">
        <f t="shared" si="5"/>
        <v>#NAME?</v>
      </c>
      <c r="J12" s="3" t="e">
        <f t="shared" si="6"/>
        <v>#NAME?</v>
      </c>
      <c r="K12" s="3" t="e">
        <f t="shared" si="7"/>
        <v>#NAME?</v>
      </c>
      <c r="L12" s="3" t="e">
        <f t="shared" si="8"/>
        <v>#NAME?</v>
      </c>
      <c r="M12" s="3" t="e">
        <f t="shared" si="9"/>
        <v>#NAME?</v>
      </c>
      <c r="N12" s="4" t="e">
        <f t="shared" si="10"/>
        <v>#NAME?</v>
      </c>
    </row>
    <row r="13" spans="3:14">
      <c r="C13" s="6" t="s">
        <v>456</v>
      </c>
      <c r="D13" s="3" t="e">
        <f t="shared" si="0"/>
        <v>#NAME?</v>
      </c>
      <c r="E13" s="3" t="e">
        <f t="shared" si="1"/>
        <v>#NAME?</v>
      </c>
      <c r="F13" s="3" t="e">
        <f t="shared" si="2"/>
        <v>#NAME?</v>
      </c>
      <c r="G13" s="3" t="e">
        <f t="shared" si="3"/>
        <v>#NAME?</v>
      </c>
      <c r="H13" s="3" t="e">
        <f t="shared" si="4"/>
        <v>#NAME?</v>
      </c>
      <c r="I13" s="3" t="e">
        <f t="shared" si="5"/>
        <v>#NAME?</v>
      </c>
      <c r="J13" s="3" t="e">
        <f t="shared" si="6"/>
        <v>#NAME?</v>
      </c>
      <c r="K13" s="3" t="e">
        <f t="shared" si="7"/>
        <v>#NAME?</v>
      </c>
      <c r="L13" s="3" t="e">
        <f t="shared" si="8"/>
        <v>#NAME?</v>
      </c>
      <c r="M13" s="3" t="e">
        <f t="shared" si="9"/>
        <v>#NAME?</v>
      </c>
      <c r="N13" s="4" t="e">
        <f t="shared" si="10"/>
        <v>#NAME?</v>
      </c>
    </row>
    <row r="14" spans="3:14">
      <c r="C14" s="6" t="s">
        <v>455</v>
      </c>
      <c r="D14" s="3" t="e">
        <f t="shared" si="0"/>
        <v>#NAME?</v>
      </c>
      <c r="E14" s="3" t="e">
        <f t="shared" si="1"/>
        <v>#NAME?</v>
      </c>
      <c r="F14" s="3" t="e">
        <f t="shared" si="2"/>
        <v>#NAME?</v>
      </c>
      <c r="G14" s="3" t="e">
        <f t="shared" si="3"/>
        <v>#NAME?</v>
      </c>
      <c r="H14" s="3" t="e">
        <f t="shared" si="4"/>
        <v>#NAME?</v>
      </c>
      <c r="I14" s="3" t="e">
        <f t="shared" si="5"/>
        <v>#NAME?</v>
      </c>
      <c r="J14" s="3" t="e">
        <f t="shared" si="6"/>
        <v>#NAME?</v>
      </c>
      <c r="K14" s="3" t="e">
        <f t="shared" si="7"/>
        <v>#NAME?</v>
      </c>
      <c r="L14" s="3" t="e">
        <f t="shared" si="8"/>
        <v>#NAME?</v>
      </c>
      <c r="M14" s="3" t="e">
        <f t="shared" si="9"/>
        <v>#NAME?</v>
      </c>
      <c r="N14" s="4" t="e">
        <f t="shared" si="10"/>
        <v>#NAME?</v>
      </c>
    </row>
    <row r="15" spans="3:14">
      <c r="C15" s="6" t="s">
        <v>440</v>
      </c>
      <c r="D15" s="3" t="e">
        <f t="shared" si="0"/>
        <v>#NAME?</v>
      </c>
      <c r="E15" s="3" t="e">
        <f t="shared" si="1"/>
        <v>#NAME?</v>
      </c>
      <c r="F15" s="3" t="e">
        <f t="shared" si="2"/>
        <v>#NAME?</v>
      </c>
      <c r="G15" s="3" t="e">
        <f t="shared" si="3"/>
        <v>#NAME?</v>
      </c>
      <c r="H15" s="3" t="e">
        <f t="shared" si="4"/>
        <v>#NAME?</v>
      </c>
      <c r="I15" s="3" t="e">
        <f t="shared" si="5"/>
        <v>#NAME?</v>
      </c>
      <c r="J15" s="3" t="e">
        <f t="shared" si="6"/>
        <v>#NAME?</v>
      </c>
      <c r="K15" s="3" t="e">
        <f t="shared" si="7"/>
        <v>#NAME?</v>
      </c>
      <c r="L15" s="3" t="e">
        <f t="shared" si="8"/>
        <v>#NAME?</v>
      </c>
      <c r="M15" s="3" t="e">
        <f t="shared" si="9"/>
        <v>#NAME?</v>
      </c>
      <c r="N15" s="4" t="e">
        <f t="shared" si="10"/>
        <v>#NAME?</v>
      </c>
    </row>
    <row r="16" spans="3:14">
      <c r="C16" s="6" t="s">
        <v>483</v>
      </c>
      <c r="D16" s="3" t="e">
        <f t="shared" si="0"/>
        <v>#NAME?</v>
      </c>
      <c r="E16" s="3" t="e">
        <f t="shared" si="1"/>
        <v>#NAME?</v>
      </c>
      <c r="F16" s="3" t="e">
        <f t="shared" si="2"/>
        <v>#NAME?</v>
      </c>
      <c r="G16" s="3" t="e">
        <f t="shared" si="3"/>
        <v>#NAME?</v>
      </c>
      <c r="H16" s="3" t="e">
        <f t="shared" si="4"/>
        <v>#NAME?</v>
      </c>
      <c r="I16" s="3" t="e">
        <f t="shared" si="5"/>
        <v>#NAME?</v>
      </c>
      <c r="J16" s="3" t="e">
        <f t="shared" si="6"/>
        <v>#NAME?</v>
      </c>
      <c r="K16" s="3" t="e">
        <f t="shared" si="7"/>
        <v>#NAME?</v>
      </c>
      <c r="L16" s="3" t="e">
        <f t="shared" si="8"/>
        <v>#NAME?</v>
      </c>
      <c r="M16" s="3" t="e">
        <f t="shared" si="9"/>
        <v>#NAME?</v>
      </c>
      <c r="N16" s="4" t="e">
        <f t="shared" si="10"/>
        <v>#NAME?</v>
      </c>
    </row>
    <row r="17" spans="3:14">
      <c r="C17" s="6" t="s">
        <v>955</v>
      </c>
      <c r="D17" s="4" t="e">
        <f>SUM(D6:D16)</f>
        <v>#NAME?</v>
      </c>
      <c r="E17" s="4" t="e">
        <f t="shared" ref="E17:N17" si="11">SUM(E6:E16)</f>
        <v>#NAME?</v>
      </c>
      <c r="F17" s="4" t="e">
        <f t="shared" si="11"/>
        <v>#NAME?</v>
      </c>
      <c r="G17" s="4" t="e">
        <f t="shared" si="11"/>
        <v>#NAME?</v>
      </c>
      <c r="H17" s="4" t="e">
        <f t="shared" si="11"/>
        <v>#NAME?</v>
      </c>
      <c r="I17" s="4" t="e">
        <f t="shared" si="11"/>
        <v>#NAME?</v>
      </c>
      <c r="J17" s="4" t="e">
        <f t="shared" si="11"/>
        <v>#NAME?</v>
      </c>
      <c r="K17" s="4" t="e">
        <f t="shared" si="11"/>
        <v>#NAME?</v>
      </c>
      <c r="L17" s="4" t="e">
        <f t="shared" si="11"/>
        <v>#NAME?</v>
      </c>
      <c r="M17" s="4" t="e">
        <f t="shared" si="11"/>
        <v>#NAME?</v>
      </c>
      <c r="N17" s="4" t="e">
        <f t="shared" si="11"/>
        <v>#NAME?</v>
      </c>
    </row>
    <row r="21" spans="3:14" ht="36" customHeight="1">
      <c r="C21" s="85" t="s">
        <v>964</v>
      </c>
      <c r="D21" s="85"/>
      <c r="E21" s="85"/>
      <c r="F21" s="85"/>
      <c r="G21" s="85"/>
      <c r="H21" s="85"/>
      <c r="I21" s="85"/>
      <c r="J21" s="85"/>
      <c r="K21" s="15"/>
      <c r="L21" s="15"/>
      <c r="M21" s="15"/>
    </row>
    <row r="22" spans="3:14">
      <c r="C22" s="59" t="s">
        <v>4</v>
      </c>
      <c r="D22" s="69" t="s">
        <v>296</v>
      </c>
      <c r="E22" s="70"/>
      <c r="F22" s="71"/>
      <c r="G22" s="75" t="s">
        <v>10</v>
      </c>
      <c r="H22" s="76"/>
      <c r="I22" s="77"/>
      <c r="J22" s="59" t="s">
        <v>955</v>
      </c>
    </row>
    <row r="23" spans="3:14">
      <c r="C23" s="59"/>
      <c r="D23" s="72"/>
      <c r="E23" s="73"/>
      <c r="F23" s="74"/>
      <c r="G23" s="78"/>
      <c r="H23" s="79"/>
      <c r="I23" s="80"/>
      <c r="J23" s="59"/>
    </row>
    <row r="24" spans="3:14">
      <c r="C24" s="6" t="s">
        <v>9</v>
      </c>
      <c r="D24" s="81" t="e">
        <f t="shared" ref="D24:D34" si="12">COUNTIFS(DEPARINSHEET,$C$24:$C$34,STATUSINSHEET,$D$22)</f>
        <v>#NAME?</v>
      </c>
      <c r="E24" s="82"/>
      <c r="F24" s="83"/>
      <c r="G24" s="81" t="e">
        <f t="shared" ref="G24:G34" si="13">COUNTIFS(DEPARINSHEET,$C$24:$C$34,STATUSINSHEET,$G$22)</f>
        <v>#NAME?</v>
      </c>
      <c r="H24" s="82"/>
      <c r="I24" s="83"/>
      <c r="J24" s="4" t="e">
        <f t="shared" ref="J24:J34" si="14">SUM(D24:I24)</f>
        <v>#NAME?</v>
      </c>
    </row>
    <row r="25" spans="3:14">
      <c r="C25" s="6" t="s">
        <v>300</v>
      </c>
      <c r="D25" s="81" t="e">
        <f t="shared" si="12"/>
        <v>#NAME?</v>
      </c>
      <c r="E25" s="82"/>
      <c r="F25" s="83"/>
      <c r="G25" s="81" t="e">
        <f t="shared" si="13"/>
        <v>#NAME?</v>
      </c>
      <c r="H25" s="82"/>
      <c r="I25" s="83"/>
      <c r="J25" s="4" t="e">
        <f t="shared" si="14"/>
        <v>#NAME?</v>
      </c>
    </row>
    <row r="26" spans="3:14">
      <c r="C26" s="6" t="s">
        <v>444</v>
      </c>
      <c r="D26" s="81" t="e">
        <f t="shared" si="12"/>
        <v>#NAME?</v>
      </c>
      <c r="E26" s="82"/>
      <c r="F26" s="83"/>
      <c r="G26" s="81" t="e">
        <f t="shared" si="13"/>
        <v>#NAME?</v>
      </c>
      <c r="H26" s="82"/>
      <c r="I26" s="83"/>
      <c r="J26" s="4" t="e">
        <f t="shared" si="14"/>
        <v>#NAME?</v>
      </c>
    </row>
    <row r="27" spans="3:14">
      <c r="C27" s="6" t="s">
        <v>450</v>
      </c>
      <c r="D27" s="81" t="e">
        <f t="shared" si="12"/>
        <v>#NAME?</v>
      </c>
      <c r="E27" s="82"/>
      <c r="F27" s="83"/>
      <c r="G27" s="81" t="e">
        <f t="shared" si="13"/>
        <v>#NAME?</v>
      </c>
      <c r="H27" s="82"/>
      <c r="I27" s="83"/>
      <c r="J27" s="4" t="e">
        <f t="shared" si="14"/>
        <v>#NAME?</v>
      </c>
    </row>
    <row r="28" spans="3:14">
      <c r="C28" s="6" t="s">
        <v>415</v>
      </c>
      <c r="D28" s="81" t="e">
        <f t="shared" si="12"/>
        <v>#NAME?</v>
      </c>
      <c r="E28" s="82"/>
      <c r="F28" s="83"/>
      <c r="G28" s="81" t="e">
        <f t="shared" si="13"/>
        <v>#NAME?</v>
      </c>
      <c r="H28" s="82"/>
      <c r="I28" s="83"/>
      <c r="J28" s="4" t="e">
        <f t="shared" si="14"/>
        <v>#NAME?</v>
      </c>
    </row>
    <row r="29" spans="3:14">
      <c r="C29" s="6" t="s">
        <v>419</v>
      </c>
      <c r="D29" s="81" t="e">
        <f t="shared" si="12"/>
        <v>#NAME?</v>
      </c>
      <c r="E29" s="82"/>
      <c r="F29" s="83"/>
      <c r="G29" s="81" t="e">
        <f t="shared" si="13"/>
        <v>#NAME?</v>
      </c>
      <c r="H29" s="82"/>
      <c r="I29" s="83"/>
      <c r="J29" s="4" t="e">
        <f t="shared" si="14"/>
        <v>#NAME?</v>
      </c>
    </row>
    <row r="30" spans="3:14">
      <c r="C30" s="6" t="s">
        <v>420</v>
      </c>
      <c r="D30" s="81" t="e">
        <f t="shared" si="12"/>
        <v>#NAME?</v>
      </c>
      <c r="E30" s="82"/>
      <c r="F30" s="83"/>
      <c r="G30" s="81" t="e">
        <f t="shared" si="13"/>
        <v>#NAME?</v>
      </c>
      <c r="H30" s="82"/>
      <c r="I30" s="83"/>
      <c r="J30" s="4" t="e">
        <f t="shared" si="14"/>
        <v>#NAME?</v>
      </c>
    </row>
    <row r="31" spans="3:14">
      <c r="C31" s="6" t="s">
        <v>456</v>
      </c>
      <c r="D31" s="81" t="e">
        <f t="shared" si="12"/>
        <v>#NAME?</v>
      </c>
      <c r="E31" s="82"/>
      <c r="F31" s="83"/>
      <c r="G31" s="81" t="e">
        <f t="shared" si="13"/>
        <v>#NAME?</v>
      </c>
      <c r="H31" s="82"/>
      <c r="I31" s="83"/>
      <c r="J31" s="4" t="e">
        <f t="shared" si="14"/>
        <v>#NAME?</v>
      </c>
    </row>
    <row r="32" spans="3:14">
      <c r="C32" s="6" t="s">
        <v>455</v>
      </c>
      <c r="D32" s="81" t="e">
        <f t="shared" si="12"/>
        <v>#NAME?</v>
      </c>
      <c r="E32" s="82"/>
      <c r="F32" s="83"/>
      <c r="G32" s="81" t="e">
        <f t="shared" si="13"/>
        <v>#NAME?</v>
      </c>
      <c r="H32" s="82"/>
      <c r="I32" s="83"/>
      <c r="J32" s="4" t="e">
        <f t="shared" si="14"/>
        <v>#NAME?</v>
      </c>
    </row>
    <row r="33" spans="3:10">
      <c r="C33" s="6" t="s">
        <v>440</v>
      </c>
      <c r="D33" s="81" t="e">
        <f t="shared" si="12"/>
        <v>#NAME?</v>
      </c>
      <c r="E33" s="82"/>
      <c r="F33" s="83"/>
      <c r="G33" s="81" t="e">
        <f t="shared" si="13"/>
        <v>#NAME?</v>
      </c>
      <c r="H33" s="82"/>
      <c r="I33" s="83"/>
      <c r="J33" s="4" t="e">
        <f t="shared" si="14"/>
        <v>#NAME?</v>
      </c>
    </row>
    <row r="34" spans="3:10">
      <c r="C34" s="6" t="s">
        <v>483</v>
      </c>
      <c r="D34" s="81" t="e">
        <f t="shared" si="12"/>
        <v>#NAME?</v>
      </c>
      <c r="E34" s="82"/>
      <c r="F34" s="83"/>
      <c r="G34" s="81" t="e">
        <f t="shared" si="13"/>
        <v>#NAME?</v>
      </c>
      <c r="H34" s="82"/>
      <c r="I34" s="83"/>
      <c r="J34" s="4" t="e">
        <f t="shared" si="14"/>
        <v>#NAME?</v>
      </c>
    </row>
    <row r="35" spans="3:10">
      <c r="C35" s="6" t="s">
        <v>955</v>
      </c>
      <c r="D35" s="84" t="e">
        <f>SUM(D24:F34)</f>
        <v>#NAME?</v>
      </c>
      <c r="E35" s="84"/>
      <c r="F35" s="84"/>
      <c r="G35" s="84" t="e">
        <f>SUM(G24:I34)</f>
        <v>#NAME?</v>
      </c>
      <c r="H35" s="84"/>
      <c r="I35" s="84"/>
      <c r="J35" s="4" t="e">
        <f>SUM(J24:J34)</f>
        <v>#NAME?</v>
      </c>
    </row>
  </sheetData>
  <mergeCells count="34">
    <mergeCell ref="C3:M3"/>
    <mergeCell ref="D4:H4"/>
    <mergeCell ref="I4:M4"/>
    <mergeCell ref="C21:J21"/>
    <mergeCell ref="D24:F24"/>
    <mergeCell ref="G24:I24"/>
    <mergeCell ref="J22:J23"/>
    <mergeCell ref="D35:F35"/>
    <mergeCell ref="G35:I35"/>
    <mergeCell ref="C4:C5"/>
    <mergeCell ref="C22:C23"/>
    <mergeCell ref="D31:F31"/>
    <mergeCell ref="G31:I31"/>
    <mergeCell ref="D32:F32"/>
    <mergeCell ref="G32:I32"/>
    <mergeCell ref="D33:F33"/>
    <mergeCell ref="G33:I33"/>
    <mergeCell ref="D28:F28"/>
    <mergeCell ref="G28:I28"/>
    <mergeCell ref="D29:F29"/>
    <mergeCell ref="G29:I29"/>
    <mergeCell ref="D30:F30"/>
    <mergeCell ref="G30:I30"/>
    <mergeCell ref="N4:N5"/>
    <mergeCell ref="D22:F23"/>
    <mergeCell ref="G22:I23"/>
    <mergeCell ref="D34:F34"/>
    <mergeCell ref="G34:I34"/>
    <mergeCell ref="D25:F25"/>
    <mergeCell ref="G25:I25"/>
    <mergeCell ref="D26:F26"/>
    <mergeCell ref="G26:I26"/>
    <mergeCell ref="D27:F27"/>
    <mergeCell ref="G27:I27"/>
  </mergeCells>
  <conditionalFormatting sqref="J24:J3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{111C33E1-1A8E-4353-BA26-FF9A4C7C049E}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1C33E1-1A8E-4353-BA26-FF9A4C7C04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J24:J34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2:I54"/>
  <sheetViews>
    <sheetView topLeftCell="A14" workbookViewId="0">
      <selection activeCell="F55" sqref="F55"/>
    </sheetView>
  </sheetViews>
  <sheetFormatPr defaultColWidth="9" defaultRowHeight="15"/>
  <cols>
    <col min="2" max="2" width="3.85546875" customWidth="1"/>
    <col min="3" max="3" width="23.7109375" style="7" customWidth="1"/>
    <col min="4" max="4" width="13.28515625" style="7" customWidth="1"/>
    <col min="5" max="5" width="26.7109375" style="7" customWidth="1"/>
    <col min="6" max="6" width="10.140625" customWidth="1"/>
    <col min="7" max="7" width="13.42578125" customWidth="1"/>
    <col min="8" max="8" width="13.7109375" customWidth="1"/>
    <col min="9" max="9" width="23.42578125" customWidth="1"/>
  </cols>
  <sheetData>
    <row r="2" spans="2:9" s="7" customFormat="1" ht="51" customHeight="1">
      <c r="B2" s="2" t="s">
        <v>1</v>
      </c>
      <c r="C2" s="2" t="s">
        <v>954</v>
      </c>
      <c r="D2" s="2" t="s">
        <v>4</v>
      </c>
      <c r="E2" s="2" t="s">
        <v>5</v>
      </c>
      <c r="F2" s="2" t="s">
        <v>957</v>
      </c>
      <c r="G2" s="8" t="s">
        <v>958</v>
      </c>
      <c r="H2" s="8" t="s">
        <v>7</v>
      </c>
      <c r="I2" s="2" t="s">
        <v>965</v>
      </c>
    </row>
    <row r="3" spans="2:9">
      <c r="B3" s="5">
        <v>1</v>
      </c>
      <c r="C3" s="5" t="s">
        <v>966</v>
      </c>
      <c r="D3" s="5" t="s">
        <v>9</v>
      </c>
      <c r="E3" s="5" t="s">
        <v>123</v>
      </c>
      <c r="F3" s="9">
        <v>44860</v>
      </c>
      <c r="G3" s="9">
        <v>44896</v>
      </c>
      <c r="H3" s="10" t="s">
        <v>11</v>
      </c>
      <c r="I3" s="10" t="s">
        <v>534</v>
      </c>
    </row>
    <row r="4" spans="2:9">
      <c r="B4" s="5">
        <f>B3+1</f>
        <v>2</v>
      </c>
      <c r="C4" s="5" t="s">
        <v>967</v>
      </c>
      <c r="D4" s="5" t="s">
        <v>300</v>
      </c>
      <c r="E4" s="5" t="s">
        <v>399</v>
      </c>
      <c r="F4" s="9">
        <v>44637</v>
      </c>
      <c r="G4" s="9">
        <v>44896</v>
      </c>
      <c r="H4" s="10"/>
    </row>
    <row r="5" spans="2:9">
      <c r="B5" s="5">
        <f t="shared" ref="B5:B31" si="0">B4+1</f>
        <v>3</v>
      </c>
      <c r="C5" s="5" t="s">
        <v>968</v>
      </c>
      <c r="D5" s="5" t="s">
        <v>9</v>
      </c>
      <c r="E5" s="5" t="s">
        <v>123</v>
      </c>
      <c r="F5" s="9">
        <v>44679</v>
      </c>
      <c r="G5" s="9">
        <v>44896</v>
      </c>
      <c r="H5" s="10" t="s">
        <v>11</v>
      </c>
      <c r="I5" s="10" t="s">
        <v>969</v>
      </c>
    </row>
    <row r="6" spans="2:9">
      <c r="B6" s="5">
        <f t="shared" si="0"/>
        <v>4</v>
      </c>
      <c r="C6" s="5" t="s">
        <v>970</v>
      </c>
      <c r="D6" s="5" t="s">
        <v>9</v>
      </c>
      <c r="E6" s="5" t="s">
        <v>123</v>
      </c>
      <c r="F6" s="9">
        <v>44734</v>
      </c>
      <c r="G6" s="9">
        <v>44896</v>
      </c>
      <c r="H6" s="10" t="s">
        <v>11</v>
      </c>
      <c r="I6" s="10" t="s">
        <v>969</v>
      </c>
    </row>
    <row r="7" spans="2:9">
      <c r="B7" s="5">
        <f t="shared" si="0"/>
        <v>5</v>
      </c>
      <c r="C7" s="5" t="s">
        <v>971</v>
      </c>
      <c r="D7" s="5" t="s">
        <v>300</v>
      </c>
      <c r="E7" s="5" t="s">
        <v>972</v>
      </c>
      <c r="F7" s="9">
        <v>44436</v>
      </c>
      <c r="G7" s="9">
        <v>44896</v>
      </c>
      <c r="H7" s="10"/>
    </row>
    <row r="8" spans="2:9">
      <c r="B8" s="5">
        <f t="shared" si="0"/>
        <v>6</v>
      </c>
      <c r="C8" s="5" t="s">
        <v>973</v>
      </c>
      <c r="D8" s="5" t="s">
        <v>9</v>
      </c>
      <c r="E8" s="5" t="s">
        <v>100</v>
      </c>
      <c r="F8" s="9">
        <v>44880</v>
      </c>
      <c r="G8" s="9">
        <v>44898</v>
      </c>
      <c r="H8" s="10" t="s">
        <v>11</v>
      </c>
      <c r="I8" s="10" t="s">
        <v>534</v>
      </c>
    </row>
    <row r="9" spans="2:9">
      <c r="B9" s="5">
        <f t="shared" si="0"/>
        <v>7</v>
      </c>
      <c r="C9" s="5" t="s">
        <v>974</v>
      </c>
      <c r="D9" s="5" t="s">
        <v>9</v>
      </c>
      <c r="E9" s="5" t="s">
        <v>111</v>
      </c>
      <c r="F9" s="9">
        <v>44880</v>
      </c>
      <c r="G9" s="9">
        <v>44898</v>
      </c>
      <c r="H9" s="10" t="s">
        <v>11</v>
      </c>
      <c r="I9" s="10" t="s">
        <v>534</v>
      </c>
    </row>
    <row r="10" spans="2:9">
      <c r="B10" s="5">
        <f t="shared" si="0"/>
        <v>8</v>
      </c>
      <c r="C10" s="5" t="s">
        <v>975</v>
      </c>
      <c r="D10" s="5" t="s">
        <v>9</v>
      </c>
      <c r="E10" s="5" t="s">
        <v>265</v>
      </c>
      <c r="F10" s="9">
        <v>44880</v>
      </c>
      <c r="G10" s="9">
        <v>44898</v>
      </c>
      <c r="H10" s="10" t="s">
        <v>11</v>
      </c>
      <c r="I10" s="10" t="s">
        <v>534</v>
      </c>
    </row>
    <row r="11" spans="2:9">
      <c r="B11" s="5">
        <f t="shared" si="0"/>
        <v>9</v>
      </c>
      <c r="C11" s="5" t="s">
        <v>976</v>
      </c>
      <c r="D11" s="5" t="s">
        <v>450</v>
      </c>
      <c r="E11" s="5" t="s">
        <v>454</v>
      </c>
      <c r="F11" s="9">
        <v>44763</v>
      </c>
      <c r="G11" s="9">
        <v>44898</v>
      </c>
      <c r="H11" s="10"/>
    </row>
    <row r="12" spans="2:9">
      <c r="B12" s="5">
        <f t="shared" si="0"/>
        <v>10</v>
      </c>
      <c r="C12" s="5" t="s">
        <v>977</v>
      </c>
      <c r="D12" s="5" t="s">
        <v>9</v>
      </c>
      <c r="E12" s="5" t="s">
        <v>118</v>
      </c>
      <c r="F12" s="9">
        <v>44861</v>
      </c>
      <c r="G12" s="9">
        <v>44898</v>
      </c>
      <c r="H12" s="10" t="s">
        <v>17</v>
      </c>
      <c r="I12" s="10" t="s">
        <v>534</v>
      </c>
    </row>
    <row r="13" spans="2:9">
      <c r="B13" s="5">
        <f t="shared" si="0"/>
        <v>11</v>
      </c>
      <c r="C13" s="5" t="s">
        <v>978</v>
      </c>
      <c r="D13" s="5" t="s">
        <v>450</v>
      </c>
      <c r="E13" s="5" t="s">
        <v>454</v>
      </c>
      <c r="F13" s="9">
        <v>44842</v>
      </c>
      <c r="G13" s="9">
        <v>44900</v>
      </c>
      <c r="H13" s="10"/>
    </row>
    <row r="14" spans="2:9">
      <c r="B14" s="5">
        <f t="shared" si="0"/>
        <v>12</v>
      </c>
      <c r="C14" s="5" t="s">
        <v>979</v>
      </c>
      <c r="D14" s="5" t="s">
        <v>300</v>
      </c>
      <c r="E14" s="5" t="s">
        <v>360</v>
      </c>
      <c r="F14" s="9">
        <v>44817</v>
      </c>
      <c r="G14" s="9">
        <v>44904</v>
      </c>
      <c r="H14" s="10"/>
    </row>
    <row r="15" spans="2:9">
      <c r="B15" s="5">
        <f t="shared" si="0"/>
        <v>13</v>
      </c>
      <c r="C15" s="5" t="s">
        <v>980</v>
      </c>
      <c r="D15" s="5" t="s">
        <v>300</v>
      </c>
      <c r="E15" s="5" t="s">
        <v>375</v>
      </c>
      <c r="F15" s="9">
        <v>44707</v>
      </c>
      <c r="G15" s="9">
        <v>44904</v>
      </c>
      <c r="H15" s="10"/>
    </row>
    <row r="16" spans="2:9">
      <c r="B16" s="5">
        <f t="shared" si="0"/>
        <v>14</v>
      </c>
      <c r="C16" s="5" t="s">
        <v>981</v>
      </c>
      <c r="D16" s="5" t="s">
        <v>300</v>
      </c>
      <c r="E16" s="5" t="s">
        <v>529</v>
      </c>
      <c r="F16" s="9">
        <v>44514</v>
      </c>
      <c r="G16" s="9">
        <v>44905</v>
      </c>
      <c r="H16" s="10"/>
    </row>
    <row r="17" spans="2:9">
      <c r="B17" s="5">
        <f t="shared" si="0"/>
        <v>15</v>
      </c>
      <c r="C17" s="5" t="s">
        <v>982</v>
      </c>
      <c r="D17" s="5" t="s">
        <v>9</v>
      </c>
      <c r="E17" s="5" t="s">
        <v>123</v>
      </c>
      <c r="F17" s="9">
        <v>44903</v>
      </c>
      <c r="G17" s="9">
        <v>44907</v>
      </c>
      <c r="H17" s="10" t="s">
        <v>17</v>
      </c>
      <c r="I17" s="10" t="s">
        <v>534</v>
      </c>
    </row>
    <row r="18" spans="2:9">
      <c r="B18" s="5">
        <f t="shared" si="0"/>
        <v>16</v>
      </c>
      <c r="C18" s="5" t="s">
        <v>983</v>
      </c>
      <c r="D18" s="5" t="s">
        <v>9</v>
      </c>
      <c r="E18" s="5" t="s">
        <v>35</v>
      </c>
      <c r="F18" s="9">
        <v>44724</v>
      </c>
      <c r="G18" s="9">
        <v>44907</v>
      </c>
      <c r="H18" s="10" t="s">
        <v>17</v>
      </c>
      <c r="I18" s="10" t="s">
        <v>534</v>
      </c>
    </row>
    <row r="19" spans="2:9">
      <c r="B19" s="5">
        <f t="shared" si="0"/>
        <v>17</v>
      </c>
      <c r="C19" s="5" t="s">
        <v>37</v>
      </c>
      <c r="D19" s="5" t="s">
        <v>9</v>
      </c>
      <c r="E19" s="5" t="s">
        <v>730</v>
      </c>
      <c r="F19" s="9">
        <v>44803</v>
      </c>
      <c r="G19" s="9">
        <v>44907</v>
      </c>
      <c r="H19" s="10" t="s">
        <v>17</v>
      </c>
      <c r="I19" s="10" t="s">
        <v>534</v>
      </c>
    </row>
    <row r="20" spans="2:9">
      <c r="B20" s="5">
        <f t="shared" si="0"/>
        <v>18</v>
      </c>
      <c r="C20" s="5" t="s">
        <v>984</v>
      </c>
      <c r="D20" s="5" t="s">
        <v>9</v>
      </c>
      <c r="E20" s="5" t="s">
        <v>265</v>
      </c>
      <c r="F20" s="9">
        <v>44880</v>
      </c>
      <c r="G20" s="9">
        <v>44907</v>
      </c>
      <c r="H20" s="10" t="s">
        <v>11</v>
      </c>
      <c r="I20" s="10" t="s">
        <v>534</v>
      </c>
    </row>
    <row r="21" spans="2:9">
      <c r="B21" s="5">
        <f t="shared" si="0"/>
        <v>19</v>
      </c>
      <c r="C21" s="5" t="s">
        <v>985</v>
      </c>
      <c r="D21" s="5" t="s">
        <v>9</v>
      </c>
      <c r="E21" s="5" t="s">
        <v>986</v>
      </c>
      <c r="F21" s="9">
        <v>44767</v>
      </c>
      <c r="G21" s="9">
        <v>44907</v>
      </c>
      <c r="H21" s="10" t="s">
        <v>17</v>
      </c>
      <c r="I21" s="10" t="s">
        <v>534</v>
      </c>
    </row>
    <row r="22" spans="2:9">
      <c r="B22" s="5">
        <f t="shared" si="0"/>
        <v>20</v>
      </c>
      <c r="C22" s="5" t="s">
        <v>215</v>
      </c>
      <c r="D22" s="5" t="s">
        <v>9</v>
      </c>
      <c r="E22" s="5" t="s">
        <v>100</v>
      </c>
      <c r="F22" s="9">
        <v>44718</v>
      </c>
      <c r="G22" s="9">
        <v>44907</v>
      </c>
      <c r="H22" s="10" t="s">
        <v>11</v>
      </c>
      <c r="I22" s="10" t="s">
        <v>534</v>
      </c>
    </row>
    <row r="23" spans="2:9">
      <c r="B23" s="5">
        <f t="shared" si="0"/>
        <v>21</v>
      </c>
      <c r="C23" s="5" t="s">
        <v>987</v>
      </c>
      <c r="D23" s="5" t="s">
        <v>9</v>
      </c>
      <c r="E23" s="5" t="s">
        <v>243</v>
      </c>
      <c r="F23" s="9">
        <v>44860</v>
      </c>
      <c r="G23" s="9">
        <v>44907</v>
      </c>
      <c r="H23" s="10" t="s">
        <v>11</v>
      </c>
      <c r="I23" s="10" t="s">
        <v>534</v>
      </c>
    </row>
    <row r="24" spans="2:9">
      <c r="B24" s="5">
        <f t="shared" si="0"/>
        <v>22</v>
      </c>
      <c r="C24" s="5" t="s">
        <v>988</v>
      </c>
      <c r="D24" s="5" t="s">
        <v>9</v>
      </c>
      <c r="E24" s="5" t="s">
        <v>111</v>
      </c>
      <c r="F24" s="9">
        <v>44880</v>
      </c>
      <c r="G24" s="9">
        <v>44907</v>
      </c>
      <c r="H24" s="10" t="s">
        <v>11</v>
      </c>
      <c r="I24" s="10" t="s">
        <v>534</v>
      </c>
    </row>
    <row r="25" spans="2:9">
      <c r="B25" s="5">
        <f t="shared" si="0"/>
        <v>23</v>
      </c>
      <c r="C25" s="5" t="s">
        <v>989</v>
      </c>
      <c r="D25" s="5" t="s">
        <v>9</v>
      </c>
      <c r="E25" s="5" t="s">
        <v>262</v>
      </c>
      <c r="F25" s="9">
        <v>44818</v>
      </c>
      <c r="G25" s="9">
        <v>44907</v>
      </c>
      <c r="H25" s="10" t="s">
        <v>11</v>
      </c>
      <c r="I25" s="10" t="s">
        <v>534</v>
      </c>
    </row>
    <row r="26" spans="2:9">
      <c r="B26" s="5">
        <f t="shared" si="0"/>
        <v>24</v>
      </c>
      <c r="C26" s="5" t="s">
        <v>990</v>
      </c>
      <c r="D26" s="5" t="s">
        <v>9</v>
      </c>
      <c r="E26" s="5" t="s">
        <v>123</v>
      </c>
      <c r="F26" s="9">
        <v>44803</v>
      </c>
      <c r="G26" s="9">
        <v>44907</v>
      </c>
      <c r="H26" s="10" t="s">
        <v>11</v>
      </c>
      <c r="I26" s="10" t="s">
        <v>534</v>
      </c>
    </row>
    <row r="27" spans="2:9">
      <c r="B27" s="5">
        <f t="shared" si="0"/>
        <v>25</v>
      </c>
      <c r="C27" s="5" t="s">
        <v>847</v>
      </c>
      <c r="D27" s="5" t="s">
        <v>9</v>
      </c>
      <c r="E27" s="5" t="s">
        <v>123</v>
      </c>
      <c r="F27" s="9">
        <v>44673</v>
      </c>
      <c r="G27" s="9">
        <v>44907</v>
      </c>
      <c r="H27" s="10" t="s">
        <v>17</v>
      </c>
      <c r="I27" s="10" t="s">
        <v>534</v>
      </c>
    </row>
    <row r="28" spans="2:9">
      <c r="B28" s="5">
        <f t="shared" si="0"/>
        <v>26</v>
      </c>
      <c r="C28" s="5" t="s">
        <v>197</v>
      </c>
      <c r="D28" s="5" t="s">
        <v>9</v>
      </c>
      <c r="E28" s="5" t="s">
        <v>243</v>
      </c>
      <c r="F28" s="9">
        <v>44600</v>
      </c>
      <c r="G28" s="9">
        <v>44907</v>
      </c>
      <c r="H28" s="10" t="s">
        <v>11</v>
      </c>
      <c r="I28" s="10" t="s">
        <v>534</v>
      </c>
    </row>
    <row r="29" spans="2:9">
      <c r="B29" s="5">
        <f t="shared" si="0"/>
        <v>27</v>
      </c>
      <c r="C29" s="5" t="s">
        <v>653</v>
      </c>
      <c r="D29" s="5" t="s">
        <v>9</v>
      </c>
      <c r="E29" s="5" t="s">
        <v>265</v>
      </c>
      <c r="F29" s="9">
        <v>44859</v>
      </c>
      <c r="G29" s="9">
        <v>44907</v>
      </c>
      <c r="H29" s="10" t="s">
        <v>17</v>
      </c>
      <c r="I29" s="10" t="s">
        <v>534</v>
      </c>
    </row>
    <row r="30" spans="2:9">
      <c r="B30" s="5">
        <f t="shared" si="0"/>
        <v>28</v>
      </c>
      <c r="C30" s="5" t="s">
        <v>991</v>
      </c>
      <c r="D30" s="5" t="s">
        <v>415</v>
      </c>
      <c r="E30" s="5" t="s">
        <v>992</v>
      </c>
      <c r="F30" s="9">
        <v>44440</v>
      </c>
      <c r="G30" s="9">
        <v>44910</v>
      </c>
      <c r="H30" s="10"/>
    </row>
    <row r="31" spans="2:9">
      <c r="B31" s="5">
        <f t="shared" si="0"/>
        <v>29</v>
      </c>
      <c r="C31" s="5" t="s">
        <v>763</v>
      </c>
      <c r="D31" s="5" t="s">
        <v>300</v>
      </c>
      <c r="E31" s="5" t="s">
        <v>377</v>
      </c>
      <c r="F31" s="9">
        <v>44415</v>
      </c>
      <c r="G31" s="9">
        <v>44910</v>
      </c>
      <c r="H31" s="10"/>
    </row>
    <row r="34" spans="2:9" ht="60">
      <c r="B34" s="2" t="s">
        <v>1</v>
      </c>
      <c r="C34" s="2" t="s">
        <v>954</v>
      </c>
      <c r="D34" s="2" t="s">
        <v>4</v>
      </c>
      <c r="E34" s="2" t="s">
        <v>5</v>
      </c>
      <c r="F34" s="2" t="s">
        <v>957</v>
      </c>
      <c r="G34" s="8" t="s">
        <v>958</v>
      </c>
      <c r="H34" s="8" t="s">
        <v>7</v>
      </c>
      <c r="I34" s="2" t="s">
        <v>965</v>
      </c>
    </row>
    <row r="35" spans="2:9">
      <c r="B35" s="5">
        <v>1</v>
      </c>
      <c r="C35" s="5" t="s">
        <v>966</v>
      </c>
      <c r="D35" s="5" t="s">
        <v>9</v>
      </c>
      <c r="E35" s="5" t="s">
        <v>123</v>
      </c>
      <c r="F35" s="9">
        <v>44860</v>
      </c>
      <c r="G35" s="9">
        <v>44896</v>
      </c>
      <c r="H35" s="10" t="s">
        <v>11</v>
      </c>
      <c r="I35" s="10" t="s">
        <v>534</v>
      </c>
    </row>
    <row r="36" spans="2:9">
      <c r="B36" s="5">
        <f t="shared" ref="B36:B54" si="1">B35+1</f>
        <v>2</v>
      </c>
      <c r="C36" s="5" t="s">
        <v>968</v>
      </c>
      <c r="D36" s="5" t="s">
        <v>9</v>
      </c>
      <c r="E36" s="5" t="s">
        <v>123</v>
      </c>
      <c r="F36" s="9">
        <v>44679</v>
      </c>
      <c r="G36" s="9">
        <v>44896</v>
      </c>
      <c r="H36" s="10" t="s">
        <v>11</v>
      </c>
      <c r="I36" s="12" t="s">
        <v>969</v>
      </c>
    </row>
    <row r="37" spans="2:9">
      <c r="B37" s="5">
        <f t="shared" si="1"/>
        <v>3</v>
      </c>
      <c r="C37" s="5" t="s">
        <v>970</v>
      </c>
      <c r="D37" s="5" t="s">
        <v>9</v>
      </c>
      <c r="E37" s="5" t="s">
        <v>123</v>
      </c>
      <c r="F37" s="9">
        <v>44734</v>
      </c>
      <c r="G37" s="9">
        <v>44896</v>
      </c>
      <c r="H37" s="10" t="s">
        <v>11</v>
      </c>
      <c r="I37" s="12" t="s">
        <v>969</v>
      </c>
    </row>
    <row r="38" spans="2:9">
      <c r="B38" s="5">
        <f t="shared" si="1"/>
        <v>4</v>
      </c>
      <c r="C38" s="5" t="s">
        <v>973</v>
      </c>
      <c r="D38" s="5" t="s">
        <v>9</v>
      </c>
      <c r="E38" s="5" t="s">
        <v>100</v>
      </c>
      <c r="F38" s="9">
        <v>44880</v>
      </c>
      <c r="G38" s="9">
        <v>44898</v>
      </c>
      <c r="H38" s="10" t="s">
        <v>11</v>
      </c>
      <c r="I38" s="10" t="s">
        <v>534</v>
      </c>
    </row>
    <row r="39" spans="2:9">
      <c r="B39" s="5">
        <f t="shared" si="1"/>
        <v>5</v>
      </c>
      <c r="C39" s="5" t="s">
        <v>974</v>
      </c>
      <c r="D39" s="5" t="s">
        <v>9</v>
      </c>
      <c r="E39" s="5" t="s">
        <v>111</v>
      </c>
      <c r="F39" s="9">
        <v>44880</v>
      </c>
      <c r="G39" s="9">
        <v>44898</v>
      </c>
      <c r="H39" s="10" t="s">
        <v>11</v>
      </c>
      <c r="I39" s="10" t="s">
        <v>534</v>
      </c>
    </row>
    <row r="40" spans="2:9">
      <c r="B40" s="5">
        <f t="shared" si="1"/>
        <v>6</v>
      </c>
      <c r="C40" s="5" t="s">
        <v>975</v>
      </c>
      <c r="D40" s="5" t="s">
        <v>9</v>
      </c>
      <c r="E40" s="5" t="s">
        <v>265</v>
      </c>
      <c r="F40" s="9">
        <v>44880</v>
      </c>
      <c r="G40" s="9">
        <v>44898</v>
      </c>
      <c r="H40" s="10" t="s">
        <v>11</v>
      </c>
      <c r="I40" s="10" t="s">
        <v>534</v>
      </c>
    </row>
    <row r="41" spans="2:9">
      <c r="B41" s="5">
        <f t="shared" si="1"/>
        <v>7</v>
      </c>
      <c r="C41" s="5" t="s">
        <v>984</v>
      </c>
      <c r="D41" s="5" t="s">
        <v>9</v>
      </c>
      <c r="E41" s="5" t="s">
        <v>265</v>
      </c>
      <c r="F41" s="9">
        <v>44880</v>
      </c>
      <c r="G41" s="9">
        <v>44907</v>
      </c>
      <c r="H41" s="10" t="s">
        <v>11</v>
      </c>
      <c r="I41" s="10" t="s">
        <v>534</v>
      </c>
    </row>
    <row r="42" spans="2:9">
      <c r="B42" s="5">
        <f t="shared" si="1"/>
        <v>8</v>
      </c>
      <c r="C42" s="5" t="s">
        <v>215</v>
      </c>
      <c r="D42" s="5" t="s">
        <v>9</v>
      </c>
      <c r="E42" s="5" t="s">
        <v>100</v>
      </c>
      <c r="F42" s="9">
        <v>44718</v>
      </c>
      <c r="G42" s="9">
        <v>44907</v>
      </c>
      <c r="H42" s="10" t="s">
        <v>11</v>
      </c>
      <c r="I42" s="10" t="s">
        <v>534</v>
      </c>
    </row>
    <row r="43" spans="2:9">
      <c r="B43" s="5">
        <f t="shared" si="1"/>
        <v>9</v>
      </c>
      <c r="C43" s="5" t="s">
        <v>987</v>
      </c>
      <c r="D43" s="5" t="s">
        <v>9</v>
      </c>
      <c r="E43" s="5" t="s">
        <v>243</v>
      </c>
      <c r="F43" s="9">
        <v>44860</v>
      </c>
      <c r="G43" s="9">
        <v>44907</v>
      </c>
      <c r="H43" s="10" t="s">
        <v>11</v>
      </c>
      <c r="I43" s="10" t="s">
        <v>534</v>
      </c>
    </row>
    <row r="44" spans="2:9">
      <c r="B44" s="5">
        <f t="shared" si="1"/>
        <v>10</v>
      </c>
      <c r="C44" s="5" t="s">
        <v>988</v>
      </c>
      <c r="D44" s="5" t="s">
        <v>9</v>
      </c>
      <c r="E44" s="5" t="s">
        <v>111</v>
      </c>
      <c r="F44" s="9">
        <v>44880</v>
      </c>
      <c r="G44" s="9">
        <v>44907</v>
      </c>
      <c r="H44" s="10" t="s">
        <v>11</v>
      </c>
      <c r="I44" s="10" t="s">
        <v>534</v>
      </c>
    </row>
    <row r="45" spans="2:9">
      <c r="B45" s="5">
        <f t="shared" si="1"/>
        <v>11</v>
      </c>
      <c r="C45" s="5" t="s">
        <v>989</v>
      </c>
      <c r="D45" s="5" t="s">
        <v>9</v>
      </c>
      <c r="E45" s="5" t="s">
        <v>262</v>
      </c>
      <c r="F45" s="9">
        <v>44818</v>
      </c>
      <c r="G45" s="9">
        <v>44907</v>
      </c>
      <c r="H45" s="10" t="s">
        <v>11</v>
      </c>
      <c r="I45" s="10" t="s">
        <v>534</v>
      </c>
    </row>
    <row r="46" spans="2:9">
      <c r="B46" s="5">
        <f t="shared" si="1"/>
        <v>12</v>
      </c>
      <c r="C46" s="5" t="s">
        <v>990</v>
      </c>
      <c r="D46" s="5" t="s">
        <v>9</v>
      </c>
      <c r="E46" s="5" t="s">
        <v>123</v>
      </c>
      <c r="F46" s="9">
        <v>44803</v>
      </c>
      <c r="G46" s="9">
        <v>44907</v>
      </c>
      <c r="H46" s="10" t="s">
        <v>11</v>
      </c>
      <c r="I46" s="10" t="s">
        <v>534</v>
      </c>
    </row>
    <row r="47" spans="2:9">
      <c r="B47" s="5">
        <f t="shared" si="1"/>
        <v>13</v>
      </c>
      <c r="C47" s="5" t="s">
        <v>197</v>
      </c>
      <c r="D47" s="5" t="s">
        <v>9</v>
      </c>
      <c r="E47" s="5" t="s">
        <v>243</v>
      </c>
      <c r="F47" s="9">
        <v>44600</v>
      </c>
      <c r="G47" s="9">
        <v>44907</v>
      </c>
      <c r="H47" s="10" t="s">
        <v>11</v>
      </c>
      <c r="I47" s="10" t="s">
        <v>534</v>
      </c>
    </row>
    <row r="48" spans="2:9">
      <c r="B48" s="5">
        <f t="shared" si="1"/>
        <v>14</v>
      </c>
      <c r="C48" s="5" t="s">
        <v>977</v>
      </c>
      <c r="D48" s="5" t="s">
        <v>9</v>
      </c>
      <c r="E48" s="5" t="s">
        <v>118</v>
      </c>
      <c r="F48" s="9">
        <v>44861</v>
      </c>
      <c r="G48" s="9">
        <v>44898</v>
      </c>
      <c r="H48" s="11" t="s">
        <v>17</v>
      </c>
      <c r="I48" s="10" t="s">
        <v>534</v>
      </c>
    </row>
    <row r="49" spans="2:9">
      <c r="B49" s="5">
        <f t="shared" si="1"/>
        <v>15</v>
      </c>
      <c r="C49" s="5" t="s">
        <v>982</v>
      </c>
      <c r="D49" s="5" t="s">
        <v>9</v>
      </c>
      <c r="E49" s="5" t="s">
        <v>123</v>
      </c>
      <c r="F49" s="9">
        <v>44903</v>
      </c>
      <c r="G49" s="9">
        <v>44907</v>
      </c>
      <c r="H49" s="11" t="s">
        <v>17</v>
      </c>
      <c r="I49" s="10" t="s">
        <v>534</v>
      </c>
    </row>
    <row r="50" spans="2:9">
      <c r="B50" s="5">
        <f t="shared" si="1"/>
        <v>16</v>
      </c>
      <c r="C50" s="5" t="s">
        <v>983</v>
      </c>
      <c r="D50" s="5" t="s">
        <v>9</v>
      </c>
      <c r="E50" s="5" t="s">
        <v>35</v>
      </c>
      <c r="F50" s="9">
        <v>44724</v>
      </c>
      <c r="G50" s="9">
        <v>44907</v>
      </c>
      <c r="H50" s="11" t="s">
        <v>17</v>
      </c>
      <c r="I50" s="10" t="s">
        <v>534</v>
      </c>
    </row>
    <row r="51" spans="2:9">
      <c r="B51" s="5">
        <f t="shared" si="1"/>
        <v>17</v>
      </c>
      <c r="C51" s="5" t="s">
        <v>37</v>
      </c>
      <c r="D51" s="5" t="s">
        <v>9</v>
      </c>
      <c r="E51" s="5" t="s">
        <v>730</v>
      </c>
      <c r="F51" s="9">
        <v>44803</v>
      </c>
      <c r="G51" s="9">
        <v>44907</v>
      </c>
      <c r="H51" s="11" t="s">
        <v>17</v>
      </c>
      <c r="I51" s="10" t="s">
        <v>534</v>
      </c>
    </row>
    <row r="52" spans="2:9">
      <c r="B52" s="5">
        <f t="shared" si="1"/>
        <v>18</v>
      </c>
      <c r="C52" s="5" t="s">
        <v>985</v>
      </c>
      <c r="D52" s="5" t="s">
        <v>9</v>
      </c>
      <c r="E52" s="5" t="s">
        <v>986</v>
      </c>
      <c r="F52" s="9">
        <v>44767</v>
      </c>
      <c r="G52" s="9">
        <v>44907</v>
      </c>
      <c r="H52" s="11" t="s">
        <v>17</v>
      </c>
      <c r="I52" s="10" t="s">
        <v>534</v>
      </c>
    </row>
    <row r="53" spans="2:9">
      <c r="B53" s="5">
        <f t="shared" si="1"/>
        <v>19</v>
      </c>
      <c r="C53" s="5" t="s">
        <v>847</v>
      </c>
      <c r="D53" s="5" t="s">
        <v>9</v>
      </c>
      <c r="E53" s="5" t="s">
        <v>123</v>
      </c>
      <c r="F53" s="9">
        <v>44673</v>
      </c>
      <c r="G53" s="9">
        <v>44907</v>
      </c>
      <c r="H53" s="11" t="s">
        <v>17</v>
      </c>
      <c r="I53" s="10" t="s">
        <v>534</v>
      </c>
    </row>
    <row r="54" spans="2:9">
      <c r="B54" s="5">
        <f t="shared" si="1"/>
        <v>20</v>
      </c>
      <c r="C54" s="5" t="s">
        <v>653</v>
      </c>
      <c r="D54" s="5" t="s">
        <v>9</v>
      </c>
      <c r="E54" s="5" t="s">
        <v>265</v>
      </c>
      <c r="F54" s="9">
        <v>44859</v>
      </c>
      <c r="G54" s="9">
        <v>44907</v>
      </c>
      <c r="H54" s="11" t="s">
        <v>17</v>
      </c>
      <c r="I54" s="10" t="s">
        <v>534</v>
      </c>
    </row>
  </sheetData>
  <autoFilter ref="B34:I54">
    <sortState ref="B34:I54">
      <sortCondition ref="H34"/>
    </sortState>
  </autoFilter>
  <pageMargins left="0.25" right="0.25" top="0.75" bottom="0.75" header="0.3" footer="0.3"/>
  <pageSetup paperSize="9" scale="77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"/>
  <sheetViews>
    <sheetView showGridLines="0" zoomScale="70" zoomScaleNormal="70" workbookViewId="0">
      <selection activeCell="T19" sqref="T19"/>
    </sheetView>
  </sheetViews>
  <sheetFormatPr defaultColWidth="9" defaultRowHeight="1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2:O51"/>
  <sheetViews>
    <sheetView topLeftCell="A7" zoomScale="55" zoomScaleNormal="55" workbookViewId="0">
      <selection activeCell="A4" sqref="A4:A5"/>
    </sheetView>
  </sheetViews>
  <sheetFormatPr defaultColWidth="9" defaultRowHeight="15"/>
  <cols>
    <col min="2" max="2" width="17.7109375" customWidth="1"/>
    <col min="3" max="15" width="15.7109375" customWidth="1"/>
  </cols>
  <sheetData>
    <row r="2" spans="2:15" ht="23.25">
      <c r="B2" s="92" t="s">
        <v>993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</row>
    <row r="3" spans="2:15">
      <c r="B3" s="1" t="s">
        <v>956</v>
      </c>
      <c r="C3" s="1" t="s">
        <v>296</v>
      </c>
    </row>
    <row r="4" spans="2:15" ht="24.95" customHeight="1">
      <c r="B4" s="2" t="s">
        <v>4</v>
      </c>
      <c r="C4" s="2" t="s">
        <v>994</v>
      </c>
      <c r="D4" s="2" t="s">
        <v>995</v>
      </c>
      <c r="E4" s="2" t="s">
        <v>996</v>
      </c>
      <c r="F4" s="2" t="s">
        <v>960</v>
      </c>
      <c r="G4" s="2" t="s">
        <v>997</v>
      </c>
      <c r="H4" s="2" t="s">
        <v>998</v>
      </c>
      <c r="I4" s="2" t="s">
        <v>999</v>
      </c>
      <c r="J4" s="2" t="s">
        <v>1000</v>
      </c>
      <c r="K4" s="2" t="s">
        <v>961</v>
      </c>
      <c r="L4" s="2" t="s">
        <v>1001</v>
      </c>
      <c r="M4" s="2" t="s">
        <v>959</v>
      </c>
      <c r="N4" s="2" t="s">
        <v>1002</v>
      </c>
      <c r="O4" s="2" t="s">
        <v>955</v>
      </c>
    </row>
    <row r="5" spans="2:15">
      <c r="B5" s="2" t="s">
        <v>9</v>
      </c>
      <c r="C5" s="3" t="e">
        <f t="shared" ref="C5:N15" si="0">COUNTIFS(DPROUT1,$B$5:$B$15,PKOUT1,$C$3,BULANOUT1,$C$4:$N$4)</f>
        <v>#REF!</v>
      </c>
      <c r="D5" s="3" t="e">
        <f t="shared" si="0"/>
        <v>#REF!</v>
      </c>
      <c r="E5" s="3" t="e">
        <f t="shared" si="0"/>
        <v>#REF!</v>
      </c>
      <c r="F5" s="3" t="e">
        <f t="shared" si="0"/>
        <v>#REF!</v>
      </c>
      <c r="G5" s="3" t="e">
        <f t="shared" si="0"/>
        <v>#REF!</v>
      </c>
      <c r="H5" s="3" t="e">
        <f t="shared" si="0"/>
        <v>#REF!</v>
      </c>
      <c r="I5" s="3" t="e">
        <f t="shared" si="0"/>
        <v>#REF!</v>
      </c>
      <c r="J5" s="3" t="e">
        <f t="shared" si="0"/>
        <v>#REF!</v>
      </c>
      <c r="K5" s="3" t="e">
        <f t="shared" si="0"/>
        <v>#REF!</v>
      </c>
      <c r="L5" s="3" t="e">
        <f t="shared" si="0"/>
        <v>#REF!</v>
      </c>
      <c r="M5" s="3" t="e">
        <f t="shared" si="0"/>
        <v>#REF!</v>
      </c>
      <c r="N5" s="3" t="e">
        <f t="shared" si="0"/>
        <v>#REF!</v>
      </c>
      <c r="O5" s="3" t="e">
        <f>SUM(C5:N5)</f>
        <v>#REF!</v>
      </c>
    </row>
    <row r="6" spans="2:15">
      <c r="B6" s="2" t="s">
        <v>300</v>
      </c>
      <c r="C6" s="3" t="e">
        <f t="shared" si="0"/>
        <v>#REF!</v>
      </c>
      <c r="D6" s="3" t="e">
        <f t="shared" si="0"/>
        <v>#REF!</v>
      </c>
      <c r="E6" s="3" t="e">
        <f t="shared" si="0"/>
        <v>#REF!</v>
      </c>
      <c r="F6" s="3" t="e">
        <f t="shared" si="0"/>
        <v>#REF!</v>
      </c>
      <c r="G6" s="3" t="e">
        <f t="shared" si="0"/>
        <v>#REF!</v>
      </c>
      <c r="H6" s="3" t="e">
        <f t="shared" si="0"/>
        <v>#REF!</v>
      </c>
      <c r="I6" s="3" t="e">
        <f t="shared" si="0"/>
        <v>#REF!</v>
      </c>
      <c r="J6" s="3" t="e">
        <f t="shared" si="0"/>
        <v>#REF!</v>
      </c>
      <c r="K6" s="3" t="e">
        <f t="shared" si="0"/>
        <v>#REF!</v>
      </c>
      <c r="L6" s="3" t="e">
        <f t="shared" si="0"/>
        <v>#REF!</v>
      </c>
      <c r="M6" s="3" t="e">
        <f t="shared" si="0"/>
        <v>#REF!</v>
      </c>
      <c r="N6" s="3" t="e">
        <f t="shared" si="0"/>
        <v>#REF!</v>
      </c>
      <c r="O6" s="3" t="e">
        <f t="shared" ref="O6:O15" si="1">SUM(C6:N6)</f>
        <v>#REF!</v>
      </c>
    </row>
    <row r="7" spans="2:15">
      <c r="B7" s="2" t="s">
        <v>444</v>
      </c>
      <c r="C7" s="3" t="e">
        <f t="shared" si="0"/>
        <v>#REF!</v>
      </c>
      <c r="D7" s="3" t="e">
        <f t="shared" si="0"/>
        <v>#REF!</v>
      </c>
      <c r="E7" s="3" t="e">
        <f t="shared" si="0"/>
        <v>#REF!</v>
      </c>
      <c r="F7" s="3" t="e">
        <f t="shared" si="0"/>
        <v>#REF!</v>
      </c>
      <c r="G7" s="3" t="e">
        <f t="shared" si="0"/>
        <v>#REF!</v>
      </c>
      <c r="H7" s="3" t="e">
        <f t="shared" si="0"/>
        <v>#REF!</v>
      </c>
      <c r="I7" s="3" t="e">
        <f t="shared" si="0"/>
        <v>#REF!</v>
      </c>
      <c r="J7" s="3" t="e">
        <f t="shared" si="0"/>
        <v>#REF!</v>
      </c>
      <c r="K7" s="3" t="e">
        <f t="shared" si="0"/>
        <v>#REF!</v>
      </c>
      <c r="L7" s="3" t="e">
        <f t="shared" si="0"/>
        <v>#REF!</v>
      </c>
      <c r="M7" s="3" t="e">
        <f t="shared" si="0"/>
        <v>#REF!</v>
      </c>
      <c r="N7" s="3" t="e">
        <f t="shared" si="0"/>
        <v>#REF!</v>
      </c>
      <c r="O7" s="3" t="e">
        <f t="shared" si="1"/>
        <v>#REF!</v>
      </c>
    </row>
    <row r="8" spans="2:15">
      <c r="B8" s="2" t="s">
        <v>450</v>
      </c>
      <c r="C8" s="3" t="e">
        <f t="shared" si="0"/>
        <v>#REF!</v>
      </c>
      <c r="D8" s="3" t="e">
        <f t="shared" si="0"/>
        <v>#REF!</v>
      </c>
      <c r="E8" s="3" t="e">
        <f t="shared" si="0"/>
        <v>#REF!</v>
      </c>
      <c r="F8" s="3" t="e">
        <f t="shared" si="0"/>
        <v>#REF!</v>
      </c>
      <c r="G8" s="3" t="e">
        <f t="shared" si="0"/>
        <v>#REF!</v>
      </c>
      <c r="H8" s="3" t="e">
        <f t="shared" si="0"/>
        <v>#REF!</v>
      </c>
      <c r="I8" s="3" t="e">
        <f t="shared" si="0"/>
        <v>#REF!</v>
      </c>
      <c r="J8" s="3" t="e">
        <f t="shared" si="0"/>
        <v>#REF!</v>
      </c>
      <c r="K8" s="3" t="e">
        <f t="shared" si="0"/>
        <v>#REF!</v>
      </c>
      <c r="L8" s="3" t="e">
        <f t="shared" si="0"/>
        <v>#REF!</v>
      </c>
      <c r="M8" s="3" t="e">
        <f t="shared" si="0"/>
        <v>#REF!</v>
      </c>
      <c r="N8" s="3" t="e">
        <f t="shared" si="0"/>
        <v>#REF!</v>
      </c>
      <c r="O8" s="3" t="e">
        <f t="shared" si="1"/>
        <v>#REF!</v>
      </c>
    </row>
    <row r="9" spans="2:15">
      <c r="B9" s="2" t="s">
        <v>415</v>
      </c>
      <c r="C9" s="3" t="e">
        <f t="shared" si="0"/>
        <v>#REF!</v>
      </c>
      <c r="D9" s="3" t="e">
        <f t="shared" si="0"/>
        <v>#REF!</v>
      </c>
      <c r="E9" s="3" t="e">
        <f t="shared" si="0"/>
        <v>#REF!</v>
      </c>
      <c r="F9" s="3" t="e">
        <f t="shared" si="0"/>
        <v>#REF!</v>
      </c>
      <c r="G9" s="3" t="e">
        <f t="shared" si="0"/>
        <v>#REF!</v>
      </c>
      <c r="H9" s="3" t="e">
        <f t="shared" si="0"/>
        <v>#REF!</v>
      </c>
      <c r="I9" s="3" t="e">
        <f t="shared" si="0"/>
        <v>#REF!</v>
      </c>
      <c r="J9" s="3" t="e">
        <f t="shared" si="0"/>
        <v>#REF!</v>
      </c>
      <c r="K9" s="3" t="e">
        <f t="shared" si="0"/>
        <v>#REF!</v>
      </c>
      <c r="L9" s="3" t="e">
        <f t="shared" si="0"/>
        <v>#REF!</v>
      </c>
      <c r="M9" s="3" t="e">
        <f t="shared" si="0"/>
        <v>#REF!</v>
      </c>
      <c r="N9" s="3" t="e">
        <f t="shared" si="0"/>
        <v>#REF!</v>
      </c>
      <c r="O9" s="3" t="e">
        <f t="shared" si="1"/>
        <v>#REF!</v>
      </c>
    </row>
    <row r="10" spans="2:15">
      <c r="B10" s="2" t="s">
        <v>419</v>
      </c>
      <c r="C10" s="3" t="e">
        <f t="shared" si="0"/>
        <v>#REF!</v>
      </c>
      <c r="D10" s="3" t="e">
        <f t="shared" si="0"/>
        <v>#REF!</v>
      </c>
      <c r="E10" s="3" t="e">
        <f t="shared" si="0"/>
        <v>#REF!</v>
      </c>
      <c r="F10" s="3" t="e">
        <f t="shared" si="0"/>
        <v>#REF!</v>
      </c>
      <c r="G10" s="3" t="e">
        <f t="shared" si="0"/>
        <v>#REF!</v>
      </c>
      <c r="H10" s="3" t="e">
        <f t="shared" si="0"/>
        <v>#REF!</v>
      </c>
      <c r="I10" s="3" t="e">
        <f t="shared" si="0"/>
        <v>#REF!</v>
      </c>
      <c r="J10" s="3" t="e">
        <f t="shared" si="0"/>
        <v>#REF!</v>
      </c>
      <c r="K10" s="3" t="e">
        <f t="shared" si="0"/>
        <v>#REF!</v>
      </c>
      <c r="L10" s="3" t="e">
        <f t="shared" si="0"/>
        <v>#REF!</v>
      </c>
      <c r="M10" s="3" t="e">
        <f t="shared" si="0"/>
        <v>#REF!</v>
      </c>
      <c r="N10" s="3" t="e">
        <f t="shared" si="0"/>
        <v>#REF!</v>
      </c>
      <c r="O10" s="3" t="e">
        <f t="shared" si="1"/>
        <v>#REF!</v>
      </c>
    </row>
    <row r="11" spans="2:15">
      <c r="B11" s="2" t="s">
        <v>420</v>
      </c>
      <c r="C11" s="3" t="e">
        <f t="shared" si="0"/>
        <v>#REF!</v>
      </c>
      <c r="D11" s="3" t="e">
        <f t="shared" si="0"/>
        <v>#REF!</v>
      </c>
      <c r="E11" s="3" t="e">
        <f t="shared" si="0"/>
        <v>#REF!</v>
      </c>
      <c r="F11" s="3" t="e">
        <f t="shared" si="0"/>
        <v>#REF!</v>
      </c>
      <c r="G11" s="3" t="e">
        <f t="shared" si="0"/>
        <v>#REF!</v>
      </c>
      <c r="H11" s="3" t="e">
        <f t="shared" si="0"/>
        <v>#REF!</v>
      </c>
      <c r="I11" s="3" t="e">
        <f t="shared" si="0"/>
        <v>#REF!</v>
      </c>
      <c r="J11" s="3" t="e">
        <f t="shared" si="0"/>
        <v>#REF!</v>
      </c>
      <c r="K11" s="3" t="e">
        <f t="shared" si="0"/>
        <v>#REF!</v>
      </c>
      <c r="L11" s="3" t="e">
        <f t="shared" si="0"/>
        <v>#REF!</v>
      </c>
      <c r="M11" s="3" t="e">
        <f t="shared" si="0"/>
        <v>#REF!</v>
      </c>
      <c r="N11" s="3" t="e">
        <f t="shared" si="0"/>
        <v>#REF!</v>
      </c>
      <c r="O11" s="3" t="e">
        <f t="shared" si="1"/>
        <v>#REF!</v>
      </c>
    </row>
    <row r="12" spans="2:15">
      <c r="B12" s="2" t="s">
        <v>456</v>
      </c>
      <c r="C12" s="3" t="e">
        <f t="shared" si="0"/>
        <v>#REF!</v>
      </c>
      <c r="D12" s="3" t="e">
        <f t="shared" si="0"/>
        <v>#REF!</v>
      </c>
      <c r="E12" s="3" t="e">
        <f t="shared" si="0"/>
        <v>#REF!</v>
      </c>
      <c r="F12" s="3" t="e">
        <f t="shared" si="0"/>
        <v>#REF!</v>
      </c>
      <c r="G12" s="3" t="e">
        <f t="shared" si="0"/>
        <v>#REF!</v>
      </c>
      <c r="H12" s="3" t="e">
        <f t="shared" si="0"/>
        <v>#REF!</v>
      </c>
      <c r="I12" s="3" t="e">
        <f t="shared" si="0"/>
        <v>#REF!</v>
      </c>
      <c r="J12" s="3" t="e">
        <f t="shared" si="0"/>
        <v>#REF!</v>
      </c>
      <c r="K12" s="3" t="e">
        <f t="shared" si="0"/>
        <v>#REF!</v>
      </c>
      <c r="L12" s="3" t="e">
        <f t="shared" si="0"/>
        <v>#REF!</v>
      </c>
      <c r="M12" s="3" t="e">
        <f t="shared" si="0"/>
        <v>#REF!</v>
      </c>
      <c r="N12" s="3" t="e">
        <f t="shared" si="0"/>
        <v>#REF!</v>
      </c>
      <c r="O12" s="3" t="e">
        <f t="shared" si="1"/>
        <v>#REF!</v>
      </c>
    </row>
    <row r="13" spans="2:15">
      <c r="B13" s="2" t="s">
        <v>455</v>
      </c>
      <c r="C13" s="3" t="e">
        <f t="shared" si="0"/>
        <v>#REF!</v>
      </c>
      <c r="D13" s="3" t="e">
        <f t="shared" si="0"/>
        <v>#REF!</v>
      </c>
      <c r="E13" s="3" t="e">
        <f t="shared" si="0"/>
        <v>#REF!</v>
      </c>
      <c r="F13" s="3" t="e">
        <f t="shared" si="0"/>
        <v>#REF!</v>
      </c>
      <c r="G13" s="3" t="e">
        <f t="shared" si="0"/>
        <v>#REF!</v>
      </c>
      <c r="H13" s="3" t="e">
        <f t="shared" si="0"/>
        <v>#REF!</v>
      </c>
      <c r="I13" s="3" t="e">
        <f t="shared" si="0"/>
        <v>#REF!</v>
      </c>
      <c r="J13" s="3" t="e">
        <f t="shared" si="0"/>
        <v>#REF!</v>
      </c>
      <c r="K13" s="3" t="e">
        <f t="shared" si="0"/>
        <v>#REF!</v>
      </c>
      <c r="L13" s="3" t="e">
        <f t="shared" si="0"/>
        <v>#REF!</v>
      </c>
      <c r="M13" s="3" t="e">
        <f t="shared" si="0"/>
        <v>#REF!</v>
      </c>
      <c r="N13" s="3" t="e">
        <f t="shared" si="0"/>
        <v>#REF!</v>
      </c>
      <c r="O13" s="3" t="e">
        <f t="shared" si="1"/>
        <v>#REF!</v>
      </c>
    </row>
    <row r="14" spans="2:15">
      <c r="B14" s="2" t="s">
        <v>440</v>
      </c>
      <c r="C14" s="3" t="e">
        <f t="shared" si="0"/>
        <v>#REF!</v>
      </c>
      <c r="D14" s="3" t="e">
        <f t="shared" si="0"/>
        <v>#REF!</v>
      </c>
      <c r="E14" s="3" t="e">
        <f t="shared" si="0"/>
        <v>#REF!</v>
      </c>
      <c r="F14" s="3" t="e">
        <f t="shared" si="0"/>
        <v>#REF!</v>
      </c>
      <c r="G14" s="3" t="e">
        <f t="shared" si="0"/>
        <v>#REF!</v>
      </c>
      <c r="H14" s="3" t="e">
        <f t="shared" si="0"/>
        <v>#REF!</v>
      </c>
      <c r="I14" s="3" t="e">
        <f t="shared" si="0"/>
        <v>#REF!</v>
      </c>
      <c r="J14" s="3" t="e">
        <f t="shared" si="0"/>
        <v>#REF!</v>
      </c>
      <c r="K14" s="3" t="e">
        <f t="shared" si="0"/>
        <v>#REF!</v>
      </c>
      <c r="L14" s="3" t="e">
        <f t="shared" si="0"/>
        <v>#REF!</v>
      </c>
      <c r="M14" s="3" t="e">
        <f t="shared" si="0"/>
        <v>#REF!</v>
      </c>
      <c r="N14" s="3" t="e">
        <f t="shared" si="0"/>
        <v>#REF!</v>
      </c>
      <c r="O14" s="3" t="e">
        <f t="shared" si="1"/>
        <v>#REF!</v>
      </c>
    </row>
    <row r="15" spans="2:15">
      <c r="B15" s="2" t="s">
        <v>483</v>
      </c>
      <c r="C15" s="3" t="e">
        <f t="shared" si="0"/>
        <v>#REF!</v>
      </c>
      <c r="D15" s="3" t="e">
        <f t="shared" si="0"/>
        <v>#REF!</v>
      </c>
      <c r="E15" s="3" t="e">
        <f t="shared" si="0"/>
        <v>#REF!</v>
      </c>
      <c r="F15" s="3" t="e">
        <f t="shared" si="0"/>
        <v>#REF!</v>
      </c>
      <c r="G15" s="3" t="e">
        <f t="shared" si="0"/>
        <v>#REF!</v>
      </c>
      <c r="H15" s="3" t="e">
        <f t="shared" si="0"/>
        <v>#REF!</v>
      </c>
      <c r="I15" s="3" t="e">
        <f t="shared" si="0"/>
        <v>#REF!</v>
      </c>
      <c r="J15" s="3" t="e">
        <f t="shared" si="0"/>
        <v>#REF!</v>
      </c>
      <c r="K15" s="3" t="e">
        <f t="shared" si="0"/>
        <v>#REF!</v>
      </c>
      <c r="L15" s="3" t="e">
        <f t="shared" si="0"/>
        <v>#REF!</v>
      </c>
      <c r="M15" s="3" t="e">
        <f t="shared" si="0"/>
        <v>#REF!</v>
      </c>
      <c r="N15" s="3" t="e">
        <f t="shared" si="0"/>
        <v>#REF!</v>
      </c>
      <c r="O15" s="3" t="e">
        <f t="shared" si="1"/>
        <v>#REF!</v>
      </c>
    </row>
    <row r="16" spans="2:15">
      <c r="B16" s="2" t="s">
        <v>955</v>
      </c>
      <c r="C16" s="4" t="e">
        <f t="shared" ref="C16:O16" si="2">SUM(C5:C15)</f>
        <v>#REF!</v>
      </c>
      <c r="D16" s="4" t="e">
        <f t="shared" si="2"/>
        <v>#REF!</v>
      </c>
      <c r="E16" s="4" t="e">
        <f t="shared" si="2"/>
        <v>#REF!</v>
      </c>
      <c r="F16" s="4" t="e">
        <f t="shared" si="2"/>
        <v>#REF!</v>
      </c>
      <c r="G16" s="4" t="e">
        <f t="shared" si="2"/>
        <v>#REF!</v>
      </c>
      <c r="H16" s="4" t="e">
        <f t="shared" si="2"/>
        <v>#REF!</v>
      </c>
      <c r="I16" s="4" t="e">
        <f t="shared" si="2"/>
        <v>#REF!</v>
      </c>
      <c r="J16" s="4" t="e">
        <f t="shared" si="2"/>
        <v>#REF!</v>
      </c>
      <c r="K16" s="4" t="e">
        <f t="shared" si="2"/>
        <v>#REF!</v>
      </c>
      <c r="L16" s="4" t="e">
        <f t="shared" si="2"/>
        <v>#REF!</v>
      </c>
      <c r="M16" s="4" t="e">
        <f t="shared" si="2"/>
        <v>#REF!</v>
      </c>
      <c r="N16" s="4" t="e">
        <f t="shared" si="2"/>
        <v>#REF!</v>
      </c>
      <c r="O16" s="4" t="e">
        <f t="shared" si="2"/>
        <v>#REF!</v>
      </c>
    </row>
    <row r="18" spans="2:15" ht="23.25">
      <c r="B18" s="92" t="s">
        <v>993</v>
      </c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</row>
    <row r="19" spans="2:15">
      <c r="B19" s="1" t="s">
        <v>956</v>
      </c>
      <c r="C19" s="1" t="s">
        <v>10</v>
      </c>
    </row>
    <row r="20" spans="2:15" ht="24.95" customHeight="1">
      <c r="B20" s="2" t="s">
        <v>4</v>
      </c>
      <c r="C20" s="2" t="s">
        <v>994</v>
      </c>
      <c r="D20" s="2" t="s">
        <v>995</v>
      </c>
      <c r="E20" s="2" t="s">
        <v>996</v>
      </c>
      <c r="F20" s="2" t="s">
        <v>960</v>
      </c>
      <c r="G20" s="2" t="s">
        <v>997</v>
      </c>
      <c r="H20" s="2" t="s">
        <v>998</v>
      </c>
      <c r="I20" s="2" t="s">
        <v>999</v>
      </c>
      <c r="J20" s="2" t="s">
        <v>1000</v>
      </c>
      <c r="K20" s="2" t="s">
        <v>961</v>
      </c>
      <c r="L20" s="2" t="s">
        <v>1001</v>
      </c>
      <c r="M20" s="2" t="s">
        <v>959</v>
      </c>
      <c r="N20" s="2" t="s">
        <v>1002</v>
      </c>
      <c r="O20" s="2" t="s">
        <v>955</v>
      </c>
    </row>
    <row r="21" spans="2:15">
      <c r="B21" s="2" t="s">
        <v>9</v>
      </c>
      <c r="C21" s="3" t="e">
        <f t="shared" ref="C21:N31" si="3">COUNTIFS(DPROUT1,$B$21:$B$31,PKOUT1,$C$19,BULANOUT1,$C$20:$N$20)</f>
        <v>#REF!</v>
      </c>
      <c r="D21" s="3" t="e">
        <f t="shared" si="3"/>
        <v>#REF!</v>
      </c>
      <c r="E21" s="3" t="e">
        <f t="shared" si="3"/>
        <v>#REF!</v>
      </c>
      <c r="F21" s="3" t="e">
        <f t="shared" si="3"/>
        <v>#REF!</v>
      </c>
      <c r="G21" s="3" t="e">
        <f t="shared" si="3"/>
        <v>#REF!</v>
      </c>
      <c r="H21" s="3" t="e">
        <f t="shared" si="3"/>
        <v>#REF!</v>
      </c>
      <c r="I21" s="3" t="e">
        <f t="shared" si="3"/>
        <v>#REF!</v>
      </c>
      <c r="J21" s="3" t="e">
        <f t="shared" si="3"/>
        <v>#REF!</v>
      </c>
      <c r="K21" s="3" t="e">
        <f t="shared" si="3"/>
        <v>#REF!</v>
      </c>
      <c r="L21" s="3" t="e">
        <f t="shared" si="3"/>
        <v>#REF!</v>
      </c>
      <c r="M21" s="3" t="e">
        <f t="shared" si="3"/>
        <v>#REF!</v>
      </c>
      <c r="N21" s="3" t="e">
        <f t="shared" si="3"/>
        <v>#REF!</v>
      </c>
      <c r="O21" s="4" t="e">
        <f>SUM(C21:N21)</f>
        <v>#REF!</v>
      </c>
    </row>
    <row r="22" spans="2:15">
      <c r="B22" s="2" t="s">
        <v>300</v>
      </c>
      <c r="C22" s="3" t="e">
        <f t="shared" si="3"/>
        <v>#REF!</v>
      </c>
      <c r="D22" s="3" t="e">
        <f t="shared" si="3"/>
        <v>#REF!</v>
      </c>
      <c r="E22" s="3" t="e">
        <f t="shared" si="3"/>
        <v>#REF!</v>
      </c>
      <c r="F22" s="3" t="e">
        <f t="shared" si="3"/>
        <v>#REF!</v>
      </c>
      <c r="G22" s="3" t="e">
        <f t="shared" si="3"/>
        <v>#REF!</v>
      </c>
      <c r="H22" s="3" t="e">
        <f t="shared" si="3"/>
        <v>#REF!</v>
      </c>
      <c r="I22" s="3" t="e">
        <f t="shared" si="3"/>
        <v>#REF!</v>
      </c>
      <c r="J22" s="3" t="e">
        <f t="shared" si="3"/>
        <v>#REF!</v>
      </c>
      <c r="K22" s="3" t="e">
        <f t="shared" si="3"/>
        <v>#REF!</v>
      </c>
      <c r="L22" s="3" t="e">
        <f t="shared" si="3"/>
        <v>#REF!</v>
      </c>
      <c r="M22" s="3" t="e">
        <f t="shared" si="3"/>
        <v>#REF!</v>
      </c>
      <c r="N22" s="3" t="e">
        <f t="shared" si="3"/>
        <v>#REF!</v>
      </c>
      <c r="O22" s="4" t="e">
        <f t="shared" ref="O22:O31" si="4">SUM(C22:N22)</f>
        <v>#REF!</v>
      </c>
    </row>
    <row r="23" spans="2:15">
      <c r="B23" s="2" t="s">
        <v>444</v>
      </c>
      <c r="C23" s="3" t="e">
        <f t="shared" si="3"/>
        <v>#REF!</v>
      </c>
      <c r="D23" s="3" t="e">
        <f t="shared" si="3"/>
        <v>#REF!</v>
      </c>
      <c r="E23" s="3" t="e">
        <f t="shared" si="3"/>
        <v>#REF!</v>
      </c>
      <c r="F23" s="3" t="e">
        <f t="shared" si="3"/>
        <v>#REF!</v>
      </c>
      <c r="G23" s="3" t="e">
        <f t="shared" si="3"/>
        <v>#REF!</v>
      </c>
      <c r="H23" s="3" t="e">
        <f t="shared" si="3"/>
        <v>#REF!</v>
      </c>
      <c r="I23" s="3" t="e">
        <f t="shared" si="3"/>
        <v>#REF!</v>
      </c>
      <c r="J23" s="3" t="e">
        <f t="shared" si="3"/>
        <v>#REF!</v>
      </c>
      <c r="K23" s="3" t="e">
        <f t="shared" si="3"/>
        <v>#REF!</v>
      </c>
      <c r="L23" s="3" t="e">
        <f t="shared" si="3"/>
        <v>#REF!</v>
      </c>
      <c r="M23" s="3" t="e">
        <f t="shared" si="3"/>
        <v>#REF!</v>
      </c>
      <c r="N23" s="3" t="e">
        <f t="shared" si="3"/>
        <v>#REF!</v>
      </c>
      <c r="O23" s="4" t="e">
        <f t="shared" si="4"/>
        <v>#REF!</v>
      </c>
    </row>
    <row r="24" spans="2:15">
      <c r="B24" s="2" t="s">
        <v>450</v>
      </c>
      <c r="C24" s="3" t="e">
        <f t="shared" si="3"/>
        <v>#REF!</v>
      </c>
      <c r="D24" s="3" t="e">
        <f t="shared" si="3"/>
        <v>#REF!</v>
      </c>
      <c r="E24" s="3" t="e">
        <f t="shared" si="3"/>
        <v>#REF!</v>
      </c>
      <c r="F24" s="3" t="e">
        <f t="shared" si="3"/>
        <v>#REF!</v>
      </c>
      <c r="G24" s="3" t="e">
        <f t="shared" si="3"/>
        <v>#REF!</v>
      </c>
      <c r="H24" s="3" t="e">
        <f t="shared" si="3"/>
        <v>#REF!</v>
      </c>
      <c r="I24" s="3" t="e">
        <f t="shared" si="3"/>
        <v>#REF!</v>
      </c>
      <c r="J24" s="3" t="e">
        <f t="shared" si="3"/>
        <v>#REF!</v>
      </c>
      <c r="K24" s="3" t="e">
        <f t="shared" si="3"/>
        <v>#REF!</v>
      </c>
      <c r="L24" s="3" t="e">
        <f t="shared" si="3"/>
        <v>#REF!</v>
      </c>
      <c r="M24" s="3" t="e">
        <f t="shared" si="3"/>
        <v>#REF!</v>
      </c>
      <c r="N24" s="3" t="e">
        <f t="shared" si="3"/>
        <v>#REF!</v>
      </c>
      <c r="O24" s="4" t="e">
        <f t="shared" si="4"/>
        <v>#REF!</v>
      </c>
    </row>
    <row r="25" spans="2:15">
      <c r="B25" s="2" t="s">
        <v>415</v>
      </c>
      <c r="C25" s="3" t="e">
        <f t="shared" si="3"/>
        <v>#REF!</v>
      </c>
      <c r="D25" s="3" t="e">
        <f t="shared" si="3"/>
        <v>#REF!</v>
      </c>
      <c r="E25" s="3" t="e">
        <f t="shared" si="3"/>
        <v>#REF!</v>
      </c>
      <c r="F25" s="3" t="e">
        <f t="shared" si="3"/>
        <v>#REF!</v>
      </c>
      <c r="G25" s="3" t="e">
        <f t="shared" si="3"/>
        <v>#REF!</v>
      </c>
      <c r="H25" s="3" t="e">
        <f t="shared" si="3"/>
        <v>#REF!</v>
      </c>
      <c r="I25" s="3" t="e">
        <f t="shared" si="3"/>
        <v>#REF!</v>
      </c>
      <c r="J25" s="3" t="e">
        <f t="shared" si="3"/>
        <v>#REF!</v>
      </c>
      <c r="K25" s="3" t="e">
        <f t="shared" si="3"/>
        <v>#REF!</v>
      </c>
      <c r="L25" s="3" t="e">
        <f t="shared" si="3"/>
        <v>#REF!</v>
      </c>
      <c r="M25" s="3" t="e">
        <f t="shared" si="3"/>
        <v>#REF!</v>
      </c>
      <c r="N25" s="3" t="e">
        <f t="shared" si="3"/>
        <v>#REF!</v>
      </c>
      <c r="O25" s="4" t="e">
        <f t="shared" si="4"/>
        <v>#REF!</v>
      </c>
    </row>
    <row r="26" spans="2:15">
      <c r="B26" s="2" t="s">
        <v>419</v>
      </c>
      <c r="C26" s="3" t="e">
        <f t="shared" si="3"/>
        <v>#REF!</v>
      </c>
      <c r="D26" s="3" t="e">
        <f t="shared" si="3"/>
        <v>#REF!</v>
      </c>
      <c r="E26" s="3" t="e">
        <f t="shared" si="3"/>
        <v>#REF!</v>
      </c>
      <c r="F26" s="3" t="e">
        <f t="shared" si="3"/>
        <v>#REF!</v>
      </c>
      <c r="G26" s="3" t="e">
        <f t="shared" si="3"/>
        <v>#REF!</v>
      </c>
      <c r="H26" s="3" t="e">
        <f t="shared" si="3"/>
        <v>#REF!</v>
      </c>
      <c r="I26" s="3" t="e">
        <f t="shared" si="3"/>
        <v>#REF!</v>
      </c>
      <c r="J26" s="3" t="e">
        <f t="shared" si="3"/>
        <v>#REF!</v>
      </c>
      <c r="K26" s="3" t="e">
        <f t="shared" si="3"/>
        <v>#REF!</v>
      </c>
      <c r="L26" s="3" t="e">
        <f t="shared" si="3"/>
        <v>#REF!</v>
      </c>
      <c r="M26" s="3" t="e">
        <f t="shared" si="3"/>
        <v>#REF!</v>
      </c>
      <c r="N26" s="3" t="e">
        <f t="shared" si="3"/>
        <v>#REF!</v>
      </c>
      <c r="O26" s="4" t="e">
        <f t="shared" si="4"/>
        <v>#REF!</v>
      </c>
    </row>
    <row r="27" spans="2:15">
      <c r="B27" s="2" t="s">
        <v>420</v>
      </c>
      <c r="C27" s="3" t="e">
        <f t="shared" si="3"/>
        <v>#REF!</v>
      </c>
      <c r="D27" s="3" t="e">
        <f t="shared" si="3"/>
        <v>#REF!</v>
      </c>
      <c r="E27" s="3" t="e">
        <f t="shared" si="3"/>
        <v>#REF!</v>
      </c>
      <c r="F27" s="3" t="e">
        <f t="shared" si="3"/>
        <v>#REF!</v>
      </c>
      <c r="G27" s="3" t="e">
        <f t="shared" si="3"/>
        <v>#REF!</v>
      </c>
      <c r="H27" s="3" t="e">
        <f t="shared" si="3"/>
        <v>#REF!</v>
      </c>
      <c r="I27" s="3" t="e">
        <f t="shared" si="3"/>
        <v>#REF!</v>
      </c>
      <c r="J27" s="3" t="e">
        <f t="shared" si="3"/>
        <v>#REF!</v>
      </c>
      <c r="K27" s="3" t="e">
        <f t="shared" si="3"/>
        <v>#REF!</v>
      </c>
      <c r="L27" s="3" t="e">
        <f t="shared" si="3"/>
        <v>#REF!</v>
      </c>
      <c r="M27" s="3" t="e">
        <f t="shared" si="3"/>
        <v>#REF!</v>
      </c>
      <c r="N27" s="3" t="e">
        <f t="shared" si="3"/>
        <v>#REF!</v>
      </c>
      <c r="O27" s="4" t="e">
        <f t="shared" si="4"/>
        <v>#REF!</v>
      </c>
    </row>
    <row r="28" spans="2:15">
      <c r="B28" s="2" t="s">
        <v>456</v>
      </c>
      <c r="C28" s="3" t="e">
        <f t="shared" si="3"/>
        <v>#REF!</v>
      </c>
      <c r="D28" s="3" t="e">
        <f t="shared" si="3"/>
        <v>#REF!</v>
      </c>
      <c r="E28" s="3" t="e">
        <f t="shared" si="3"/>
        <v>#REF!</v>
      </c>
      <c r="F28" s="3" t="e">
        <f t="shared" si="3"/>
        <v>#REF!</v>
      </c>
      <c r="G28" s="3" t="e">
        <f t="shared" si="3"/>
        <v>#REF!</v>
      </c>
      <c r="H28" s="3" t="e">
        <f t="shared" si="3"/>
        <v>#REF!</v>
      </c>
      <c r="I28" s="3" t="e">
        <f t="shared" si="3"/>
        <v>#REF!</v>
      </c>
      <c r="J28" s="3" t="e">
        <f t="shared" si="3"/>
        <v>#REF!</v>
      </c>
      <c r="K28" s="3" t="e">
        <f t="shared" si="3"/>
        <v>#REF!</v>
      </c>
      <c r="L28" s="3" t="e">
        <f t="shared" si="3"/>
        <v>#REF!</v>
      </c>
      <c r="M28" s="3" t="e">
        <f t="shared" si="3"/>
        <v>#REF!</v>
      </c>
      <c r="N28" s="3" t="e">
        <f t="shared" si="3"/>
        <v>#REF!</v>
      </c>
      <c r="O28" s="4" t="e">
        <f t="shared" si="4"/>
        <v>#REF!</v>
      </c>
    </row>
    <row r="29" spans="2:15">
      <c r="B29" s="2" t="s">
        <v>455</v>
      </c>
      <c r="C29" s="3" t="e">
        <f t="shared" si="3"/>
        <v>#REF!</v>
      </c>
      <c r="D29" s="3" t="e">
        <f t="shared" si="3"/>
        <v>#REF!</v>
      </c>
      <c r="E29" s="3" t="e">
        <f t="shared" si="3"/>
        <v>#REF!</v>
      </c>
      <c r="F29" s="3" t="e">
        <f t="shared" si="3"/>
        <v>#REF!</v>
      </c>
      <c r="G29" s="3" t="e">
        <f t="shared" si="3"/>
        <v>#REF!</v>
      </c>
      <c r="H29" s="3" t="e">
        <f t="shared" si="3"/>
        <v>#REF!</v>
      </c>
      <c r="I29" s="3" t="e">
        <f t="shared" si="3"/>
        <v>#REF!</v>
      </c>
      <c r="J29" s="3" t="e">
        <f t="shared" si="3"/>
        <v>#REF!</v>
      </c>
      <c r="K29" s="3" t="e">
        <f t="shared" si="3"/>
        <v>#REF!</v>
      </c>
      <c r="L29" s="3" t="e">
        <f t="shared" si="3"/>
        <v>#REF!</v>
      </c>
      <c r="M29" s="3" t="e">
        <f t="shared" si="3"/>
        <v>#REF!</v>
      </c>
      <c r="N29" s="3" t="e">
        <f t="shared" si="3"/>
        <v>#REF!</v>
      </c>
      <c r="O29" s="4" t="e">
        <f t="shared" si="4"/>
        <v>#REF!</v>
      </c>
    </row>
    <row r="30" spans="2:15">
      <c r="B30" s="2" t="s">
        <v>440</v>
      </c>
      <c r="C30" s="3" t="e">
        <f t="shared" si="3"/>
        <v>#REF!</v>
      </c>
      <c r="D30" s="3" t="e">
        <f t="shared" si="3"/>
        <v>#REF!</v>
      </c>
      <c r="E30" s="3" t="e">
        <f t="shared" si="3"/>
        <v>#REF!</v>
      </c>
      <c r="F30" s="3" t="e">
        <f t="shared" si="3"/>
        <v>#REF!</v>
      </c>
      <c r="G30" s="3" t="e">
        <f t="shared" si="3"/>
        <v>#REF!</v>
      </c>
      <c r="H30" s="3" t="e">
        <f t="shared" si="3"/>
        <v>#REF!</v>
      </c>
      <c r="I30" s="3" t="e">
        <f t="shared" si="3"/>
        <v>#REF!</v>
      </c>
      <c r="J30" s="3" t="e">
        <f t="shared" si="3"/>
        <v>#REF!</v>
      </c>
      <c r="K30" s="3" t="e">
        <f t="shared" si="3"/>
        <v>#REF!</v>
      </c>
      <c r="L30" s="3" t="e">
        <f t="shared" si="3"/>
        <v>#REF!</v>
      </c>
      <c r="M30" s="3" t="e">
        <f t="shared" si="3"/>
        <v>#REF!</v>
      </c>
      <c r="N30" s="3" t="e">
        <f t="shared" si="3"/>
        <v>#REF!</v>
      </c>
      <c r="O30" s="4" t="e">
        <f t="shared" si="4"/>
        <v>#REF!</v>
      </c>
    </row>
    <row r="31" spans="2:15">
      <c r="B31" s="2" t="s">
        <v>483</v>
      </c>
      <c r="C31" s="3" t="e">
        <f t="shared" si="3"/>
        <v>#REF!</v>
      </c>
      <c r="D31" s="3" t="e">
        <f t="shared" si="3"/>
        <v>#REF!</v>
      </c>
      <c r="E31" s="3" t="e">
        <f t="shared" si="3"/>
        <v>#REF!</v>
      </c>
      <c r="F31" s="3" t="e">
        <f t="shared" si="3"/>
        <v>#REF!</v>
      </c>
      <c r="G31" s="3" t="e">
        <f t="shared" si="3"/>
        <v>#REF!</v>
      </c>
      <c r="H31" s="3" t="e">
        <f t="shared" si="3"/>
        <v>#REF!</v>
      </c>
      <c r="I31" s="3" t="e">
        <f t="shared" si="3"/>
        <v>#REF!</v>
      </c>
      <c r="J31" s="3" t="e">
        <f t="shared" si="3"/>
        <v>#REF!</v>
      </c>
      <c r="K31" s="3" t="e">
        <f t="shared" si="3"/>
        <v>#REF!</v>
      </c>
      <c r="L31" s="3" t="e">
        <f t="shared" si="3"/>
        <v>#REF!</v>
      </c>
      <c r="M31" s="3" t="e">
        <f t="shared" si="3"/>
        <v>#REF!</v>
      </c>
      <c r="N31" s="3" t="e">
        <f t="shared" si="3"/>
        <v>#REF!</v>
      </c>
      <c r="O31" s="4" t="e">
        <f t="shared" si="4"/>
        <v>#REF!</v>
      </c>
    </row>
    <row r="32" spans="2:15">
      <c r="B32" s="2" t="s">
        <v>955</v>
      </c>
      <c r="C32" s="4" t="e">
        <f t="shared" ref="C32" si="5">SUM(C21:C31)</f>
        <v>#REF!</v>
      </c>
      <c r="D32" s="4" t="e">
        <f t="shared" ref="D32" si="6">SUM(D21:D31)</f>
        <v>#REF!</v>
      </c>
      <c r="E32" s="4" t="e">
        <f t="shared" ref="E32" si="7">SUM(E21:E31)</f>
        <v>#REF!</v>
      </c>
      <c r="F32" s="4" t="e">
        <f t="shared" ref="F32" si="8">SUM(F21:F31)</f>
        <v>#REF!</v>
      </c>
      <c r="G32" s="4" t="e">
        <f t="shared" ref="G32" si="9">SUM(G21:G31)</f>
        <v>#REF!</v>
      </c>
      <c r="H32" s="4" t="e">
        <f t="shared" ref="H32" si="10">SUM(H21:H31)</f>
        <v>#REF!</v>
      </c>
      <c r="I32" s="4" t="e">
        <f t="shared" ref="I32" si="11">SUM(I21:I31)</f>
        <v>#REF!</v>
      </c>
      <c r="J32" s="4" t="e">
        <f t="shared" ref="J32" si="12">SUM(J21:J31)</f>
        <v>#REF!</v>
      </c>
      <c r="K32" s="4" t="e">
        <f t="shared" ref="K32" si="13">SUM(K21:K31)</f>
        <v>#REF!</v>
      </c>
      <c r="L32" s="4" t="e">
        <f t="shared" ref="L32" si="14">SUM(L21:L31)</f>
        <v>#REF!</v>
      </c>
      <c r="M32" s="4" t="e">
        <f t="shared" ref="M32" si="15">SUM(M21:M31)</f>
        <v>#REF!</v>
      </c>
      <c r="N32" s="4" t="e">
        <f t="shared" ref="N32:O32" si="16">SUM(N21:N31)</f>
        <v>#REF!</v>
      </c>
      <c r="O32" s="4" t="e">
        <f t="shared" si="16"/>
        <v>#REF!</v>
      </c>
    </row>
    <row r="37" spans="2:15" ht="23.25">
      <c r="B37" s="92" t="s">
        <v>1003</v>
      </c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</row>
    <row r="38" spans="2:15">
      <c r="B38" s="1" t="s">
        <v>956</v>
      </c>
      <c r="C38" s="1" t="s">
        <v>10</v>
      </c>
    </row>
    <row r="39" spans="2:15">
      <c r="B39" s="2" t="s">
        <v>4</v>
      </c>
      <c r="C39" s="2" t="s">
        <v>994</v>
      </c>
      <c r="D39" s="2" t="s">
        <v>995</v>
      </c>
      <c r="E39" s="2" t="s">
        <v>996</v>
      </c>
      <c r="F39" s="2" t="s">
        <v>960</v>
      </c>
      <c r="G39" s="2" t="s">
        <v>997</v>
      </c>
      <c r="H39" s="2" t="s">
        <v>998</v>
      </c>
      <c r="I39" s="2" t="s">
        <v>999</v>
      </c>
      <c r="J39" s="2" t="s">
        <v>1000</v>
      </c>
      <c r="K39" s="2" t="s">
        <v>961</v>
      </c>
      <c r="L39" s="2" t="s">
        <v>1001</v>
      </c>
      <c r="M39" s="2" t="s">
        <v>959</v>
      </c>
      <c r="N39" s="2" t="s">
        <v>1002</v>
      </c>
      <c r="O39" s="2" t="s">
        <v>955</v>
      </c>
    </row>
    <row r="40" spans="2:15">
      <c r="B40" s="2" t="s">
        <v>9</v>
      </c>
      <c r="C40" s="3" t="e">
        <f t="shared" ref="C40:N50" si="17">COUNTIFS(DPROUT1,$B$21:$B$31,PKOUT1,$C$19,BULANOUT1,$C$20:$N$20)</f>
        <v>#REF!</v>
      </c>
      <c r="D40" s="3" t="e">
        <f t="shared" si="17"/>
        <v>#REF!</v>
      </c>
      <c r="E40" s="3" t="e">
        <f t="shared" si="17"/>
        <v>#REF!</v>
      </c>
      <c r="F40" s="3" t="e">
        <f t="shared" si="17"/>
        <v>#REF!</v>
      </c>
      <c r="G40" s="3" t="e">
        <f t="shared" si="17"/>
        <v>#REF!</v>
      </c>
      <c r="H40" s="3" t="e">
        <f t="shared" si="17"/>
        <v>#REF!</v>
      </c>
      <c r="I40" s="3" t="e">
        <f t="shared" si="17"/>
        <v>#REF!</v>
      </c>
      <c r="J40" s="3" t="e">
        <f t="shared" si="17"/>
        <v>#REF!</v>
      </c>
      <c r="K40" s="3" t="e">
        <f t="shared" si="17"/>
        <v>#REF!</v>
      </c>
      <c r="L40" s="3" t="e">
        <f t="shared" si="17"/>
        <v>#REF!</v>
      </c>
      <c r="M40" s="3" t="e">
        <f t="shared" si="17"/>
        <v>#REF!</v>
      </c>
      <c r="N40" s="3" t="e">
        <f t="shared" si="17"/>
        <v>#REF!</v>
      </c>
      <c r="O40" s="3" t="e">
        <f>SUM(C40:N40)</f>
        <v>#REF!</v>
      </c>
    </row>
    <row r="41" spans="2:15">
      <c r="B41" s="2" t="s">
        <v>300</v>
      </c>
      <c r="C41" s="3" t="e">
        <f t="shared" si="17"/>
        <v>#REF!</v>
      </c>
      <c r="D41" s="3" t="e">
        <f t="shared" si="17"/>
        <v>#REF!</v>
      </c>
      <c r="E41" s="3" t="e">
        <f t="shared" si="17"/>
        <v>#REF!</v>
      </c>
      <c r="F41" s="3" t="e">
        <f t="shared" si="17"/>
        <v>#REF!</v>
      </c>
      <c r="G41" s="3" t="e">
        <f t="shared" si="17"/>
        <v>#REF!</v>
      </c>
      <c r="H41" s="3" t="e">
        <f t="shared" si="17"/>
        <v>#REF!</v>
      </c>
      <c r="I41" s="3" t="e">
        <f t="shared" si="17"/>
        <v>#REF!</v>
      </c>
      <c r="J41" s="3" t="e">
        <f t="shared" si="17"/>
        <v>#REF!</v>
      </c>
      <c r="K41" s="3" t="e">
        <f t="shared" si="17"/>
        <v>#REF!</v>
      </c>
      <c r="L41" s="3" t="e">
        <f t="shared" si="17"/>
        <v>#REF!</v>
      </c>
      <c r="M41" s="3" t="e">
        <f t="shared" si="17"/>
        <v>#REF!</v>
      </c>
      <c r="N41" s="3" t="e">
        <f t="shared" si="17"/>
        <v>#REF!</v>
      </c>
      <c r="O41" s="3" t="e">
        <f t="shared" ref="O41:O50" si="18">SUM(C41:N41)</f>
        <v>#REF!</v>
      </c>
    </row>
    <row r="42" spans="2:15">
      <c r="B42" s="2" t="s">
        <v>444</v>
      </c>
      <c r="C42" s="3" t="e">
        <f t="shared" si="17"/>
        <v>#REF!</v>
      </c>
      <c r="D42" s="3" t="e">
        <f t="shared" si="17"/>
        <v>#REF!</v>
      </c>
      <c r="E42" s="3" t="e">
        <f t="shared" si="17"/>
        <v>#REF!</v>
      </c>
      <c r="F42" s="3" t="e">
        <f t="shared" si="17"/>
        <v>#REF!</v>
      </c>
      <c r="G42" s="3" t="e">
        <f t="shared" si="17"/>
        <v>#REF!</v>
      </c>
      <c r="H42" s="3" t="e">
        <f t="shared" si="17"/>
        <v>#REF!</v>
      </c>
      <c r="I42" s="3" t="e">
        <f t="shared" si="17"/>
        <v>#REF!</v>
      </c>
      <c r="J42" s="3" t="e">
        <f t="shared" si="17"/>
        <v>#REF!</v>
      </c>
      <c r="K42" s="3" t="e">
        <f t="shared" si="17"/>
        <v>#REF!</v>
      </c>
      <c r="L42" s="3" t="e">
        <f t="shared" si="17"/>
        <v>#REF!</v>
      </c>
      <c r="M42" s="3" t="e">
        <f t="shared" si="17"/>
        <v>#REF!</v>
      </c>
      <c r="N42" s="3" t="e">
        <f t="shared" si="17"/>
        <v>#REF!</v>
      </c>
      <c r="O42" s="3" t="e">
        <f t="shared" si="18"/>
        <v>#REF!</v>
      </c>
    </row>
    <row r="43" spans="2:15">
      <c r="B43" s="2" t="s">
        <v>450</v>
      </c>
      <c r="C43" s="3" t="e">
        <f t="shared" si="17"/>
        <v>#REF!</v>
      </c>
      <c r="D43" s="3" t="e">
        <f t="shared" si="17"/>
        <v>#REF!</v>
      </c>
      <c r="E43" s="3" t="e">
        <f t="shared" si="17"/>
        <v>#REF!</v>
      </c>
      <c r="F43" s="3" t="e">
        <f t="shared" si="17"/>
        <v>#REF!</v>
      </c>
      <c r="G43" s="3" t="e">
        <f t="shared" si="17"/>
        <v>#REF!</v>
      </c>
      <c r="H43" s="3" t="e">
        <f t="shared" si="17"/>
        <v>#REF!</v>
      </c>
      <c r="I43" s="3" t="e">
        <f t="shared" si="17"/>
        <v>#REF!</v>
      </c>
      <c r="J43" s="3" t="e">
        <f t="shared" si="17"/>
        <v>#REF!</v>
      </c>
      <c r="K43" s="3" t="e">
        <f t="shared" si="17"/>
        <v>#REF!</v>
      </c>
      <c r="L43" s="3" t="e">
        <f t="shared" si="17"/>
        <v>#REF!</v>
      </c>
      <c r="M43" s="3" t="e">
        <f t="shared" si="17"/>
        <v>#REF!</v>
      </c>
      <c r="N43" s="3" t="e">
        <f t="shared" si="17"/>
        <v>#REF!</v>
      </c>
      <c r="O43" s="3" t="e">
        <f t="shared" si="18"/>
        <v>#REF!</v>
      </c>
    </row>
    <row r="44" spans="2:15">
      <c r="B44" s="2" t="s">
        <v>415</v>
      </c>
      <c r="C44" s="3" t="e">
        <f t="shared" si="17"/>
        <v>#REF!</v>
      </c>
      <c r="D44" s="3" t="e">
        <f t="shared" si="17"/>
        <v>#REF!</v>
      </c>
      <c r="E44" s="3" t="e">
        <f t="shared" si="17"/>
        <v>#REF!</v>
      </c>
      <c r="F44" s="3" t="e">
        <f t="shared" si="17"/>
        <v>#REF!</v>
      </c>
      <c r="G44" s="3" t="e">
        <f t="shared" si="17"/>
        <v>#REF!</v>
      </c>
      <c r="H44" s="3" t="e">
        <f t="shared" si="17"/>
        <v>#REF!</v>
      </c>
      <c r="I44" s="3" t="e">
        <f t="shared" si="17"/>
        <v>#REF!</v>
      </c>
      <c r="J44" s="3" t="e">
        <f t="shared" si="17"/>
        <v>#REF!</v>
      </c>
      <c r="K44" s="3" t="e">
        <f t="shared" si="17"/>
        <v>#REF!</v>
      </c>
      <c r="L44" s="3" t="e">
        <f t="shared" si="17"/>
        <v>#REF!</v>
      </c>
      <c r="M44" s="3" t="e">
        <f t="shared" si="17"/>
        <v>#REF!</v>
      </c>
      <c r="N44" s="3" t="e">
        <f t="shared" si="17"/>
        <v>#REF!</v>
      </c>
      <c r="O44" s="3" t="e">
        <f t="shared" si="18"/>
        <v>#REF!</v>
      </c>
    </row>
    <row r="45" spans="2:15">
      <c r="B45" s="2" t="s">
        <v>419</v>
      </c>
      <c r="C45" s="3" t="e">
        <f t="shared" si="17"/>
        <v>#REF!</v>
      </c>
      <c r="D45" s="3" t="e">
        <f t="shared" si="17"/>
        <v>#REF!</v>
      </c>
      <c r="E45" s="3" t="e">
        <f t="shared" si="17"/>
        <v>#REF!</v>
      </c>
      <c r="F45" s="3" t="e">
        <f t="shared" si="17"/>
        <v>#REF!</v>
      </c>
      <c r="G45" s="3" t="e">
        <f t="shared" si="17"/>
        <v>#REF!</v>
      </c>
      <c r="H45" s="3" t="e">
        <f t="shared" si="17"/>
        <v>#REF!</v>
      </c>
      <c r="I45" s="3" t="e">
        <f t="shared" si="17"/>
        <v>#REF!</v>
      </c>
      <c r="J45" s="3" t="e">
        <f t="shared" si="17"/>
        <v>#REF!</v>
      </c>
      <c r="K45" s="3" t="e">
        <f t="shared" si="17"/>
        <v>#REF!</v>
      </c>
      <c r="L45" s="3" t="e">
        <f t="shared" si="17"/>
        <v>#REF!</v>
      </c>
      <c r="M45" s="3" t="e">
        <f t="shared" si="17"/>
        <v>#REF!</v>
      </c>
      <c r="N45" s="3" t="e">
        <f t="shared" si="17"/>
        <v>#REF!</v>
      </c>
      <c r="O45" s="3" t="e">
        <f t="shared" si="18"/>
        <v>#REF!</v>
      </c>
    </row>
    <row r="46" spans="2:15">
      <c r="B46" s="2" t="s">
        <v>420</v>
      </c>
      <c r="C46" s="3" t="e">
        <f t="shared" si="17"/>
        <v>#REF!</v>
      </c>
      <c r="D46" s="3" t="e">
        <f t="shared" si="17"/>
        <v>#REF!</v>
      </c>
      <c r="E46" s="3" t="e">
        <f t="shared" si="17"/>
        <v>#REF!</v>
      </c>
      <c r="F46" s="3" t="e">
        <f t="shared" si="17"/>
        <v>#REF!</v>
      </c>
      <c r="G46" s="3" t="e">
        <f t="shared" si="17"/>
        <v>#REF!</v>
      </c>
      <c r="H46" s="3" t="e">
        <f t="shared" si="17"/>
        <v>#REF!</v>
      </c>
      <c r="I46" s="3" t="e">
        <f t="shared" si="17"/>
        <v>#REF!</v>
      </c>
      <c r="J46" s="3" t="e">
        <f t="shared" si="17"/>
        <v>#REF!</v>
      </c>
      <c r="K46" s="3" t="e">
        <f t="shared" si="17"/>
        <v>#REF!</v>
      </c>
      <c r="L46" s="3" t="e">
        <f t="shared" si="17"/>
        <v>#REF!</v>
      </c>
      <c r="M46" s="3" t="e">
        <f t="shared" si="17"/>
        <v>#REF!</v>
      </c>
      <c r="N46" s="3" t="e">
        <f t="shared" si="17"/>
        <v>#REF!</v>
      </c>
      <c r="O46" s="3" t="e">
        <f t="shared" si="18"/>
        <v>#REF!</v>
      </c>
    </row>
    <row r="47" spans="2:15">
      <c r="B47" s="2" t="s">
        <v>456</v>
      </c>
      <c r="C47" s="3" t="e">
        <f t="shared" si="17"/>
        <v>#REF!</v>
      </c>
      <c r="D47" s="3" t="e">
        <f t="shared" si="17"/>
        <v>#REF!</v>
      </c>
      <c r="E47" s="3" t="e">
        <f t="shared" si="17"/>
        <v>#REF!</v>
      </c>
      <c r="F47" s="3" t="e">
        <f t="shared" si="17"/>
        <v>#REF!</v>
      </c>
      <c r="G47" s="3" t="e">
        <f t="shared" si="17"/>
        <v>#REF!</v>
      </c>
      <c r="H47" s="3" t="e">
        <f t="shared" si="17"/>
        <v>#REF!</v>
      </c>
      <c r="I47" s="3" t="e">
        <f t="shared" si="17"/>
        <v>#REF!</v>
      </c>
      <c r="J47" s="3" t="e">
        <f t="shared" si="17"/>
        <v>#REF!</v>
      </c>
      <c r="K47" s="3" t="e">
        <f t="shared" si="17"/>
        <v>#REF!</v>
      </c>
      <c r="L47" s="3" t="e">
        <f t="shared" si="17"/>
        <v>#REF!</v>
      </c>
      <c r="M47" s="3" t="e">
        <f t="shared" si="17"/>
        <v>#REF!</v>
      </c>
      <c r="N47" s="3" t="e">
        <f t="shared" si="17"/>
        <v>#REF!</v>
      </c>
      <c r="O47" s="3" t="e">
        <f t="shared" si="18"/>
        <v>#REF!</v>
      </c>
    </row>
    <row r="48" spans="2:15">
      <c r="B48" s="2" t="s">
        <v>455</v>
      </c>
      <c r="C48" s="3" t="e">
        <f t="shared" si="17"/>
        <v>#REF!</v>
      </c>
      <c r="D48" s="3" t="e">
        <f t="shared" si="17"/>
        <v>#REF!</v>
      </c>
      <c r="E48" s="3" t="e">
        <f t="shared" si="17"/>
        <v>#REF!</v>
      </c>
      <c r="F48" s="3" t="e">
        <f t="shared" si="17"/>
        <v>#REF!</v>
      </c>
      <c r="G48" s="3" t="e">
        <f t="shared" si="17"/>
        <v>#REF!</v>
      </c>
      <c r="H48" s="3" t="e">
        <f t="shared" si="17"/>
        <v>#REF!</v>
      </c>
      <c r="I48" s="3" t="e">
        <f t="shared" si="17"/>
        <v>#REF!</v>
      </c>
      <c r="J48" s="3" t="e">
        <f t="shared" si="17"/>
        <v>#REF!</v>
      </c>
      <c r="K48" s="3" t="e">
        <f t="shared" si="17"/>
        <v>#REF!</v>
      </c>
      <c r="L48" s="3" t="e">
        <f t="shared" si="17"/>
        <v>#REF!</v>
      </c>
      <c r="M48" s="3" t="e">
        <f t="shared" si="17"/>
        <v>#REF!</v>
      </c>
      <c r="N48" s="3" t="e">
        <f t="shared" si="17"/>
        <v>#REF!</v>
      </c>
      <c r="O48" s="3" t="e">
        <f t="shared" si="18"/>
        <v>#REF!</v>
      </c>
    </row>
    <row r="49" spans="2:15">
      <c r="B49" s="2" t="s">
        <v>440</v>
      </c>
      <c r="C49" s="3" t="e">
        <f t="shared" si="17"/>
        <v>#REF!</v>
      </c>
      <c r="D49" s="3" t="e">
        <f t="shared" si="17"/>
        <v>#REF!</v>
      </c>
      <c r="E49" s="3" t="e">
        <f t="shared" si="17"/>
        <v>#REF!</v>
      </c>
      <c r="F49" s="3" t="e">
        <f t="shared" si="17"/>
        <v>#REF!</v>
      </c>
      <c r="G49" s="3" t="e">
        <f t="shared" si="17"/>
        <v>#REF!</v>
      </c>
      <c r="H49" s="3" t="e">
        <f t="shared" si="17"/>
        <v>#REF!</v>
      </c>
      <c r="I49" s="3" t="e">
        <f t="shared" si="17"/>
        <v>#REF!</v>
      </c>
      <c r="J49" s="3" t="e">
        <f t="shared" si="17"/>
        <v>#REF!</v>
      </c>
      <c r="K49" s="3" t="e">
        <f t="shared" si="17"/>
        <v>#REF!</v>
      </c>
      <c r="L49" s="3" t="e">
        <f t="shared" si="17"/>
        <v>#REF!</v>
      </c>
      <c r="M49" s="3" t="e">
        <f t="shared" si="17"/>
        <v>#REF!</v>
      </c>
      <c r="N49" s="3" t="e">
        <f t="shared" si="17"/>
        <v>#REF!</v>
      </c>
      <c r="O49" s="3" t="e">
        <f t="shared" si="18"/>
        <v>#REF!</v>
      </c>
    </row>
    <row r="50" spans="2:15">
      <c r="B50" s="2" t="s">
        <v>483</v>
      </c>
      <c r="C50" s="3" t="e">
        <f t="shared" si="17"/>
        <v>#REF!</v>
      </c>
      <c r="D50" s="3" t="e">
        <f t="shared" si="17"/>
        <v>#REF!</v>
      </c>
      <c r="E50" s="3" t="e">
        <f t="shared" si="17"/>
        <v>#REF!</v>
      </c>
      <c r="F50" s="3" t="e">
        <f t="shared" si="17"/>
        <v>#REF!</v>
      </c>
      <c r="G50" s="3" t="e">
        <f t="shared" si="17"/>
        <v>#REF!</v>
      </c>
      <c r="H50" s="3" t="e">
        <f t="shared" si="17"/>
        <v>#REF!</v>
      </c>
      <c r="I50" s="3" t="e">
        <f t="shared" si="17"/>
        <v>#REF!</v>
      </c>
      <c r="J50" s="3" t="e">
        <f t="shared" si="17"/>
        <v>#REF!</v>
      </c>
      <c r="K50" s="3" t="e">
        <f t="shared" si="17"/>
        <v>#REF!</v>
      </c>
      <c r="L50" s="3" t="e">
        <f t="shared" si="17"/>
        <v>#REF!</v>
      </c>
      <c r="M50" s="3" t="e">
        <f t="shared" si="17"/>
        <v>#REF!</v>
      </c>
      <c r="N50" s="3" t="e">
        <f t="shared" si="17"/>
        <v>#REF!</v>
      </c>
      <c r="O50" s="3" t="e">
        <f t="shared" si="18"/>
        <v>#REF!</v>
      </c>
    </row>
    <row r="51" spans="2:15">
      <c r="B51" s="2" t="s">
        <v>955</v>
      </c>
      <c r="C51" s="4" t="e">
        <f t="shared" ref="C51:O51" si="19">SUM(C40:C50)</f>
        <v>#REF!</v>
      </c>
      <c r="D51" s="4" t="e">
        <f t="shared" si="19"/>
        <v>#REF!</v>
      </c>
      <c r="E51" s="4" t="e">
        <f t="shared" si="19"/>
        <v>#REF!</v>
      </c>
      <c r="F51" s="4" t="e">
        <f t="shared" si="19"/>
        <v>#REF!</v>
      </c>
      <c r="G51" s="4" t="e">
        <f t="shared" si="19"/>
        <v>#REF!</v>
      </c>
      <c r="H51" s="4" t="e">
        <f t="shared" si="19"/>
        <v>#REF!</v>
      </c>
      <c r="I51" s="4" t="e">
        <f t="shared" si="19"/>
        <v>#REF!</v>
      </c>
      <c r="J51" s="4" t="e">
        <f t="shared" si="19"/>
        <v>#REF!</v>
      </c>
      <c r="K51" s="4" t="e">
        <f t="shared" si="19"/>
        <v>#REF!</v>
      </c>
      <c r="L51" s="4" t="e">
        <f t="shared" si="19"/>
        <v>#REF!</v>
      </c>
      <c r="M51" s="4" t="e">
        <f t="shared" si="19"/>
        <v>#REF!</v>
      </c>
      <c r="N51" s="4" t="e">
        <f t="shared" si="19"/>
        <v>#REF!</v>
      </c>
      <c r="O51" s="4" t="e">
        <f t="shared" si="19"/>
        <v>#REF!</v>
      </c>
    </row>
  </sheetData>
  <mergeCells count="3">
    <mergeCell ref="B2:O2"/>
    <mergeCell ref="B18:O18"/>
    <mergeCell ref="B37:O37"/>
  </mergeCells>
  <conditionalFormatting sqref="C16:N1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{6D0A839F-5E70-46D3-92B8-A1D5622ADD77}</x14:id>
        </ext>
      </extLst>
    </cfRule>
  </conditionalFormatting>
  <conditionalFormatting sqref="C32:N32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{70CE8207-1083-4A4F-B50B-52D596B1F0EA}</x14:id>
        </ext>
      </extLst>
    </cfRule>
  </conditionalFormatting>
  <conditionalFormatting sqref="C51:N5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{E20A199B-1A82-4C84-8E6B-50C008EA4F23}</x14:id>
        </ext>
      </extLst>
    </cfRule>
  </conditionalFormatting>
  <pageMargins left="0.7" right="0.7" top="0.75" bottom="0.75" header="0.3" footer="0.3"/>
  <pageSetup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0A839F-5E70-46D3-92B8-A1D5622ADD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C16:N16</xm:sqref>
        </x14:conditionalFormatting>
        <x14:conditionalFormatting xmlns:xm="http://schemas.microsoft.com/office/excel/2006/main">
          <x14:cfRule type="dataBar" id="{70CE8207-1083-4A4F-B50B-52D596B1F0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C32:N32</xm:sqref>
        </x14:conditionalFormatting>
        <x14:conditionalFormatting xmlns:xm="http://schemas.microsoft.com/office/excel/2006/main">
          <x14:cfRule type="dataBar" id="{E20A199B-1A82-4C84-8E6B-50C008EA4F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C51:N51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EMPLOYEE MASTER DATA</vt:lpstr>
      <vt:lpstr>Sheet1 (2)</vt:lpstr>
      <vt:lpstr>Sheet1</vt:lpstr>
      <vt:lpstr>Sheet2</vt:lpstr>
      <vt:lpstr>SUMMARY IN OUT 2022</vt:lpstr>
      <vt:lpstr>Sheet3</vt:lpstr>
      <vt:lpstr>Sheet5</vt:lpstr>
      <vt:lpstr>SUMMARY IN OUT</vt:lpstr>
      <vt:lpstr>'EMPLOYEE MASTER DATA'!Print_Area</vt:lpstr>
      <vt:lpstr>Sheet1!Print_Area</vt:lpstr>
      <vt:lpstr>'Sheet1 (2)'!Print_Area</vt:lpstr>
      <vt:lpstr>Sheet3!Print_Area</vt:lpstr>
      <vt:lpstr>'EMPLOYEE MASTER DATA'!Print_Titles</vt:lpstr>
      <vt:lpstr>PRODUKSI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HR-02</dc:creator>
  <cp:lastModifiedBy>HRD-01</cp:lastModifiedBy>
  <cp:lastPrinted>2023-09-26T01:19:00Z</cp:lastPrinted>
  <dcterms:created xsi:type="dcterms:W3CDTF">2022-09-27T12:53:00Z</dcterms:created>
  <dcterms:modified xsi:type="dcterms:W3CDTF">2024-08-27T05:35:28Z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0184B1E59AE54FE6B837A715CD8986FB_13</vt:lpwstr>
  </property>
  <property fmtid="{D5CDD505-2E9C-101B-9397-08002B2CF9AE}" pid="3" name="KSOProductBuildVer">
    <vt:lpwstr>1033-12.2.0.13359</vt:lpwstr>
  </property>
</Properties>
</file>